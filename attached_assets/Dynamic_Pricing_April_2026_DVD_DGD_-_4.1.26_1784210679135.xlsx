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tions Finance\Pricing\2026 Pricing Plans\Analysis\Dynamic Pricing\"/>
    </mc:Choice>
  </mc:AlternateContent>
  <xr:revisionPtr revIDLastSave="0" documentId="13_ncr:1_{10EE6399-C524-448B-909E-A6B1A3427E65}" xr6:coauthVersionLast="47" xr6:coauthVersionMax="47" xr10:uidLastSave="{00000000-0000-0000-0000-000000000000}"/>
  <bookViews>
    <workbookView xWindow="-120" yWindow="-120" windowWidth="29040" windowHeight="15720" xr2:uid="{F7F1A6B6-96B5-494A-9ED0-AE3D4FCC0131}"/>
  </bookViews>
  <sheets>
    <sheet name="Pricing Apr 26" sheetId="2" r:id="rId1"/>
    <sheet name="RRAs" sheetId="11" state="hidden" r:id="rId2"/>
    <sheet name="% PP w RRA" sheetId="12" state="hidden" r:id="rId3"/>
  </sheets>
  <externalReferences>
    <externalReference r:id="rId4"/>
  </externalReferences>
  <definedNames>
    <definedName name="_xlnm._FilterDatabase" localSheetId="0" hidden="1">'Pricing Apr 26'!$A$2:$P$961</definedName>
    <definedName name="_xlnm._FilterDatabase" localSheetId="1" hidden="1">RRAs!$A$1:$AA$363</definedName>
    <definedName name="AddOccRate_GPR">#REF!</definedName>
    <definedName name="Allowances">#REF!</definedName>
    <definedName name="bus_Unit_MOs">#REF!</definedName>
    <definedName name="BusUnit">#REF!</definedName>
    <definedName name="Care">#REF!</definedName>
    <definedName name="Care_MOs">#REF!</definedName>
    <definedName name="CASE">'[1]ALF Data Request'!#REF!</definedName>
    <definedName name="CIQWBGuid" hidden="1">"7f85e650-304a-4114-8b49-59b6375a22e1"</definedName>
    <definedName name="Field_ExportedOn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7020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43453.7213541667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">#REF!</definedName>
    <definedName name="locan">#REF!</definedName>
    <definedName name="MCList">#REF!</definedName>
    <definedName name="Mi_Month_MOs">#REF!</definedName>
    <definedName name="MI_Year_MOs">#REF!</definedName>
    <definedName name="MIBusUnit">#REF!</definedName>
    <definedName name="MIMonth">#REF!</definedName>
    <definedName name="MIPayor">#REF!</definedName>
    <definedName name="MIRoomType">#REF!</definedName>
    <definedName name="MIService">#REF!</definedName>
    <definedName name="MIYear">#REF!</definedName>
    <definedName name="New_Rev">#REF!</definedName>
    <definedName name="NRF">#REF!</definedName>
    <definedName name="Payor_type_MOs">#REF!</definedName>
    <definedName name="_xlnm.Print_Titles">#REF!</definedName>
    <definedName name="Qtr_Year">#REF!</definedName>
    <definedName name="Rate_MOs">#REF!</definedName>
    <definedName name="Rent">#REF!</definedName>
    <definedName name="Room_Type_MOs">#REF!</definedName>
    <definedName name="RoomType">#REF!</definedName>
    <definedName name="SemiRate_GPR">#REF!</definedName>
    <definedName name="SPP_GP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38" i="12" l="1"/>
  <c r="AT637" i="12"/>
  <c r="AT636" i="12"/>
  <c r="AT635" i="12"/>
  <c r="AT634" i="12"/>
  <c r="AT633" i="12"/>
  <c r="AT632" i="12"/>
  <c r="AT631" i="12"/>
  <c r="AT630" i="12"/>
  <c r="AT629" i="12"/>
  <c r="AT628" i="12"/>
  <c r="AT627" i="12"/>
  <c r="AT626" i="12"/>
  <c r="AT625" i="12"/>
  <c r="AT624" i="12"/>
  <c r="AT623" i="12"/>
  <c r="AT622" i="12"/>
  <c r="AT621" i="12"/>
  <c r="AT620" i="12"/>
  <c r="AT619" i="12"/>
  <c r="AT618" i="12"/>
  <c r="AT617" i="12"/>
  <c r="AT616" i="12"/>
  <c r="AT615" i="12"/>
  <c r="AT614" i="12"/>
  <c r="AT613" i="12"/>
  <c r="AT612" i="12"/>
  <c r="AT611" i="12"/>
  <c r="AT610" i="12"/>
  <c r="AT609" i="12"/>
  <c r="AT608" i="12"/>
  <c r="AT607" i="12"/>
  <c r="AT606" i="12"/>
  <c r="AT605" i="12"/>
  <c r="AT604" i="12"/>
  <c r="AT603" i="12"/>
  <c r="AT602" i="12"/>
  <c r="AT601" i="12"/>
  <c r="AT600" i="12"/>
  <c r="AT599" i="12"/>
  <c r="AT598" i="12"/>
  <c r="AT597" i="12"/>
  <c r="AT596" i="12"/>
  <c r="AT595" i="12"/>
  <c r="AT594" i="12"/>
  <c r="AT593" i="12"/>
  <c r="AT592" i="12"/>
  <c r="AT591" i="12"/>
  <c r="AT590" i="12"/>
  <c r="AT589" i="12"/>
  <c r="AT588" i="12"/>
  <c r="AT587" i="12"/>
  <c r="AT586" i="12"/>
  <c r="AT585" i="12"/>
  <c r="AT584" i="12"/>
  <c r="AT583" i="12"/>
  <c r="AT582" i="12"/>
  <c r="AT581" i="12"/>
  <c r="AT580" i="12"/>
  <c r="AT579" i="12"/>
  <c r="AT578" i="12"/>
  <c r="AT577" i="12"/>
  <c r="AT576" i="12"/>
  <c r="AT575" i="12"/>
  <c r="AT574" i="12"/>
  <c r="AT573" i="12"/>
  <c r="AT572" i="12"/>
  <c r="AT571" i="12"/>
  <c r="AT570" i="12"/>
  <c r="AT569" i="12"/>
  <c r="AT568" i="12"/>
  <c r="AT567" i="12"/>
  <c r="AT566" i="12"/>
  <c r="AT565" i="12"/>
  <c r="AT564" i="12"/>
  <c r="AT563" i="12"/>
  <c r="AT562" i="12"/>
  <c r="AT561" i="12"/>
  <c r="AT560" i="12"/>
  <c r="AT559" i="12"/>
  <c r="AT558" i="12"/>
  <c r="AT557" i="12"/>
  <c r="AT556" i="12"/>
  <c r="AT555" i="12"/>
  <c r="AT554" i="12"/>
  <c r="AT553" i="12"/>
  <c r="AT552" i="12"/>
  <c r="AT551" i="12"/>
  <c r="AT550" i="12"/>
  <c r="AT549" i="12"/>
  <c r="AT548" i="12"/>
  <c r="AT547" i="12"/>
  <c r="AT546" i="12"/>
  <c r="AT545" i="12"/>
  <c r="AT544" i="12"/>
  <c r="AT543" i="12"/>
  <c r="AT542" i="12"/>
  <c r="AT541" i="12"/>
  <c r="AT540" i="12"/>
  <c r="AT539" i="12"/>
  <c r="AT538" i="12"/>
  <c r="AT537" i="12"/>
  <c r="AT536" i="12"/>
  <c r="AT535" i="12"/>
  <c r="AT534" i="12"/>
  <c r="AT533" i="12"/>
  <c r="AT532" i="12"/>
  <c r="AT531" i="12"/>
  <c r="AT530" i="12"/>
  <c r="AT529" i="12"/>
  <c r="AT528" i="12"/>
  <c r="AT527" i="12"/>
  <c r="AT526" i="12"/>
  <c r="AT525" i="12"/>
  <c r="AT524" i="12"/>
  <c r="AT523" i="12"/>
  <c r="AT522" i="12"/>
  <c r="AT521" i="12"/>
  <c r="AT520" i="12"/>
  <c r="AT519" i="12"/>
  <c r="AT518" i="12"/>
  <c r="AT517" i="12"/>
  <c r="AT516" i="12"/>
  <c r="AT515" i="12"/>
  <c r="AT514" i="12"/>
  <c r="AT513" i="12"/>
  <c r="AT512" i="12"/>
  <c r="AT511" i="12"/>
  <c r="AT510" i="12"/>
  <c r="AT509" i="12"/>
  <c r="AT508" i="12"/>
  <c r="AT507" i="12"/>
  <c r="AT506" i="12"/>
  <c r="AT505" i="12"/>
  <c r="AT504" i="12"/>
  <c r="AT503" i="12"/>
  <c r="AT502" i="12"/>
  <c r="AT501" i="12"/>
  <c r="AT500" i="12"/>
  <c r="AT499" i="12"/>
  <c r="AT498" i="12"/>
  <c r="AT497" i="12"/>
  <c r="AT496" i="12"/>
  <c r="AT495" i="12"/>
  <c r="AT494" i="12"/>
  <c r="AT493" i="12"/>
  <c r="AT492" i="12"/>
  <c r="AT491" i="12"/>
  <c r="AT490" i="12"/>
  <c r="AT489" i="12"/>
  <c r="AT488" i="12"/>
  <c r="AT487" i="12"/>
  <c r="AT486" i="12"/>
  <c r="AT485" i="12"/>
  <c r="AT484" i="12"/>
  <c r="AT483" i="12"/>
  <c r="AT482" i="12"/>
  <c r="AT481" i="12"/>
  <c r="AT480" i="12"/>
  <c r="AT479" i="12"/>
  <c r="AT478" i="12"/>
  <c r="AT477" i="12"/>
  <c r="AT476" i="12"/>
  <c r="AT475" i="12"/>
  <c r="AT474" i="12"/>
  <c r="AT473" i="12"/>
  <c r="AT472" i="12"/>
  <c r="AT471" i="12"/>
  <c r="AT470" i="12"/>
  <c r="AT469" i="12"/>
  <c r="AT468" i="12"/>
  <c r="AT467" i="12"/>
  <c r="AT466" i="12"/>
  <c r="AT465" i="12"/>
  <c r="AT464" i="12"/>
  <c r="AT463" i="12"/>
  <c r="AT462" i="12"/>
  <c r="AT461" i="12"/>
  <c r="AT460" i="12"/>
  <c r="AT459" i="12"/>
  <c r="AT458" i="12"/>
  <c r="AT457" i="12"/>
  <c r="AT456" i="12"/>
  <c r="AT455" i="12"/>
  <c r="AT454" i="12"/>
  <c r="AT453" i="12"/>
  <c r="AT452" i="12"/>
  <c r="AT451" i="12"/>
  <c r="AT450" i="12"/>
  <c r="AT449" i="12"/>
  <c r="AT448" i="12"/>
  <c r="AT447" i="12"/>
  <c r="AT446" i="12"/>
  <c r="AT445" i="12"/>
  <c r="AT444" i="12"/>
  <c r="AT443" i="12"/>
  <c r="AT442" i="12"/>
  <c r="AT441" i="12"/>
  <c r="AT440" i="12"/>
  <c r="AT439" i="12"/>
  <c r="AT438" i="12"/>
  <c r="AT437" i="12"/>
  <c r="AT436" i="12"/>
  <c r="AT435" i="12"/>
  <c r="AT434" i="12"/>
  <c r="AT433" i="12"/>
  <c r="AT432" i="12"/>
  <c r="AT431" i="12"/>
  <c r="AT430" i="12"/>
  <c r="AT429" i="12"/>
  <c r="AT428" i="12"/>
  <c r="AT427" i="12"/>
  <c r="AT426" i="12"/>
  <c r="AT425" i="12"/>
  <c r="AT424" i="12"/>
  <c r="AT423" i="12"/>
  <c r="AT422" i="12"/>
  <c r="AT421" i="12"/>
  <c r="AT420" i="12"/>
  <c r="AT419" i="12"/>
  <c r="AT418" i="12"/>
  <c r="AT417" i="12"/>
  <c r="AT416" i="12"/>
  <c r="AT415" i="12"/>
  <c r="AT414" i="12"/>
  <c r="AT413" i="12"/>
  <c r="AT412" i="12"/>
  <c r="AT411" i="12"/>
  <c r="AT410" i="12"/>
  <c r="AT409" i="12"/>
  <c r="AT408" i="12"/>
  <c r="AT407" i="12"/>
  <c r="AT406" i="12"/>
  <c r="AT405" i="12"/>
  <c r="AT404" i="12"/>
  <c r="AT403" i="12"/>
  <c r="AT402" i="12"/>
  <c r="AT401" i="12"/>
  <c r="AT400" i="12"/>
  <c r="AT399" i="12"/>
  <c r="AT398" i="12"/>
  <c r="AT397" i="12"/>
  <c r="AT396" i="12"/>
  <c r="AT395" i="12"/>
  <c r="AT394" i="12"/>
  <c r="AT393" i="12"/>
  <c r="AT392" i="12"/>
  <c r="AT391" i="12"/>
  <c r="AT390" i="12"/>
  <c r="AT389" i="12"/>
  <c r="AT388" i="12"/>
  <c r="AT387" i="12"/>
  <c r="AT386" i="12"/>
  <c r="AT385" i="12"/>
  <c r="AT384" i="12"/>
  <c r="AT383" i="12"/>
  <c r="AT382" i="12"/>
  <c r="AT381" i="12"/>
  <c r="AT380" i="12"/>
  <c r="AT379" i="12"/>
  <c r="AT378" i="12"/>
  <c r="AT377" i="12"/>
  <c r="AT376" i="12"/>
  <c r="AT375" i="12"/>
  <c r="AT374" i="12"/>
  <c r="AT373" i="12"/>
  <c r="AT372" i="12"/>
  <c r="AT371" i="12"/>
  <c r="AT370" i="12"/>
  <c r="AT369" i="12"/>
  <c r="AT368" i="12"/>
  <c r="AT367" i="12"/>
  <c r="AT366" i="12"/>
  <c r="AT365" i="12"/>
  <c r="AT364" i="12"/>
  <c r="AT363" i="12"/>
  <c r="AT362" i="12"/>
  <c r="AT361" i="12"/>
  <c r="AT360" i="12"/>
  <c r="AT359" i="12"/>
  <c r="AT358" i="12"/>
  <c r="AT357" i="12"/>
  <c r="AT356" i="12"/>
  <c r="AT355" i="12"/>
  <c r="AT354" i="12"/>
  <c r="AT353" i="12"/>
  <c r="AT352" i="12"/>
  <c r="AT351" i="12"/>
  <c r="AT350" i="12"/>
  <c r="AT349" i="12"/>
  <c r="AT348" i="12"/>
  <c r="AT347" i="12"/>
  <c r="AT346" i="12"/>
  <c r="AT345" i="12"/>
  <c r="AT344" i="12"/>
  <c r="AT343" i="12"/>
  <c r="AT342" i="12"/>
  <c r="AT341" i="12"/>
  <c r="AT340" i="12"/>
  <c r="AT339" i="12"/>
  <c r="AT338" i="12"/>
  <c r="AT337" i="12"/>
  <c r="AT336" i="12"/>
  <c r="AT335" i="12"/>
  <c r="AT334" i="12"/>
  <c r="AT333" i="12"/>
  <c r="AT332" i="12"/>
  <c r="AT331" i="12"/>
  <c r="AT330" i="12"/>
  <c r="AT329" i="12"/>
  <c r="AT328" i="12"/>
  <c r="AT327" i="12"/>
  <c r="AT326" i="12"/>
  <c r="AT325" i="12"/>
  <c r="AT324" i="12"/>
  <c r="AT323" i="12"/>
  <c r="AT322" i="12"/>
  <c r="AT321" i="12"/>
  <c r="AT320" i="12"/>
  <c r="AT319" i="12"/>
  <c r="AT318" i="12"/>
  <c r="AT317" i="12"/>
  <c r="AT316" i="12"/>
  <c r="AT315" i="12"/>
  <c r="AT314" i="12"/>
  <c r="AT313" i="12"/>
  <c r="AT312" i="12"/>
  <c r="AT311" i="12"/>
  <c r="AT310" i="12"/>
  <c r="AT309" i="12"/>
  <c r="AT308" i="12"/>
  <c r="AT307" i="12"/>
  <c r="AT306" i="12"/>
  <c r="AT305" i="12"/>
  <c r="AT304" i="12"/>
  <c r="AT303" i="12"/>
  <c r="AT302" i="12"/>
  <c r="AT301" i="12"/>
  <c r="AT300" i="12"/>
  <c r="AT299" i="12"/>
  <c r="AT298" i="12"/>
  <c r="AT297" i="12"/>
  <c r="AT296" i="12"/>
  <c r="AT295" i="12"/>
  <c r="AT294" i="12"/>
  <c r="AT293" i="12"/>
  <c r="AT292" i="12"/>
  <c r="AT291" i="12"/>
  <c r="AT290" i="12"/>
  <c r="AT289" i="12"/>
  <c r="AT288" i="12"/>
  <c r="AT287" i="12"/>
  <c r="AT286" i="12"/>
  <c r="AT285" i="12"/>
  <c r="AT284" i="12"/>
  <c r="AT283" i="12"/>
  <c r="AT282" i="12"/>
  <c r="AT281" i="12"/>
  <c r="AT280" i="12"/>
  <c r="AT279" i="12"/>
  <c r="AT278" i="12"/>
  <c r="AT277" i="12"/>
  <c r="AT276" i="12"/>
  <c r="AT275" i="12"/>
  <c r="AT274" i="12"/>
  <c r="AT273" i="12"/>
  <c r="AT272" i="12"/>
  <c r="AT271" i="12"/>
  <c r="AT270" i="12"/>
  <c r="AT269" i="12"/>
  <c r="AT268" i="12"/>
  <c r="AT267" i="12"/>
  <c r="AT266" i="12"/>
  <c r="AT265" i="12"/>
  <c r="AT264" i="12"/>
  <c r="AT263" i="12"/>
  <c r="AT262" i="12"/>
  <c r="AT261" i="12"/>
  <c r="AT260" i="12"/>
  <c r="AT259" i="12"/>
  <c r="AT258" i="12"/>
  <c r="AT257" i="12"/>
  <c r="AT256" i="12"/>
  <c r="AT255" i="12"/>
  <c r="AT254" i="12"/>
  <c r="AT253" i="12"/>
  <c r="AT252" i="12"/>
  <c r="AT251" i="12"/>
  <c r="AT250" i="12"/>
  <c r="AT249" i="12"/>
  <c r="AT248" i="12"/>
  <c r="AT247" i="12"/>
  <c r="AT246" i="12"/>
  <c r="AT245" i="12"/>
  <c r="AT244" i="12"/>
  <c r="AT243" i="12"/>
  <c r="AT242" i="12"/>
  <c r="AT241" i="12"/>
  <c r="AT240" i="12"/>
  <c r="AT239" i="12"/>
  <c r="AT238" i="12"/>
  <c r="AT237" i="12"/>
  <c r="AT236" i="12"/>
  <c r="AT235" i="12"/>
  <c r="AT234" i="12"/>
  <c r="AT233" i="12"/>
  <c r="AT232" i="12"/>
  <c r="AT231" i="12"/>
  <c r="AT230" i="12"/>
  <c r="AT229" i="12"/>
  <c r="AT228" i="12"/>
  <c r="AT227" i="12"/>
  <c r="AT226" i="12"/>
  <c r="AT225" i="12"/>
  <c r="AT224" i="12"/>
  <c r="AT223" i="12"/>
  <c r="AT222" i="12"/>
  <c r="AT221" i="12"/>
  <c r="AT220" i="12"/>
  <c r="AT219" i="12"/>
  <c r="AT218" i="12"/>
  <c r="AT217" i="12"/>
  <c r="AT216" i="12"/>
  <c r="AT215" i="12"/>
  <c r="AT214" i="12"/>
  <c r="AT213" i="12"/>
  <c r="AT212" i="12"/>
  <c r="AT211" i="12"/>
  <c r="AT210" i="12"/>
  <c r="AT209" i="12"/>
  <c r="AT208" i="12"/>
  <c r="AT207" i="12"/>
  <c r="AT206" i="12"/>
  <c r="AT205" i="12"/>
  <c r="AT204" i="12"/>
  <c r="AT203" i="12"/>
  <c r="AT202" i="12"/>
  <c r="AT201" i="12"/>
  <c r="AT200" i="12"/>
  <c r="AT199" i="12"/>
  <c r="AT198" i="12"/>
  <c r="AT197" i="12"/>
  <c r="AT196" i="12"/>
  <c r="AT195" i="12"/>
  <c r="AT194" i="12"/>
  <c r="AT193" i="12"/>
  <c r="AT192" i="12"/>
  <c r="AT191" i="12"/>
  <c r="AT190" i="12"/>
  <c r="AT189" i="12"/>
  <c r="AT188" i="12"/>
  <c r="AT187" i="12"/>
  <c r="AT186" i="12"/>
  <c r="AT185" i="12"/>
  <c r="AT184" i="12"/>
  <c r="AT183" i="12"/>
  <c r="AT182" i="12"/>
  <c r="AT181" i="12"/>
  <c r="AT180" i="12"/>
  <c r="AT179" i="12"/>
  <c r="AT178" i="12"/>
  <c r="AT177" i="12"/>
  <c r="AT176" i="12"/>
  <c r="AT175" i="12"/>
  <c r="AT174" i="12"/>
  <c r="AT173" i="12"/>
  <c r="AT172" i="12"/>
  <c r="AT171" i="12"/>
  <c r="AT170" i="12"/>
  <c r="AT169" i="12"/>
  <c r="AT168" i="12"/>
  <c r="AT167" i="12"/>
  <c r="AT166" i="12"/>
  <c r="AT165" i="12"/>
  <c r="AT164" i="12"/>
  <c r="AT163" i="12"/>
  <c r="AT162" i="12"/>
  <c r="AT161" i="12"/>
  <c r="AT160" i="12"/>
  <c r="AT159" i="12"/>
  <c r="AT158" i="12"/>
  <c r="AT157" i="12"/>
  <c r="AT156" i="12"/>
  <c r="AT155" i="12"/>
  <c r="AT154" i="12"/>
  <c r="AT153" i="12"/>
  <c r="AT152" i="12"/>
  <c r="AT151" i="12"/>
  <c r="AT150" i="12"/>
  <c r="AT149" i="12"/>
  <c r="AT148" i="12"/>
  <c r="AT147" i="12"/>
  <c r="AT146" i="12"/>
  <c r="AT145" i="12"/>
  <c r="AT144" i="12"/>
  <c r="AT143" i="12"/>
  <c r="AT142" i="12"/>
  <c r="AT141" i="12"/>
  <c r="AT140" i="12"/>
  <c r="AT139" i="12"/>
  <c r="AT138" i="12"/>
  <c r="AT137" i="12"/>
  <c r="AT136" i="12"/>
  <c r="AT135" i="12"/>
  <c r="AT134" i="12"/>
  <c r="AT133" i="12"/>
  <c r="AT132" i="12"/>
  <c r="AT131" i="12"/>
  <c r="AT130" i="12"/>
  <c r="AT129" i="12"/>
  <c r="AT128" i="12"/>
  <c r="AT127" i="12"/>
  <c r="AT126" i="12"/>
  <c r="AT125" i="12"/>
  <c r="AT124" i="12"/>
  <c r="AT123" i="12"/>
  <c r="AT122" i="12"/>
  <c r="AT121" i="12"/>
  <c r="AT120" i="12"/>
  <c r="AT119" i="12"/>
  <c r="AT118" i="12"/>
  <c r="AT117" i="12"/>
  <c r="AT116" i="12"/>
  <c r="AT115" i="12"/>
  <c r="AT114" i="12"/>
  <c r="AT113" i="12"/>
  <c r="AT112" i="12"/>
  <c r="AT111" i="12"/>
  <c r="AT110" i="12"/>
  <c r="AT109" i="12"/>
  <c r="AT108" i="12"/>
  <c r="AT107" i="12"/>
  <c r="AT106" i="12"/>
  <c r="AT105" i="12"/>
  <c r="AT104" i="12"/>
  <c r="AT103" i="12"/>
  <c r="AT102" i="12"/>
  <c r="AT101" i="12"/>
  <c r="AT100" i="12"/>
  <c r="AT99" i="12"/>
  <c r="AT98" i="12"/>
  <c r="AT97" i="12"/>
  <c r="AT96" i="12"/>
  <c r="AT95" i="12"/>
  <c r="AT94" i="12"/>
  <c r="AT93" i="12"/>
  <c r="AT92" i="12"/>
  <c r="AT91" i="12"/>
  <c r="AT90" i="12"/>
  <c r="AT89" i="12"/>
  <c r="AT88" i="12"/>
  <c r="AT87" i="12"/>
  <c r="AT86" i="12"/>
  <c r="AT85" i="12"/>
  <c r="AT84" i="12"/>
  <c r="AT83" i="12"/>
  <c r="AT82" i="12"/>
  <c r="AT81" i="12"/>
  <c r="AT80" i="12"/>
  <c r="AT79" i="12"/>
  <c r="AT78" i="12"/>
  <c r="AT77" i="12"/>
  <c r="AT76" i="12"/>
  <c r="AT75" i="12"/>
  <c r="AT74" i="12"/>
  <c r="AT73" i="12"/>
  <c r="AT72" i="12"/>
  <c r="AT71" i="12"/>
  <c r="AT70" i="12"/>
  <c r="AT69" i="12"/>
  <c r="AT68" i="12"/>
  <c r="AT67" i="12"/>
  <c r="AT66" i="12"/>
  <c r="AT65" i="12"/>
  <c r="AT64" i="12"/>
  <c r="AT63" i="12"/>
  <c r="AT62" i="12"/>
  <c r="AT61" i="12"/>
  <c r="AT60" i="12"/>
  <c r="AT59" i="12"/>
  <c r="AT58" i="12"/>
  <c r="AT57" i="12"/>
  <c r="AT56" i="12"/>
  <c r="AT55" i="12"/>
  <c r="AT54" i="12"/>
  <c r="AT53" i="12"/>
  <c r="AT52" i="12"/>
  <c r="AT51" i="12"/>
  <c r="AT50" i="12"/>
  <c r="AT49" i="12"/>
  <c r="AT48" i="12"/>
  <c r="AT47" i="12"/>
  <c r="AT46" i="12"/>
  <c r="AT45" i="12"/>
  <c r="AT44" i="12"/>
  <c r="AT43" i="12"/>
  <c r="AT42" i="12"/>
  <c r="AT41" i="12"/>
  <c r="AT40" i="12"/>
  <c r="AT39" i="12"/>
  <c r="AT38" i="12"/>
  <c r="AT37" i="12"/>
  <c r="AT36" i="12"/>
  <c r="AT35" i="12"/>
  <c r="AT34" i="12"/>
  <c r="AT33" i="12"/>
  <c r="AT32" i="12"/>
  <c r="AT31" i="12"/>
  <c r="AT30" i="12"/>
  <c r="AT29" i="12"/>
  <c r="AT28" i="12"/>
  <c r="AT27" i="12"/>
  <c r="AT26" i="12"/>
  <c r="AT25" i="12"/>
  <c r="AT24" i="12"/>
  <c r="AT23" i="12"/>
  <c r="AT22" i="12"/>
  <c r="AT21" i="12"/>
  <c r="AT20" i="12"/>
  <c r="AT19" i="12"/>
  <c r="AT18" i="12"/>
  <c r="AT17" i="12"/>
  <c r="AT16" i="12"/>
  <c r="AT15" i="12"/>
  <c r="AT14" i="12"/>
  <c r="AT13" i="12"/>
  <c r="AT12" i="12"/>
  <c r="AT11" i="12"/>
  <c r="AT10" i="12"/>
  <c r="AT9" i="12"/>
  <c r="AT8" i="12"/>
  <c r="AT7" i="12"/>
  <c r="AT6" i="12"/>
  <c r="AT5" i="12"/>
  <c r="AT4" i="12"/>
  <c r="AT3" i="12"/>
  <c r="AT2" i="12"/>
  <c r="AB363" i="11"/>
  <c r="AB362" i="11"/>
  <c r="AB361" i="11"/>
  <c r="AB360" i="11"/>
  <c r="AB359" i="11"/>
  <c r="AB358" i="11"/>
  <c r="AB357" i="11"/>
  <c r="AB356" i="11"/>
  <c r="AB355" i="11"/>
  <c r="AB354" i="11"/>
  <c r="AB353" i="11"/>
  <c r="AB352" i="11"/>
  <c r="AB351" i="11"/>
  <c r="AB350" i="11"/>
  <c r="AB349" i="11"/>
  <c r="AB348" i="11"/>
  <c r="AB347" i="11"/>
  <c r="AB346" i="11"/>
  <c r="AB345" i="11"/>
  <c r="AB344" i="11"/>
  <c r="AB343" i="11"/>
  <c r="AB342" i="11"/>
  <c r="AB341" i="11"/>
  <c r="AB340" i="11"/>
  <c r="AB339" i="11"/>
  <c r="AB338" i="11"/>
  <c r="AB337" i="11"/>
  <c r="AB336" i="11"/>
  <c r="AB335" i="11"/>
  <c r="AB334" i="11"/>
  <c r="AB333" i="11"/>
  <c r="AB332" i="11"/>
  <c r="AB331" i="11"/>
  <c r="AB330" i="11"/>
  <c r="AB329" i="11"/>
  <c r="AB328" i="11"/>
  <c r="AB327" i="11"/>
  <c r="AB326" i="11"/>
  <c r="AB325" i="11"/>
  <c r="AB324" i="11"/>
  <c r="AB323" i="11"/>
  <c r="AB322" i="11"/>
  <c r="AB321" i="11"/>
  <c r="AB320" i="11"/>
  <c r="AB319" i="11"/>
  <c r="AB318" i="11"/>
  <c r="AB317" i="11"/>
  <c r="AB316" i="11"/>
  <c r="AB315" i="11"/>
  <c r="AB314" i="11"/>
  <c r="AB313" i="11"/>
  <c r="AB312" i="11"/>
  <c r="AB311" i="11"/>
  <c r="AB310" i="11"/>
  <c r="AB309" i="11"/>
  <c r="AB308" i="11"/>
  <c r="AB307" i="11"/>
  <c r="AB306" i="11"/>
  <c r="AB305" i="11"/>
  <c r="AB304" i="11"/>
  <c r="AB303" i="11"/>
  <c r="AB302" i="11"/>
  <c r="AB301" i="11"/>
  <c r="AB300" i="11"/>
  <c r="AB299" i="11"/>
  <c r="AB298" i="11"/>
  <c r="AB297" i="11"/>
  <c r="AB296" i="11"/>
  <c r="AB295" i="11"/>
  <c r="AB294" i="11"/>
  <c r="AB293" i="11"/>
  <c r="AB292" i="11"/>
  <c r="AB291" i="11"/>
  <c r="AB290" i="11"/>
  <c r="AB289" i="11"/>
  <c r="AB288" i="11"/>
  <c r="AB287" i="11"/>
  <c r="AB286" i="11"/>
  <c r="AB285" i="11"/>
  <c r="AB284" i="11"/>
  <c r="AB283" i="11"/>
  <c r="AB282" i="11"/>
  <c r="AB281" i="11"/>
  <c r="AB280" i="11"/>
  <c r="AB279" i="11"/>
  <c r="AB278" i="11"/>
  <c r="AB277" i="11"/>
  <c r="AB276" i="11"/>
  <c r="AB275" i="11"/>
  <c r="AB274" i="11"/>
  <c r="AB273" i="11"/>
  <c r="AB272" i="11"/>
  <c r="AB271" i="11"/>
  <c r="AB270" i="11"/>
  <c r="AB269" i="11"/>
  <c r="AB268" i="11"/>
  <c r="AB267" i="11"/>
  <c r="AB266" i="11"/>
  <c r="AB265" i="11"/>
  <c r="AB264" i="11"/>
  <c r="AB263" i="11"/>
  <c r="AB262" i="11"/>
  <c r="AB261" i="11"/>
  <c r="AB260" i="11"/>
  <c r="AB259" i="11"/>
  <c r="AB258" i="11"/>
  <c r="AB257" i="11"/>
  <c r="AB256" i="11"/>
  <c r="AB255" i="11"/>
  <c r="AB254" i="11"/>
  <c r="AB253" i="11"/>
  <c r="AB252" i="11"/>
  <c r="AB251" i="11"/>
  <c r="AB250" i="11"/>
  <c r="AB249" i="11"/>
  <c r="AB248" i="11"/>
  <c r="AB247" i="11"/>
  <c r="AB246" i="11"/>
  <c r="AB245" i="11"/>
  <c r="AB244" i="11"/>
  <c r="AB243" i="11"/>
  <c r="AB242" i="11"/>
  <c r="AB241" i="11"/>
  <c r="AB240" i="11"/>
  <c r="AB239" i="11"/>
  <c r="AB238" i="11"/>
  <c r="AB237" i="11"/>
  <c r="AB236" i="11"/>
  <c r="AB235" i="11"/>
  <c r="AB234" i="11"/>
  <c r="AB233" i="11"/>
  <c r="AB232" i="11"/>
  <c r="AB231" i="11"/>
  <c r="AB230" i="11"/>
  <c r="AB229" i="11"/>
  <c r="AB228" i="11"/>
  <c r="AB227" i="11"/>
  <c r="AB226" i="11"/>
  <c r="AB225" i="11"/>
  <c r="AB224" i="11"/>
  <c r="AB223" i="11"/>
  <c r="AB222" i="11"/>
  <c r="AB221" i="11"/>
  <c r="AB220" i="11"/>
  <c r="AB219" i="11"/>
  <c r="AB218" i="11"/>
  <c r="AB217" i="11"/>
  <c r="AB216" i="11"/>
  <c r="AB215" i="11"/>
  <c r="AB214" i="11"/>
  <c r="AB213" i="11"/>
  <c r="AB212" i="11"/>
  <c r="AB211" i="11"/>
  <c r="AB210" i="11"/>
  <c r="AB209" i="11"/>
  <c r="AB208" i="11"/>
  <c r="AB207" i="11"/>
  <c r="AB206" i="11"/>
  <c r="AB205" i="11"/>
  <c r="AB204" i="11"/>
  <c r="AB203" i="11"/>
  <c r="AB202" i="11"/>
  <c r="AB201" i="11"/>
  <c r="AB200" i="11"/>
  <c r="AB199" i="11"/>
  <c r="AB198" i="11"/>
  <c r="AB197" i="11"/>
  <c r="AB196" i="11"/>
  <c r="AB195" i="11"/>
  <c r="AB194" i="11"/>
  <c r="AB193" i="11"/>
  <c r="AB192" i="11"/>
  <c r="AB191" i="11"/>
  <c r="AB190" i="11"/>
  <c r="AB189" i="11"/>
  <c r="AB188" i="11"/>
  <c r="AB187" i="11"/>
  <c r="AB186" i="11"/>
  <c r="AB185" i="11"/>
  <c r="AB184" i="11"/>
  <c r="AB183" i="11"/>
  <c r="AB182" i="11"/>
  <c r="AB181" i="11"/>
  <c r="AB180" i="11"/>
  <c r="AB179" i="11"/>
  <c r="AB178" i="11"/>
  <c r="AB177" i="11"/>
  <c r="AB176" i="11"/>
  <c r="AB175" i="11"/>
  <c r="AB174" i="11"/>
  <c r="AB173" i="11"/>
  <c r="AB172" i="11"/>
  <c r="AB171" i="11"/>
  <c r="AB170" i="11"/>
  <c r="AB169" i="11"/>
  <c r="AB168" i="11"/>
  <c r="AB167" i="11"/>
  <c r="AB166" i="11"/>
  <c r="AB165" i="11"/>
  <c r="AB164" i="11"/>
  <c r="AB163" i="11"/>
  <c r="AB162" i="11"/>
  <c r="AB161" i="11"/>
  <c r="AB160" i="11"/>
  <c r="AB159" i="11"/>
  <c r="AB158" i="11"/>
  <c r="AB157" i="11"/>
  <c r="AB156" i="11"/>
  <c r="AB155" i="11"/>
  <c r="AB154" i="11"/>
  <c r="AB153" i="11"/>
  <c r="AB152" i="11"/>
  <c r="AB151" i="11"/>
  <c r="AB150" i="11"/>
  <c r="AB149" i="11"/>
  <c r="AB148" i="11"/>
  <c r="AB147" i="11"/>
  <c r="AB146" i="11"/>
  <c r="AB145" i="11"/>
  <c r="AB144" i="11"/>
  <c r="AB143" i="11"/>
  <c r="AB142" i="11"/>
  <c r="AB141" i="11"/>
  <c r="AB140" i="11"/>
  <c r="AB139" i="11"/>
  <c r="AB138" i="11"/>
  <c r="AB137" i="11"/>
  <c r="AB136" i="11"/>
  <c r="AB135" i="11"/>
  <c r="AB134" i="11"/>
  <c r="AB133" i="11"/>
  <c r="AB132" i="11"/>
  <c r="AB131" i="11"/>
  <c r="AB130" i="11"/>
  <c r="AB129" i="11"/>
  <c r="AB128" i="11"/>
  <c r="AB127" i="11"/>
  <c r="AB126" i="11"/>
  <c r="AB125" i="11"/>
  <c r="AB124" i="11"/>
  <c r="AB123" i="11"/>
  <c r="AB122" i="11"/>
  <c r="AB121" i="11"/>
  <c r="AB120" i="11"/>
  <c r="AB119" i="11"/>
  <c r="AB118" i="11"/>
  <c r="AB117" i="11"/>
  <c r="AB116" i="11"/>
  <c r="AB115" i="11"/>
  <c r="AB114" i="11"/>
  <c r="AB113" i="11"/>
  <c r="AB112" i="11"/>
  <c r="AB111" i="11"/>
  <c r="AB110" i="11"/>
  <c r="AB109" i="11"/>
  <c r="AB108" i="11"/>
  <c r="AB107" i="11"/>
  <c r="AB106" i="11"/>
  <c r="AB105" i="11"/>
  <c r="AB104" i="11"/>
  <c r="AB103" i="11"/>
  <c r="AB102" i="11"/>
  <c r="AB101" i="11"/>
  <c r="AB100" i="11"/>
  <c r="AB99" i="11"/>
  <c r="AB98" i="11"/>
  <c r="AB97" i="11"/>
  <c r="AB96" i="11"/>
  <c r="AB95" i="11"/>
  <c r="AB94" i="11"/>
  <c r="AB93" i="11"/>
  <c r="AB92" i="11"/>
  <c r="AB91" i="11"/>
  <c r="AB90" i="11"/>
  <c r="AB89" i="11"/>
  <c r="AB88" i="11"/>
  <c r="AB87" i="11"/>
  <c r="AB86" i="11"/>
  <c r="AB85" i="11"/>
  <c r="AB84" i="11"/>
  <c r="AB83" i="11"/>
  <c r="AB82" i="11"/>
  <c r="AB81" i="11"/>
  <c r="AB80" i="11"/>
  <c r="AB79" i="11"/>
  <c r="AB78" i="11"/>
  <c r="AB77" i="11"/>
  <c r="AB76" i="11"/>
  <c r="AB75" i="11"/>
  <c r="AB74" i="11"/>
  <c r="AB73" i="11"/>
  <c r="AB72" i="11"/>
  <c r="AB71" i="11"/>
  <c r="AB70" i="11"/>
  <c r="AB69" i="11"/>
  <c r="AB68" i="11"/>
  <c r="AB67" i="11"/>
  <c r="AB66" i="11"/>
  <c r="AB65" i="11"/>
  <c r="AB64" i="11"/>
  <c r="AB63" i="11"/>
  <c r="AB62" i="11"/>
  <c r="AB61" i="11"/>
  <c r="AB60" i="11"/>
  <c r="AB59" i="11"/>
  <c r="AB58" i="11"/>
  <c r="AB57" i="11"/>
  <c r="AB56" i="11"/>
  <c r="AB55" i="11"/>
  <c r="AB54" i="11"/>
  <c r="AB53" i="11"/>
  <c r="AB52" i="11"/>
  <c r="AB51" i="11"/>
  <c r="AB50" i="11"/>
  <c r="AB49" i="11"/>
  <c r="AB48" i="11"/>
  <c r="AB47" i="11"/>
  <c r="AB46" i="11"/>
  <c r="AB45" i="11"/>
  <c r="AB44" i="11"/>
  <c r="AB43" i="11"/>
  <c r="AB42" i="11"/>
  <c r="AB41" i="11"/>
  <c r="AB40" i="11"/>
  <c r="AB39" i="11"/>
  <c r="AB38" i="11"/>
  <c r="AB37" i="11"/>
  <c r="AB36" i="11"/>
  <c r="AB35" i="11"/>
  <c r="AB34" i="11"/>
  <c r="AB33" i="11"/>
  <c r="AB32" i="11"/>
  <c r="AB31" i="11"/>
  <c r="AB30" i="11"/>
  <c r="AB29" i="11"/>
  <c r="AB28" i="11"/>
  <c r="AB27" i="1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" i="11"/>
</calcChain>
</file>

<file path=xl/sharedStrings.xml><?xml version="1.0" encoding="utf-8"?>
<sst xmlns="http://schemas.openxmlformats.org/spreadsheetml/2006/main" count="13529" uniqueCount="379">
  <si>
    <t>Campus Information</t>
  </si>
  <si>
    <t>Proposed Pricing</t>
  </si>
  <si>
    <t>Division</t>
  </si>
  <si>
    <t>Campus</t>
  </si>
  <si>
    <t>Service Line</t>
  </si>
  <si>
    <t>Room Type</t>
  </si>
  <si>
    <t>Adj</t>
  </si>
  <si>
    <t/>
  </si>
  <si>
    <t>North Central Indiana</t>
  </si>
  <si>
    <t>Anderson - 112</t>
  </si>
  <si>
    <t>HC</t>
  </si>
  <si>
    <t>Private</t>
  </si>
  <si>
    <t>Companion</t>
  </si>
  <si>
    <t>HC/MC</t>
  </si>
  <si>
    <t>Legacy Lane - Private</t>
  </si>
  <si>
    <t>Legacy Lane - Companion</t>
  </si>
  <si>
    <t>AL</t>
  </si>
  <si>
    <t>Studio</t>
  </si>
  <si>
    <t>AL/MC</t>
  </si>
  <si>
    <t>Legacy Bldng - Private</t>
  </si>
  <si>
    <t>Legacy Bldng - Companion</t>
  </si>
  <si>
    <t>VIL</t>
  </si>
  <si>
    <t>Independent Living - Villa</t>
  </si>
  <si>
    <t>Central South Indiana</t>
  </si>
  <si>
    <t>Avon - 5166</t>
  </si>
  <si>
    <t>One BR</t>
  </si>
  <si>
    <t>Studio Deluxe</t>
  </si>
  <si>
    <t>South Kentucky</t>
  </si>
  <si>
    <t>Bardstown - 233</t>
  </si>
  <si>
    <t>1BR</t>
  </si>
  <si>
    <t>Studio Dlx</t>
  </si>
  <si>
    <t>2BR</t>
  </si>
  <si>
    <t>MC-Studio</t>
  </si>
  <si>
    <t>MC - Studio</t>
  </si>
  <si>
    <t>MC-2BR</t>
  </si>
  <si>
    <t>Southeast Indiana</t>
  </si>
  <si>
    <t>Batesville - 120</t>
  </si>
  <si>
    <t>Great Lakes</t>
  </si>
  <si>
    <t>Battle Creek - 501</t>
  </si>
  <si>
    <t>Bedford - 115</t>
  </si>
  <si>
    <t>Private Dlx</t>
  </si>
  <si>
    <t>North Ohio</t>
  </si>
  <si>
    <t>Bellevue - 414</t>
  </si>
  <si>
    <t>Belmont - 519</t>
  </si>
  <si>
    <t>Compan</t>
  </si>
  <si>
    <t>MC-Compan</t>
  </si>
  <si>
    <t>SL</t>
  </si>
  <si>
    <t>Bloomington HS - 5149</t>
  </si>
  <si>
    <t>Companion Deluxe</t>
  </si>
  <si>
    <t>Bloomington SC - 5164</t>
  </si>
  <si>
    <t>TCU - Companion</t>
  </si>
  <si>
    <t>TCU - Private</t>
  </si>
  <si>
    <t>One BR Deluxe</t>
  </si>
  <si>
    <t>LL - Studio</t>
  </si>
  <si>
    <t>LL - Compan</t>
  </si>
  <si>
    <t>Southwest Indiana</t>
  </si>
  <si>
    <t>Boonville - 110</t>
  </si>
  <si>
    <t>Bowling Green - 443</t>
  </si>
  <si>
    <t>2 FL 1BR</t>
  </si>
  <si>
    <t>AL/SL</t>
  </si>
  <si>
    <t>2 FL Studio</t>
  </si>
  <si>
    <t>Byron Center - 518</t>
  </si>
  <si>
    <t>Studio DLX</t>
  </si>
  <si>
    <t>Carmel - 5165</t>
  </si>
  <si>
    <t>1BR Deluxe</t>
  </si>
  <si>
    <t>Southwest Ohio</t>
  </si>
  <si>
    <t>Colerain - 412</t>
  </si>
  <si>
    <t>Legacy-Studio</t>
  </si>
  <si>
    <t>Legacy-Compan</t>
  </si>
  <si>
    <t>Patio Home 1BR</t>
  </si>
  <si>
    <t>Patio Home 2BR</t>
  </si>
  <si>
    <t>Columbus - 107</t>
  </si>
  <si>
    <t>Michigan</t>
  </si>
  <si>
    <t>Commerce - 503</t>
  </si>
  <si>
    <t>Private Deluxe</t>
  </si>
  <si>
    <t>Independent Living - Villa 1</t>
  </si>
  <si>
    <t>Kentuckiana</t>
  </si>
  <si>
    <t>Corydon - 2180</t>
  </si>
  <si>
    <t>INDEPENDENT LIVING - 1 BR</t>
  </si>
  <si>
    <t>Independent Living - 2BR</t>
  </si>
  <si>
    <t>INDEPENDENT LIVING - 2 BR</t>
  </si>
  <si>
    <t>Crawfordsville - 5167</t>
  </si>
  <si>
    <t>One BR Apt</t>
  </si>
  <si>
    <t>MC - Companion</t>
  </si>
  <si>
    <t>Cynthiana - 114</t>
  </si>
  <si>
    <t>Danville - 231</t>
  </si>
  <si>
    <t>MC - 2BR</t>
  </si>
  <si>
    <t>Delphi - 2134</t>
  </si>
  <si>
    <t>Southeast Ohio</t>
  </si>
  <si>
    <t>Delphos - 407</t>
  </si>
  <si>
    <t>Stu Dlx</t>
  </si>
  <si>
    <t>East Lansing - 2507</t>
  </si>
  <si>
    <t>North IN &amp; Kingston</t>
  </si>
  <si>
    <t>Elkhart - 132</t>
  </si>
  <si>
    <t>Englewood - 416</t>
  </si>
  <si>
    <t>Legacy Bldng - Private Deluxe</t>
  </si>
  <si>
    <t>Evansville NR - 2186</t>
  </si>
  <si>
    <t>Independent Living - Villa 2</t>
  </si>
  <si>
    <t>Evansville RP - 111</t>
  </si>
  <si>
    <t>TCU - Private Deluxe</t>
  </si>
  <si>
    <t>Evansville WR - 142</t>
  </si>
  <si>
    <t>Ferdinand - 303</t>
  </si>
  <si>
    <t>Legacy Studio</t>
  </si>
  <si>
    <t>Legacy Compan</t>
  </si>
  <si>
    <t>Findlay - 408</t>
  </si>
  <si>
    <t>Legacy Lane - Private Deluxe</t>
  </si>
  <si>
    <t>Two BR Apt</t>
  </si>
  <si>
    <t>Two BR Apt Deluxe</t>
  </si>
  <si>
    <t>One BR Apt Deluxe</t>
  </si>
  <si>
    <t>Fremont - 403</t>
  </si>
  <si>
    <t>MC Studio</t>
  </si>
  <si>
    <t>MC Companion</t>
  </si>
  <si>
    <t>MC Companion Deluxe</t>
  </si>
  <si>
    <t>Gahanna - 436</t>
  </si>
  <si>
    <t>Genoa - 411</t>
  </si>
  <si>
    <t>MC-Studio Dlx</t>
  </si>
  <si>
    <t>Goshen MW - 124</t>
  </si>
  <si>
    <t>Goshen SL - 2184</t>
  </si>
  <si>
    <t>Two BR</t>
  </si>
  <si>
    <t>Legacy Lane - Studio</t>
  </si>
  <si>
    <t>Grand Blanc - 2505</t>
  </si>
  <si>
    <t>Greencastle - 119</t>
  </si>
  <si>
    <t>Greenfield - 125</t>
  </si>
  <si>
    <t>One Bedroom</t>
  </si>
  <si>
    <t>Greensburg - 150</t>
  </si>
  <si>
    <t>Hamilton - 439</t>
  </si>
  <si>
    <t>Hanover - 116</t>
  </si>
  <si>
    <t>Harrison - 442</t>
  </si>
  <si>
    <t>Harrodsburg - 2187</t>
  </si>
  <si>
    <t>Patio Home 1 BR</t>
  </si>
  <si>
    <t>Hilliard - 437</t>
  </si>
  <si>
    <t>Howell - 2509</t>
  </si>
  <si>
    <t>Hudsonville - 524</t>
  </si>
  <si>
    <t>Indianapolis AP - 5160</t>
  </si>
  <si>
    <t>Indianapolis CL - 5161</t>
  </si>
  <si>
    <t>Jasper - 108</t>
  </si>
  <si>
    <t>Kalida - 406</t>
  </si>
  <si>
    <t>Kendallville - 2185</t>
  </si>
  <si>
    <t>Kokomo WK - 5168</t>
  </si>
  <si>
    <t>Kokomo WP - 106</t>
  </si>
  <si>
    <t>Villa 1 BR</t>
  </si>
  <si>
    <t>Villa 2 BR</t>
  </si>
  <si>
    <t>La Grange - 177</t>
  </si>
  <si>
    <t>Lafayette CS - 133</t>
  </si>
  <si>
    <t>Lafayette SL - 5162</t>
  </si>
  <si>
    <t>Studio Executive Deluxe</t>
  </si>
  <si>
    <t>Lafayette SM - 2136</t>
  </si>
  <si>
    <t>Lancaster - 445</t>
  </si>
  <si>
    <t>2 FL 2BR</t>
  </si>
  <si>
    <t>Lapeer - 2506</t>
  </si>
  <si>
    <t>Lawrenceburg - 143</t>
  </si>
  <si>
    <t>Lebanon - 104</t>
  </si>
  <si>
    <t>Leipsic - 409</t>
  </si>
  <si>
    <t>Independent Living - Studio</t>
  </si>
  <si>
    <t>Independent Living - Two BR</t>
  </si>
  <si>
    <t>Independent Living - One BR</t>
  </si>
  <si>
    <t>Lexington WC - 2148</t>
  </si>
  <si>
    <t>Lexington WF - 2147</t>
  </si>
  <si>
    <t>Studio - Deluxe</t>
  </si>
  <si>
    <t>Lexington WH - 2146</t>
  </si>
  <si>
    <t>Legacy Bldg - Studio</t>
  </si>
  <si>
    <t>Liberty Township - 441</t>
  </si>
  <si>
    <t>Lima - 410</t>
  </si>
  <si>
    <t>Lima SL - 433</t>
  </si>
  <si>
    <t>Northwest Indiana</t>
  </si>
  <si>
    <t>Logansport - 130</t>
  </si>
  <si>
    <t>Louisville ES - 210</t>
  </si>
  <si>
    <t>Louisville FH - 2137</t>
  </si>
  <si>
    <t>Louisville FS - 2154</t>
  </si>
  <si>
    <t>Louisville GR - 126</t>
  </si>
  <si>
    <t>MC - PRIVATE</t>
  </si>
  <si>
    <t>Louisville PT - 127</t>
  </si>
  <si>
    <t>Louisville SB - 175</t>
  </si>
  <si>
    <t>Legacy-Stu Dlx</t>
  </si>
  <si>
    <t>1 BR</t>
  </si>
  <si>
    <t>Louisville WP - 145</t>
  </si>
  <si>
    <t>Louisville WS - 190</t>
  </si>
  <si>
    <t>W;Stud</t>
  </si>
  <si>
    <t>L;Stud</t>
  </si>
  <si>
    <t>1BR DLX</t>
  </si>
  <si>
    <t>Patio Home</t>
  </si>
  <si>
    <t>Lowell - 156</t>
  </si>
  <si>
    <t>Macomb - 2508</t>
  </si>
  <si>
    <t>Madison - 2157</t>
  </si>
  <si>
    <t>Miami Township - 440</t>
  </si>
  <si>
    <t>Monclova - 2422</t>
  </si>
  <si>
    <t>Monticello - 140</t>
  </si>
  <si>
    <t>1 Bedroom</t>
  </si>
  <si>
    <t>Mooresville - 5174</t>
  </si>
  <si>
    <t>Mount Washington - 176</t>
  </si>
  <si>
    <t>Muncie - 128</t>
  </si>
  <si>
    <t>MC- Private</t>
  </si>
  <si>
    <t>Villa - 2BR</t>
  </si>
  <si>
    <t>Muskegon - 525</t>
  </si>
  <si>
    <t>New Albany AW - 105</t>
  </si>
  <si>
    <t>New Albany RC - 236</t>
  </si>
  <si>
    <t>INDEPENDENT LIVING 2 BR</t>
  </si>
  <si>
    <t>New Albany SC - 5151</t>
  </si>
  <si>
    <t>New Albany SM - 438</t>
  </si>
  <si>
    <t>New Castle GO - 2153</t>
  </si>
  <si>
    <t>New Castle SL - 2152</t>
  </si>
  <si>
    <t>Noblesville - 141</t>
  </si>
  <si>
    <t>North Baltimore - 415</t>
  </si>
  <si>
    <t>Novi - 2510</t>
  </si>
  <si>
    <t>Okemos - 2504</t>
  </si>
  <si>
    <t>Ottawa MO - 430</t>
  </si>
  <si>
    <t>Legacy Way - Private Deluxe</t>
  </si>
  <si>
    <t>Legacy Way - Companion</t>
  </si>
  <si>
    <t>Peru - 2144</t>
  </si>
  <si>
    <t>Two BR Deluxe</t>
  </si>
  <si>
    <t>Petersburg - 304</t>
  </si>
  <si>
    <t>Pickerington - 421</t>
  </si>
  <si>
    <t>Princeton - 117</t>
  </si>
  <si>
    <t>Richmond FP - 123</t>
  </si>
  <si>
    <t>Richmond SR - 5173</t>
  </si>
  <si>
    <t>Romeo - 2512</t>
  </si>
  <si>
    <t>Romeo SL - 527</t>
  </si>
  <si>
    <t>Scottsburg - 121</t>
  </si>
  <si>
    <t>Seymour - 109</t>
  </si>
  <si>
    <t>Shelbyville - 118</t>
  </si>
  <si>
    <t>Shelbyville SF - 234</t>
  </si>
  <si>
    <t>South Bend - 5169</t>
  </si>
  <si>
    <t>Springfield WG - 2429</t>
  </si>
  <si>
    <t>Deluxe</t>
  </si>
  <si>
    <t>Sun Prairie - 572</t>
  </si>
  <si>
    <t>2 Bedroom</t>
  </si>
  <si>
    <t>Sylvania - 2427</t>
  </si>
  <si>
    <t>Ind Liv - VIL</t>
  </si>
  <si>
    <t>Tell City - 103</t>
  </si>
  <si>
    <t>Terre Haute CC - 129</t>
  </si>
  <si>
    <t>Terre Haute HC - 5163</t>
  </si>
  <si>
    <t>Tiffin - 435</t>
  </si>
  <si>
    <t>AL-Studio</t>
  </si>
  <si>
    <t>AL-Studio DLX</t>
  </si>
  <si>
    <t>Union Township - 434</t>
  </si>
  <si>
    <t>Valparaiso - 139</t>
  </si>
  <si>
    <t>Vincennes - 131</t>
  </si>
  <si>
    <t>Wabash - 5170</t>
  </si>
  <si>
    <t>MC-Private</t>
  </si>
  <si>
    <t>MC-Companion</t>
  </si>
  <si>
    <t>Warsaw - 302</t>
  </si>
  <si>
    <t>MC - Compan</t>
  </si>
  <si>
    <t>Washington - 305</t>
  </si>
  <si>
    <t>Waunakee - 571</t>
  </si>
  <si>
    <t>MC - Studio Deluxe</t>
  </si>
  <si>
    <t>West Lafayette - 2135</t>
  </si>
  <si>
    <t>Westfield - 5171</t>
  </si>
  <si>
    <t>LL - Companion</t>
  </si>
  <si>
    <t>Willard - 2424</t>
  </si>
  <si>
    <t>Winchester - 232</t>
  </si>
  <si>
    <t>Zanesville OB - 2425</t>
  </si>
  <si>
    <t>Central South Indiana</t>
  </si>
  <si>
    <t>Great Lakes</t>
  </si>
  <si>
    <t>North Central Indiana</t>
  </si>
  <si>
    <t>North IN &amp; Kingston</t>
  </si>
  <si>
    <t>North Ohio</t>
  </si>
  <si>
    <t>Northwest Indiana</t>
  </si>
  <si>
    <t>South Kentucky</t>
  </si>
  <si>
    <t>Southeast Indiana</t>
  </si>
  <si>
    <t>Southeast Ohio</t>
  </si>
  <si>
    <t>Southwest Indiana</t>
  </si>
  <si>
    <t>Southwest Ohio</t>
  </si>
  <si>
    <t>Current</t>
  </si>
  <si>
    <t>sl</t>
  </si>
  <si>
    <t>01-HC</t>
  </si>
  <si>
    <t>02-HC Legacy</t>
  </si>
  <si>
    <t>03-AL</t>
  </si>
  <si>
    <t>03-AL Legacy</t>
  </si>
  <si>
    <t>05-IL</t>
  </si>
  <si>
    <t>06-SL</t>
  </si>
  <si>
    <t>Serv Line Occ %</t>
  </si>
  <si>
    <t>C01</t>
  </si>
  <si>
    <t>Ashland KOA-0554</t>
  </si>
  <si>
    <t>Fort Wayne KHC-0551</t>
  </si>
  <si>
    <t>Miamisburg KOM-0556</t>
  </si>
  <si>
    <t>Perrysburg KHC-0557</t>
  </si>
  <si>
    <t>Sylvania KHC-0559</t>
  </si>
  <si>
    <t>Vermilion KHC-0561</t>
  </si>
  <si>
    <t>LU</t>
  </si>
  <si>
    <t>Springfield FG - 401</t>
  </si>
  <si>
    <t>Kingston East</t>
  </si>
  <si>
    <t>Hickory KRH-0563</t>
  </si>
  <si>
    <t>Kingston West</t>
  </si>
  <si>
    <t>Santa Fe KRS-0564</t>
  </si>
  <si>
    <t>Fort Wayne KOD-0553</t>
  </si>
  <si>
    <t>Fort Wayne KSL-0552</t>
  </si>
  <si>
    <t>Marion KOM-0555</t>
  </si>
  <si>
    <t>Perrysburg KSL-0558</t>
  </si>
  <si>
    <t>Sylvania KSL-0560</t>
  </si>
  <si>
    <t>Vermilion KSL-0562</t>
  </si>
  <si>
    <t>VI</t>
  </si>
  <si>
    <t>Total Company - February 2026</t>
  </si>
  <si>
    <t>Sep 25</t>
  </si>
  <si>
    <t>Oct 25</t>
  </si>
  <si>
    <t>Nov 25</t>
  </si>
  <si>
    <t>Dec 25</t>
  </si>
  <si>
    <t>Jan 26</t>
  </si>
  <si>
    <t>Current Actual</t>
  </si>
  <si>
    <t>Current Budget</t>
  </si>
  <si>
    <t>Current Variance</t>
  </si>
  <si>
    <t>Current PPD</t>
  </si>
  <si>
    <t>Current Budget PPD</t>
  </si>
  <si>
    <t>Current Variance PPD</t>
  </si>
  <si>
    <t>YTD Actual</t>
  </si>
  <si>
    <t>YTD Budget</t>
  </si>
  <si>
    <t>YTD Variance</t>
  </si>
  <si>
    <t>YTD PPD</t>
  </si>
  <si>
    <t>YTD Budget PPD</t>
  </si>
  <si>
    <t>YTD Variance PPD</t>
  </si>
  <si>
    <t>Prior YTD Actual</t>
  </si>
  <si>
    <t>Prior YTD Variance</t>
  </si>
  <si>
    <t>Feb 26 Comments</t>
  </si>
  <si>
    <t>HEALTHCARE CENTER</t>
  </si>
  <si>
    <t>41015</t>
  </si>
  <si>
    <t>41015_PRIVATE PAY ROOM RATE ADJ</t>
  </si>
  <si>
    <t>HO:(cOldham1) 5.8k W. Sallade
3.8k B. Moriarty</t>
  </si>
  <si>
    <t>Total Company</t>
  </si>
  <si>
    <t>C03</t>
  </si>
  <si>
    <t>ASSISTED LIVING</t>
  </si>
  <si>
    <t>C04</t>
  </si>
  <si>
    <t>ASSISTED LIVING LEGACY</t>
  </si>
  <si>
    <t>41016</t>
  </si>
  <si>
    <t>41016_PRIVATE PAY ROOM RATE ADJ LEGACY</t>
  </si>
  <si>
    <t>FAC:(BJohnson13) VG room-rate adjustment falls off in Feb
2 others are under AL + $500 rate/bridge rate</t>
  </si>
  <si>
    <t>C05</t>
  </si>
  <si>
    <t>INDEPENDENT LIVING</t>
  </si>
  <si>
    <t>C06</t>
  </si>
  <si>
    <t>SENIOR LIVING</t>
  </si>
  <si>
    <t>TotalCompany</t>
  </si>
  <si>
    <t>division</t>
  </si>
  <si>
    <t>location</t>
  </si>
  <si>
    <t>StartDate</t>
  </si>
  <si>
    <t>NavisionPostedRevenue1</t>
  </si>
  <si>
    <t>Textbox25</t>
  </si>
  <si>
    <t>Textbox30</t>
  </si>
  <si>
    <t>Textbox34</t>
  </si>
  <si>
    <t>PercentOfAdmissionBilled</t>
  </si>
  <si>
    <t>Textbox26</t>
  </si>
  <si>
    <t>Textbox32</t>
  </si>
  <si>
    <t>Textbox37</t>
  </si>
  <si>
    <t>PercentofFeesBilled</t>
  </si>
  <si>
    <t>FSO_RRA</t>
  </si>
  <si>
    <t>FSO_RRA2</t>
  </si>
  <si>
    <t>FSO_RRA3</t>
  </si>
  <si>
    <t>PercentofFeesBilled2</t>
  </si>
  <si>
    <t>FSO_RRA4</t>
  </si>
  <si>
    <t>FSO_RRA5</t>
  </si>
  <si>
    <t>FSO_RRA6</t>
  </si>
  <si>
    <t>PercentofFeesBilled3</t>
  </si>
  <si>
    <t>FSO_RRA7</t>
  </si>
  <si>
    <t>FSO_RRA8</t>
  </si>
  <si>
    <t>FSO_RRA9</t>
  </si>
  <si>
    <t>FSO_Revenue</t>
  </si>
  <si>
    <t>FSO_RRA13</t>
  </si>
  <si>
    <t>FSO_RRA14</t>
  </si>
  <si>
    <t>FSO_RRA15</t>
  </si>
  <si>
    <t>FSO_Revenue2</t>
  </si>
  <si>
    <t>FSO_RRA22</t>
  </si>
  <si>
    <t>FSO_RRA23</t>
  </si>
  <si>
    <t>FSO_RRA24</t>
  </si>
  <si>
    <t>FSO_Revenue4</t>
  </si>
  <si>
    <t>FSO_RRA28</t>
  </si>
  <si>
    <t>FSO_RRA29</t>
  </si>
  <si>
    <t>FSO_RRA30</t>
  </si>
  <si>
    <t>FSO_Revenue6</t>
  </si>
  <si>
    <t>FSO_RRA34</t>
  </si>
  <si>
    <t>FSO_RRA35</t>
  </si>
  <si>
    <t>FSO_RRA36</t>
  </si>
  <si>
    <t>FSO_Revenue3</t>
  </si>
  <si>
    <t>FSO_RRA25</t>
  </si>
  <si>
    <t>FSO_RRA26</t>
  </si>
  <si>
    <t>FSO_RRA27</t>
  </si>
  <si>
    <t>SVC Line</t>
  </si>
  <si>
    <t>NaN</t>
  </si>
  <si>
    <t>#Error</t>
  </si>
  <si>
    <t>Avg Rate</t>
  </si>
  <si>
    <t>Room Type Occupancy %</t>
  </si>
  <si>
    <t>*Averages all apartments within that Room Type Grouping; e.g. Studio A, Studio B, Studio C</t>
  </si>
  <si>
    <t>Avg Street Rate*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</si>
</sst>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[$-10409]#,##0;\(#,##0\)"/>
    <numFmt numFmtId="168" formatCode="[$-10409]#,##0.00;\(#,##0.00\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</font>
    <font>
      <b/>
      <sz val="9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u/>
      <sz val="7"/>
      <color rgb="FF000000"/>
      <name val="Arial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 tint="0.249977111117893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DCDCDC"/>
        <bgColor rgb="FFDCDCDC"/>
      </patternFill>
    </fill>
    <fill>
      <patternFill patternType="solid">
        <fgColor rgb="FFDDA0DD"/>
        <bgColor rgb="FFDDA0DD"/>
      </patternFill>
    </fill>
    <fill>
      <patternFill patternType="solid">
        <fgColor rgb="FFFFFF00"/>
        <bgColor rgb="FF98FB98"/>
      </patternFill>
    </fill>
    <fill>
      <patternFill patternType="solid">
        <fgColor rgb="FF98FB98"/>
        <bgColor rgb="FF98FB98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68">
    <xf numFmtId="0" fontId="0" fillId="0" borderId="0" xfId="0"/>
    <xf numFmtId="0" fontId="0" fillId="2" borderId="0" xfId="0" applyFill="1"/>
    <xf numFmtId="10" fontId="0" fillId="0" borderId="0" xfId="0" applyNumberFormat="1"/>
    <xf numFmtId="0" fontId="5" fillId="6" borderId="1" xfId="3" applyFont="1" applyFill="1" applyBorder="1" applyAlignment="1">
      <alignment vertical="center" wrapText="1" readingOrder="1"/>
    </xf>
    <xf numFmtId="0" fontId="4" fillId="6" borderId="3" xfId="3" applyFont="1" applyFill="1" applyBorder="1" applyAlignment="1">
      <alignment vertical="top" wrapText="1"/>
    </xf>
    <xf numFmtId="0" fontId="4" fillId="6" borderId="2" xfId="3" applyFont="1" applyFill="1" applyBorder="1" applyAlignment="1">
      <alignment vertical="top" wrapText="1"/>
    </xf>
    <xf numFmtId="0" fontId="6" fillId="6" borderId="1" xfId="3" applyFont="1" applyFill="1" applyBorder="1" applyAlignment="1">
      <alignment horizontal="center" vertical="center" wrapText="1" readingOrder="1"/>
    </xf>
    <xf numFmtId="0" fontId="6" fillId="8" borderId="1" xfId="3" applyFont="1" applyFill="1" applyBorder="1" applyAlignment="1">
      <alignment horizontal="center" vertical="top" wrapText="1" readingOrder="1"/>
    </xf>
    <xf numFmtId="0" fontId="6" fillId="9" borderId="1" xfId="3" applyFont="1" applyFill="1" applyBorder="1" applyAlignment="1">
      <alignment horizontal="center" vertical="top" wrapText="1" readingOrder="1"/>
    </xf>
    <xf numFmtId="0" fontId="6" fillId="10" borderId="1" xfId="3" applyFont="1" applyFill="1" applyBorder="1" applyAlignment="1">
      <alignment horizontal="center" vertical="top" wrapText="1" readingOrder="1"/>
    </xf>
    <xf numFmtId="0" fontId="6" fillId="11" borderId="1" xfId="3" applyFont="1" applyFill="1" applyBorder="1" applyAlignment="1">
      <alignment horizontal="center" vertical="top" wrapText="1" readingOrder="1"/>
    </xf>
    <xf numFmtId="0" fontId="6" fillId="7" borderId="1" xfId="3" applyFont="1" applyFill="1" applyBorder="1" applyAlignment="1">
      <alignment horizontal="center" vertical="top" wrapText="1" readingOrder="1"/>
    </xf>
    <xf numFmtId="0" fontId="6" fillId="12" borderId="1" xfId="3" applyFont="1" applyFill="1" applyBorder="1" applyAlignment="1">
      <alignment horizontal="center" vertical="top" wrapText="1" readingOrder="1"/>
    </xf>
    <xf numFmtId="0" fontId="6" fillId="6" borderId="1" xfId="3" applyFont="1" applyFill="1" applyBorder="1" applyAlignment="1">
      <alignment horizontal="center" wrapText="1" readingOrder="1"/>
    </xf>
    <xf numFmtId="0" fontId="4" fillId="6" borderId="0" xfId="3" applyFont="1" applyFill="1" applyAlignment="1">
      <alignment vertical="top" wrapText="1"/>
    </xf>
    <xf numFmtId="0" fontId="4" fillId="0" borderId="0" xfId="3" applyFont="1"/>
    <xf numFmtId="0" fontId="7" fillId="6" borderId="1" xfId="3" applyFont="1" applyFill="1" applyBorder="1" applyAlignment="1">
      <alignment vertical="top" wrapText="1" readingOrder="1"/>
    </xf>
    <xf numFmtId="0" fontId="8" fillId="6" borderId="1" xfId="3" applyFont="1" applyFill="1" applyBorder="1" applyAlignment="1">
      <alignment vertical="top" wrapText="1" readingOrder="1"/>
    </xf>
    <xf numFmtId="167" fontId="7" fillId="6" borderId="1" xfId="3" applyNumberFormat="1" applyFont="1" applyFill="1" applyBorder="1" applyAlignment="1">
      <alignment horizontal="right" vertical="top" wrapText="1" readingOrder="1"/>
    </xf>
    <xf numFmtId="167" fontId="7" fillId="6" borderId="4" xfId="3" applyNumberFormat="1" applyFont="1" applyFill="1" applyBorder="1" applyAlignment="1">
      <alignment horizontal="right" vertical="top" wrapText="1" readingOrder="1"/>
    </xf>
    <xf numFmtId="167" fontId="7" fillId="6" borderId="5" xfId="3" applyNumberFormat="1" applyFont="1" applyFill="1" applyBorder="1" applyAlignment="1">
      <alignment horizontal="right" vertical="top" wrapText="1" readingOrder="1"/>
    </xf>
    <xf numFmtId="167" fontId="7" fillId="6" borderId="6" xfId="3" applyNumberFormat="1" applyFont="1" applyFill="1" applyBorder="1" applyAlignment="1">
      <alignment horizontal="right" vertical="top" wrapText="1" readingOrder="1"/>
    </xf>
    <xf numFmtId="168" fontId="7" fillId="6" borderId="7" xfId="3" applyNumberFormat="1" applyFont="1" applyFill="1" applyBorder="1" applyAlignment="1">
      <alignment horizontal="right" vertical="top" wrapText="1" readingOrder="1"/>
    </xf>
    <xf numFmtId="168" fontId="7" fillId="6" borderId="1" xfId="3" applyNumberFormat="1" applyFont="1" applyFill="1" applyBorder="1" applyAlignment="1">
      <alignment horizontal="right" vertical="top" wrapText="1" readingOrder="1"/>
    </xf>
    <xf numFmtId="168" fontId="7" fillId="6" borderId="6" xfId="3" applyNumberFormat="1" applyFont="1" applyFill="1" applyBorder="1" applyAlignment="1">
      <alignment horizontal="right" vertical="top" wrapText="1" readingOrder="1"/>
    </xf>
    <xf numFmtId="168" fontId="7" fillId="6" borderId="5" xfId="3" applyNumberFormat="1" applyFont="1" applyFill="1" applyBorder="1" applyAlignment="1">
      <alignment horizontal="right" vertical="top" wrapText="1" readingOrder="1"/>
    </xf>
    <xf numFmtId="0" fontId="7" fillId="6" borderId="1" xfId="3" applyFont="1" applyFill="1" applyBorder="1" applyAlignment="1">
      <alignment horizontal="left" vertical="top" wrapText="1" readingOrder="1"/>
    </xf>
    <xf numFmtId="0" fontId="7" fillId="13" borderId="1" xfId="0" applyFont="1" applyFill="1" applyBorder="1" applyAlignment="1">
      <alignment vertical="top" wrapText="1" readingOrder="1"/>
    </xf>
    <xf numFmtId="0" fontId="8" fillId="13" borderId="1" xfId="0" applyFont="1" applyFill="1" applyBorder="1" applyAlignment="1">
      <alignment vertical="top" wrapText="1" readingOrder="1"/>
    </xf>
    <xf numFmtId="167" fontId="7" fillId="13" borderId="1" xfId="0" applyNumberFormat="1" applyFont="1" applyFill="1" applyBorder="1" applyAlignment="1">
      <alignment horizontal="right" vertical="top" wrapText="1" readingOrder="1"/>
    </xf>
    <xf numFmtId="167" fontId="7" fillId="13" borderId="4" xfId="0" applyNumberFormat="1" applyFont="1" applyFill="1" applyBorder="1" applyAlignment="1">
      <alignment horizontal="right" vertical="top" wrapText="1" readingOrder="1"/>
    </xf>
    <xf numFmtId="167" fontId="7" fillId="13" borderId="5" xfId="0" applyNumberFormat="1" applyFont="1" applyFill="1" applyBorder="1" applyAlignment="1">
      <alignment horizontal="right" vertical="top" wrapText="1" readingOrder="1"/>
    </xf>
    <xf numFmtId="167" fontId="7" fillId="13" borderId="6" xfId="0" applyNumberFormat="1" applyFont="1" applyFill="1" applyBorder="1" applyAlignment="1">
      <alignment horizontal="right" vertical="top" wrapText="1" readingOrder="1"/>
    </xf>
    <xf numFmtId="168" fontId="7" fillId="13" borderId="7" xfId="0" applyNumberFormat="1" applyFont="1" applyFill="1" applyBorder="1" applyAlignment="1">
      <alignment horizontal="right" vertical="top" wrapText="1" readingOrder="1"/>
    </xf>
    <xf numFmtId="168" fontId="7" fillId="13" borderId="1" xfId="0" applyNumberFormat="1" applyFont="1" applyFill="1" applyBorder="1" applyAlignment="1">
      <alignment horizontal="right" vertical="top" wrapText="1" readingOrder="1"/>
    </xf>
    <xf numFmtId="168" fontId="7" fillId="13" borderId="6" xfId="0" applyNumberFormat="1" applyFont="1" applyFill="1" applyBorder="1" applyAlignment="1">
      <alignment horizontal="right" vertical="top" wrapText="1" readingOrder="1"/>
    </xf>
    <xf numFmtId="168" fontId="7" fillId="13" borderId="5" xfId="0" applyNumberFormat="1" applyFont="1" applyFill="1" applyBorder="1" applyAlignment="1">
      <alignment horizontal="right" vertical="top" wrapText="1" readingOrder="1"/>
    </xf>
    <xf numFmtId="0" fontId="7" fillId="13" borderId="1" xfId="0" applyFont="1" applyFill="1" applyBorder="1" applyAlignment="1">
      <alignment horizontal="left" vertical="top" wrapText="1" readingOrder="1"/>
    </xf>
    <xf numFmtId="0" fontId="4" fillId="2" borderId="0" xfId="3" applyFont="1" applyFill="1"/>
    <xf numFmtId="0" fontId="7" fillId="6" borderId="1" xfId="0" applyFont="1" applyFill="1" applyBorder="1" applyAlignment="1">
      <alignment vertical="top" wrapText="1" readingOrder="1"/>
    </xf>
    <xf numFmtId="0" fontId="8" fillId="6" borderId="1" xfId="0" applyFont="1" applyFill="1" applyBorder="1" applyAlignment="1">
      <alignment vertical="top" wrapText="1" readingOrder="1"/>
    </xf>
    <xf numFmtId="167" fontId="7" fillId="6" borderId="1" xfId="0" applyNumberFormat="1" applyFont="1" applyFill="1" applyBorder="1" applyAlignment="1">
      <alignment horizontal="right" vertical="top" wrapText="1" readingOrder="1"/>
    </xf>
    <xf numFmtId="167" fontId="7" fillId="6" borderId="4" xfId="0" applyNumberFormat="1" applyFont="1" applyFill="1" applyBorder="1" applyAlignment="1">
      <alignment horizontal="right" vertical="top" wrapText="1" readingOrder="1"/>
    </xf>
    <xf numFmtId="167" fontId="7" fillId="6" borderId="5" xfId="0" applyNumberFormat="1" applyFont="1" applyFill="1" applyBorder="1" applyAlignment="1">
      <alignment horizontal="right" vertical="top" wrapText="1" readingOrder="1"/>
    </xf>
    <xf numFmtId="167" fontId="7" fillId="6" borderId="6" xfId="0" applyNumberFormat="1" applyFont="1" applyFill="1" applyBorder="1" applyAlignment="1">
      <alignment horizontal="right" vertical="top" wrapText="1" readingOrder="1"/>
    </xf>
    <xf numFmtId="168" fontId="7" fillId="6" borderId="7" xfId="0" applyNumberFormat="1" applyFont="1" applyFill="1" applyBorder="1" applyAlignment="1">
      <alignment horizontal="right" vertical="top" wrapText="1" readingOrder="1"/>
    </xf>
    <xf numFmtId="168" fontId="7" fillId="6" borderId="1" xfId="0" applyNumberFormat="1" applyFont="1" applyFill="1" applyBorder="1" applyAlignment="1">
      <alignment horizontal="right" vertical="top" wrapText="1" readingOrder="1"/>
    </xf>
    <xf numFmtId="168" fontId="7" fillId="6" borderId="6" xfId="0" applyNumberFormat="1" applyFont="1" applyFill="1" applyBorder="1" applyAlignment="1">
      <alignment horizontal="right" vertical="top" wrapText="1" readingOrder="1"/>
    </xf>
    <xf numFmtId="168" fontId="7" fillId="6" borderId="5" xfId="0" applyNumberFormat="1" applyFont="1" applyFill="1" applyBorder="1" applyAlignment="1">
      <alignment horizontal="right" vertical="top" wrapText="1" readingOrder="1"/>
    </xf>
    <xf numFmtId="0" fontId="7" fillId="6" borderId="1" xfId="0" applyFont="1" applyFill="1" applyBorder="1" applyAlignment="1">
      <alignment horizontal="left" vertical="top" wrapText="1" readingOrder="1"/>
    </xf>
    <xf numFmtId="17" fontId="0" fillId="0" borderId="0" xfId="0" applyNumberFormat="1"/>
    <xf numFmtId="6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centerContinuous"/>
    </xf>
    <xf numFmtId="0" fontId="9" fillId="0" borderId="0" xfId="0" applyFont="1"/>
    <xf numFmtId="0" fontId="10" fillId="0" borderId="0" xfId="0" applyFont="1"/>
    <xf numFmtId="18" fontId="11" fillId="4" borderId="0" xfId="0" applyNumberFormat="1" applyFont="1" applyFill="1" applyAlignment="1">
      <alignment vertical="center"/>
    </xf>
    <xf numFmtId="17" fontId="11" fillId="4" borderId="0" xfId="0" applyNumberFormat="1" applyFont="1" applyFill="1" applyAlignment="1">
      <alignment vertical="center"/>
    </xf>
    <xf numFmtId="18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64" fontId="10" fillId="0" borderId="0" xfId="2" applyNumberFormat="1" applyFont="1"/>
    <xf numFmtId="165" fontId="10" fillId="0" borderId="0" xfId="0" applyNumberFormat="1" applyFont="1"/>
    <xf numFmtId="9" fontId="13" fillId="5" borderId="8" xfId="2" applyFont="1" applyFill="1" applyBorder="1" applyAlignment="1">
      <alignment horizontal="center"/>
    </xf>
    <xf numFmtId="166" fontId="13" fillId="0" borderId="9" xfId="1" applyNumberFormat="1" applyFont="1" applyBorder="1"/>
    <xf numFmtId="41" fontId="10" fillId="0" borderId="0" xfId="1" applyNumberFormat="1" applyFont="1"/>
    <xf numFmtId="164" fontId="13" fillId="5" borderId="8" xfId="2" applyNumberFormat="1" applyFont="1" applyFill="1" applyBorder="1" applyAlignment="1">
      <alignment horizontal="center"/>
    </xf>
    <xf numFmtId="0" fontId="14" fillId="0" borderId="0" xfId="0" applyFont="1"/>
    <xf numFmtId="164" fontId="13" fillId="2" borderId="8" xfId="2" applyNumberFormat="1" applyFont="1" applyFill="1" applyBorder="1" applyAlignment="1">
      <alignment horizontal="center"/>
    </xf>
  </cellXfs>
  <cellStyles count="7">
    <cellStyle name="Comma" xfId="1" builtinId="3"/>
    <cellStyle name="Normal" xfId="0" builtinId="0"/>
    <cellStyle name="Normal 2" xfId="3" xr:uid="{69A04C10-3DD2-44BA-B376-0B1311E56A9E}"/>
    <cellStyle name="Normal 3" xfId="5" xr:uid="{5D66DCDC-0105-4BD8-853B-3EED984B9C08}"/>
    <cellStyle name="Normal 4" xfId="6" xr:uid="{0448DBAD-D742-4B17-9E79-D8BF0674FFC7}"/>
    <cellStyle name="Percent" xfId="2" builtinId="5"/>
    <cellStyle name="Percent 2" xfId="4" xr:uid="{EC1EACB1-F1BC-49B9-9481-F47748B76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ISNP\Longevity%20-%2001.01.21-12.31.21\LHP_%20Trilogy_%20ISNP%20Data%20Request%20for%20MI%20Proforma%20Analysis_02.10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F Data Request "/>
      <sheetName val="ALF Data Reque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72EB-5649-4027-9F76-FC12191DC81E}">
  <dimension ref="A1:P964"/>
  <sheetViews>
    <sheetView tabSelected="1" zoomScaleNormal="100" workbookViewId="0">
      <pane xSplit="5" ySplit="2" topLeftCell="F3" activePane="bottomRight" state="frozen"/>
      <selection pane="topRight" activeCell="H1" sqref="H1"/>
      <selection pane="bottomLeft" activeCell="A4" sqref="A4"/>
      <selection pane="bottomRight" activeCell="F3" sqref="F3"/>
    </sheetView>
  </sheetViews>
  <sheetFormatPr defaultColWidth="8.7109375" defaultRowHeight="15" x14ac:dyDescent="0.25"/>
  <cols>
    <col min="1" max="1" width="20.28515625" style="55" bestFit="1" customWidth="1"/>
    <col min="2" max="2" width="22.5703125" style="55" bestFit="1" customWidth="1"/>
    <col min="3" max="3" width="12" style="55" bestFit="1" customWidth="1"/>
    <col min="4" max="4" width="15.28515625" style="55" bestFit="1" customWidth="1"/>
    <col min="5" max="5" width="26.7109375" style="55" bestFit="1" customWidth="1"/>
    <col min="6" max="6" width="2.7109375" style="54" customWidth="1"/>
    <col min="7" max="9" width="8.28515625" style="55" bestFit="1" customWidth="1"/>
    <col min="10" max="10" width="2.5703125" style="55" customWidth="1"/>
    <col min="11" max="11" width="10" style="55" customWidth="1"/>
    <col min="12" max="12" width="2.5703125" style="55" customWidth="1"/>
    <col min="13" max="13" width="8.7109375" style="55"/>
    <col min="14" max="14" width="15.7109375" style="55" bestFit="1" customWidth="1"/>
    <col min="15" max="16384" width="8.7109375" style="55"/>
  </cols>
  <sheetData>
    <row r="1" spans="1:16" x14ac:dyDescent="0.25">
      <c r="A1" s="53" t="s">
        <v>0</v>
      </c>
      <c r="B1" s="53"/>
      <c r="C1" s="53"/>
      <c r="D1" s="53"/>
      <c r="E1" s="53"/>
      <c r="G1" s="53" t="s">
        <v>376</v>
      </c>
      <c r="H1" s="53"/>
      <c r="I1" s="53"/>
      <c r="K1" s="53" t="s">
        <v>262</v>
      </c>
      <c r="M1" s="53" t="s">
        <v>1</v>
      </c>
      <c r="N1" s="53"/>
    </row>
    <row r="2" spans="1:16" x14ac:dyDescent="0.25">
      <c r="A2" s="56" t="s">
        <v>2</v>
      </c>
      <c r="B2" s="56" t="s">
        <v>3</v>
      </c>
      <c r="C2" s="56" t="s">
        <v>4</v>
      </c>
      <c r="D2" s="56" t="s">
        <v>270</v>
      </c>
      <c r="E2" s="56" t="s">
        <v>5</v>
      </c>
      <c r="F2" s="54" t="s">
        <v>263</v>
      </c>
      <c r="G2" s="57">
        <v>46053</v>
      </c>
      <c r="H2" s="57">
        <v>46081</v>
      </c>
      <c r="I2" s="57">
        <v>46112</v>
      </c>
      <c r="K2" s="58" t="s">
        <v>375</v>
      </c>
      <c r="M2" s="58" t="s">
        <v>6</v>
      </c>
      <c r="N2" s="58" t="s">
        <v>378</v>
      </c>
      <c r="P2" s="59" t="s">
        <v>377</v>
      </c>
    </row>
    <row r="3" spans="1:16" x14ac:dyDescent="0.25">
      <c r="A3" s="55" t="s">
        <v>23</v>
      </c>
      <c r="B3" s="55" t="s">
        <v>24</v>
      </c>
      <c r="C3" s="55" t="s">
        <v>10</v>
      </c>
      <c r="D3" s="60">
        <v>0.96296296296296291</v>
      </c>
      <c r="E3" s="55" t="s">
        <v>12</v>
      </c>
      <c r="F3" s="54" t="s">
        <v>264</v>
      </c>
      <c r="G3" s="60">
        <v>0.85043986363636359</v>
      </c>
      <c r="H3" s="60">
        <v>0.875</v>
      </c>
      <c r="I3" s="60">
        <v>0.9385026363636364</v>
      </c>
      <c r="K3" s="64">
        <v>379</v>
      </c>
      <c r="M3" s="65">
        <v>2.5000000000000001E-2</v>
      </c>
      <c r="N3" s="63">
        <v>389</v>
      </c>
    </row>
    <row r="4" spans="1:16" x14ac:dyDescent="0.25">
      <c r="A4" s="55" t="s">
        <v>23</v>
      </c>
      <c r="B4" s="55" t="s">
        <v>24</v>
      </c>
      <c r="C4" s="55" t="s">
        <v>10</v>
      </c>
      <c r="D4" s="60">
        <v>0.96296296296296291</v>
      </c>
      <c r="E4" s="55" t="s">
        <v>11</v>
      </c>
      <c r="F4" s="54" t="s">
        <v>264</v>
      </c>
      <c r="G4" s="60">
        <v>0.9375</v>
      </c>
      <c r="H4" s="60">
        <v>0.95758928124999998</v>
      </c>
      <c r="I4" s="60">
        <v>0.96139703124999998</v>
      </c>
      <c r="K4" s="64">
        <v>389</v>
      </c>
      <c r="M4" s="65">
        <v>2.5000000000000001E-2</v>
      </c>
      <c r="N4" s="63">
        <v>399</v>
      </c>
    </row>
    <row r="5" spans="1:16" x14ac:dyDescent="0.25">
      <c r="A5" s="55" t="s">
        <v>23</v>
      </c>
      <c r="B5" s="55" t="s">
        <v>24</v>
      </c>
      <c r="C5" s="55" t="s">
        <v>16</v>
      </c>
      <c r="D5" s="60">
        <v>0.8</v>
      </c>
      <c r="E5" s="55" t="s">
        <v>25</v>
      </c>
      <c r="F5" s="54" t="s">
        <v>266</v>
      </c>
      <c r="G5" s="60">
        <v>0.88479257142857137</v>
      </c>
      <c r="H5" s="60">
        <v>0.95918357142857147</v>
      </c>
      <c r="I5" s="60">
        <v>0.8571428571428571</v>
      </c>
      <c r="K5" s="64">
        <v>5059</v>
      </c>
      <c r="M5" s="62"/>
      <c r="N5" s="63">
        <v>5059</v>
      </c>
    </row>
    <row r="6" spans="1:16" x14ac:dyDescent="0.25">
      <c r="A6" s="55" t="s">
        <v>23</v>
      </c>
      <c r="B6" s="55" t="s">
        <v>24</v>
      </c>
      <c r="C6" s="55" t="s">
        <v>16</v>
      </c>
      <c r="D6" s="60">
        <v>0.8</v>
      </c>
      <c r="E6" s="55" t="s">
        <v>17</v>
      </c>
      <c r="F6" s="54" t="s">
        <v>266</v>
      </c>
      <c r="G6" s="60">
        <v>0.9354838333333334</v>
      </c>
      <c r="H6" s="60">
        <v>0.85912694444444448</v>
      </c>
      <c r="I6" s="60">
        <v>0.77450977777777785</v>
      </c>
      <c r="K6" s="64">
        <v>4239</v>
      </c>
      <c r="M6" s="65">
        <v>-0.05</v>
      </c>
      <c r="N6" s="63">
        <v>4029</v>
      </c>
    </row>
    <row r="7" spans="1:16" x14ac:dyDescent="0.25">
      <c r="A7" s="55" t="s">
        <v>23</v>
      </c>
      <c r="B7" s="55" t="s">
        <v>24</v>
      </c>
      <c r="C7" s="55" t="s">
        <v>16</v>
      </c>
      <c r="D7" s="60">
        <v>0.8</v>
      </c>
      <c r="E7" s="55" t="s">
        <v>26</v>
      </c>
      <c r="F7" s="54" t="s">
        <v>266</v>
      </c>
      <c r="G7" s="60">
        <v>0.79032250000000004</v>
      </c>
      <c r="H7" s="60">
        <v>1</v>
      </c>
      <c r="I7" s="60">
        <v>1</v>
      </c>
      <c r="K7" s="64">
        <v>4979</v>
      </c>
      <c r="M7" s="62"/>
      <c r="N7" s="63">
        <v>4979</v>
      </c>
    </row>
    <row r="8" spans="1:16" x14ac:dyDescent="0.25">
      <c r="A8" s="55" t="s">
        <v>23</v>
      </c>
      <c r="B8" s="55" t="s">
        <v>24</v>
      </c>
      <c r="C8" s="55" t="s">
        <v>16</v>
      </c>
      <c r="D8" s="60">
        <v>0.8</v>
      </c>
      <c r="E8" s="55" t="s">
        <v>12</v>
      </c>
      <c r="F8" s="54" t="s">
        <v>266</v>
      </c>
      <c r="G8" s="60">
        <v>1</v>
      </c>
      <c r="H8" s="60">
        <v>1</v>
      </c>
      <c r="I8" s="60">
        <v>1</v>
      </c>
      <c r="K8" s="64">
        <v>5109</v>
      </c>
      <c r="M8" s="62"/>
      <c r="N8" s="63">
        <v>5109</v>
      </c>
    </row>
    <row r="9" spans="1:16" s="66" customFormat="1" x14ac:dyDescent="0.25">
      <c r="A9" s="55" t="s">
        <v>23</v>
      </c>
      <c r="B9" s="55" t="s">
        <v>24</v>
      </c>
      <c r="C9" s="55" t="s">
        <v>18</v>
      </c>
      <c r="D9" s="60">
        <v>0.53846153846153844</v>
      </c>
      <c r="E9" s="55" t="s">
        <v>14</v>
      </c>
      <c r="F9" s="54" t="s">
        <v>267</v>
      </c>
      <c r="G9" s="60">
        <v>0.72849458333333328</v>
      </c>
      <c r="H9" s="60">
        <v>0.64285708333333336</v>
      </c>
      <c r="I9" s="60">
        <v>0.60294116666666664</v>
      </c>
      <c r="J9" s="55"/>
      <c r="K9" s="64">
        <v>6399</v>
      </c>
      <c r="L9" s="55"/>
      <c r="M9" s="65">
        <v>-0.05</v>
      </c>
      <c r="N9" s="63">
        <v>6079</v>
      </c>
    </row>
    <row r="10" spans="1:16" x14ac:dyDescent="0.25">
      <c r="A10" s="55" t="s">
        <v>23</v>
      </c>
      <c r="B10" s="55" t="s">
        <v>24</v>
      </c>
      <c r="C10" s="55" t="s">
        <v>18</v>
      </c>
      <c r="D10" s="60">
        <v>0.53846153846153844</v>
      </c>
      <c r="E10" s="55" t="s">
        <v>15</v>
      </c>
      <c r="F10" s="54" t="s">
        <v>267</v>
      </c>
      <c r="G10" s="60">
        <v>0</v>
      </c>
      <c r="H10" s="60">
        <v>0</v>
      </c>
      <c r="I10" s="60">
        <v>0</v>
      </c>
      <c r="K10" s="64">
        <v>8879</v>
      </c>
      <c r="M10" s="65">
        <v>-0.05</v>
      </c>
      <c r="N10" s="63">
        <v>8439</v>
      </c>
    </row>
    <row r="11" spans="1:16" x14ac:dyDescent="0.25">
      <c r="A11" s="55" t="s">
        <v>23</v>
      </c>
      <c r="B11" s="55" t="s">
        <v>63</v>
      </c>
      <c r="C11" s="55" t="s">
        <v>10</v>
      </c>
      <c r="D11" s="60">
        <v>0.90163934426229508</v>
      </c>
      <c r="E11" s="55" t="s">
        <v>11</v>
      </c>
      <c r="F11" s="54" t="s">
        <v>264</v>
      </c>
      <c r="G11" s="60">
        <v>0.89516128125000005</v>
      </c>
      <c r="H11" s="60">
        <v>0.84151784375000005</v>
      </c>
      <c r="I11" s="60">
        <v>0.87867646875000005</v>
      </c>
      <c r="K11" s="64">
        <v>359</v>
      </c>
      <c r="M11" s="62"/>
      <c r="N11" s="63">
        <v>359</v>
      </c>
    </row>
    <row r="12" spans="1:16" x14ac:dyDescent="0.25">
      <c r="A12" s="55" t="s">
        <v>23</v>
      </c>
      <c r="B12" s="55" t="s">
        <v>63</v>
      </c>
      <c r="C12" s="55" t="s">
        <v>10</v>
      </c>
      <c r="D12" s="60">
        <v>0.90163934426229508</v>
      </c>
      <c r="E12" s="55" t="s">
        <v>12</v>
      </c>
      <c r="F12" s="54" t="s">
        <v>264</v>
      </c>
      <c r="G12" s="60">
        <v>0.89935480000000001</v>
      </c>
      <c r="H12" s="60">
        <v>0.89714284000000011</v>
      </c>
      <c r="I12" s="60">
        <v>0.8635294</v>
      </c>
      <c r="K12" s="64">
        <v>359</v>
      </c>
      <c r="M12" s="62"/>
      <c r="N12" s="63">
        <v>359</v>
      </c>
    </row>
    <row r="13" spans="1:16" x14ac:dyDescent="0.25">
      <c r="A13" s="55" t="s">
        <v>23</v>
      </c>
      <c r="B13" s="55" t="s">
        <v>63</v>
      </c>
      <c r="C13" s="55" t="s">
        <v>10</v>
      </c>
      <c r="D13" s="60">
        <v>0.90163934426229508</v>
      </c>
      <c r="E13" s="55" t="s">
        <v>26</v>
      </c>
      <c r="F13" s="54" t="s">
        <v>264</v>
      </c>
      <c r="G13" s="60">
        <v>0.88709674999999999</v>
      </c>
      <c r="H13" s="60">
        <v>0.6875</v>
      </c>
      <c r="I13" s="60">
        <v>0.82352924999999999</v>
      </c>
      <c r="K13" s="64">
        <v>469</v>
      </c>
      <c r="M13" s="62"/>
      <c r="N13" s="63">
        <v>469</v>
      </c>
    </row>
    <row r="14" spans="1:16" x14ac:dyDescent="0.25">
      <c r="A14" s="55" t="s">
        <v>23</v>
      </c>
      <c r="B14" s="55" t="s">
        <v>63</v>
      </c>
      <c r="C14" s="55" t="s">
        <v>18</v>
      </c>
      <c r="D14" s="60">
        <v>0.76923076923076927</v>
      </c>
      <c r="E14" s="55" t="s">
        <v>14</v>
      </c>
      <c r="F14" s="54" t="s">
        <v>267</v>
      </c>
      <c r="G14" s="60">
        <v>0.72727272727272729</v>
      </c>
      <c r="H14" s="60">
        <v>0.86038954545454549</v>
      </c>
      <c r="I14" s="60">
        <v>0.7967913636363636</v>
      </c>
      <c r="K14" s="64">
        <v>7879</v>
      </c>
      <c r="M14" s="65">
        <v>-4.9000000000000002E-2</v>
      </c>
      <c r="N14" s="63">
        <v>7499</v>
      </c>
    </row>
    <row r="15" spans="1:16" x14ac:dyDescent="0.25">
      <c r="A15" s="55" t="s">
        <v>23</v>
      </c>
      <c r="B15" s="55" t="s">
        <v>63</v>
      </c>
      <c r="C15" s="55" t="s">
        <v>18</v>
      </c>
      <c r="D15" s="60">
        <v>0.76923076923076927</v>
      </c>
      <c r="E15" s="55" t="s">
        <v>15</v>
      </c>
      <c r="F15" s="54" t="s">
        <v>267</v>
      </c>
      <c r="G15" s="60">
        <v>1</v>
      </c>
      <c r="H15" s="60">
        <v>1</v>
      </c>
      <c r="I15" s="60">
        <v>1</v>
      </c>
      <c r="K15" s="64">
        <v>9399</v>
      </c>
      <c r="M15" s="65">
        <v>-4.9000000000000002E-2</v>
      </c>
      <c r="N15" s="63">
        <v>8939</v>
      </c>
    </row>
    <row r="16" spans="1:16" x14ac:dyDescent="0.25">
      <c r="A16" s="55" t="s">
        <v>23</v>
      </c>
      <c r="B16" s="55" t="s">
        <v>63</v>
      </c>
      <c r="C16" s="55" t="s">
        <v>16</v>
      </c>
      <c r="D16" s="60">
        <v>1</v>
      </c>
      <c r="E16" s="55" t="s">
        <v>29</v>
      </c>
      <c r="F16" s="54" t="s">
        <v>266</v>
      </c>
      <c r="G16" s="60">
        <v>0.91612900000000008</v>
      </c>
      <c r="H16" s="60">
        <v>0.94642850000000001</v>
      </c>
      <c r="I16" s="60">
        <v>1</v>
      </c>
      <c r="K16" s="64">
        <v>5709</v>
      </c>
      <c r="M16" s="65">
        <v>2.5000000000000001E-2</v>
      </c>
      <c r="N16" s="63">
        <v>5859</v>
      </c>
    </row>
    <row r="17" spans="1:14" x14ac:dyDescent="0.25">
      <c r="A17" s="55" t="s">
        <v>23</v>
      </c>
      <c r="B17" s="55" t="s">
        <v>63</v>
      </c>
      <c r="C17" s="55" t="s">
        <v>16</v>
      </c>
      <c r="D17" s="60">
        <v>1</v>
      </c>
      <c r="E17" s="55" t="s">
        <v>64</v>
      </c>
      <c r="F17" s="54" t="s">
        <v>266</v>
      </c>
      <c r="G17" s="60">
        <v>1</v>
      </c>
      <c r="H17" s="60">
        <v>1</v>
      </c>
      <c r="I17" s="60">
        <v>1</v>
      </c>
      <c r="K17" s="64">
        <v>6259</v>
      </c>
      <c r="M17" s="65">
        <v>2.5000000000000001E-2</v>
      </c>
      <c r="N17" s="63">
        <v>6419</v>
      </c>
    </row>
    <row r="18" spans="1:14" x14ac:dyDescent="0.25">
      <c r="A18" s="55" t="s">
        <v>23</v>
      </c>
      <c r="B18" s="55" t="s">
        <v>63</v>
      </c>
      <c r="C18" s="55" t="s">
        <v>16</v>
      </c>
      <c r="D18" s="60">
        <v>1</v>
      </c>
      <c r="E18" s="55" t="s">
        <v>17</v>
      </c>
      <c r="F18" s="54" t="s">
        <v>266</v>
      </c>
      <c r="G18" s="60">
        <v>0.86559133333333327</v>
      </c>
      <c r="H18" s="60">
        <v>0.97023800000000004</v>
      </c>
      <c r="I18" s="60">
        <v>1</v>
      </c>
      <c r="K18" s="64">
        <v>5149</v>
      </c>
      <c r="M18" s="62"/>
      <c r="N18" s="63">
        <v>5149</v>
      </c>
    </row>
    <row r="19" spans="1:14" x14ac:dyDescent="0.25">
      <c r="A19" s="55" t="s">
        <v>23</v>
      </c>
      <c r="B19" s="55" t="s">
        <v>122</v>
      </c>
      <c r="C19" s="55" t="s">
        <v>10</v>
      </c>
      <c r="D19" s="60">
        <v>0.84848484848484851</v>
      </c>
      <c r="E19" s="55" t="s">
        <v>11</v>
      </c>
      <c r="F19" s="54" t="s">
        <v>264</v>
      </c>
      <c r="G19" s="60">
        <v>0.8571428571428571</v>
      </c>
      <c r="H19" s="60">
        <v>0.8571428571428571</v>
      </c>
      <c r="I19" s="60">
        <v>0.92717085714285707</v>
      </c>
      <c r="K19" s="64">
        <v>389</v>
      </c>
      <c r="M19" s="62"/>
      <c r="N19" s="63">
        <v>389</v>
      </c>
    </row>
    <row r="20" spans="1:14" x14ac:dyDescent="0.25">
      <c r="A20" s="55" t="s">
        <v>23</v>
      </c>
      <c r="B20" s="55" t="s">
        <v>122</v>
      </c>
      <c r="C20" s="55" t="s">
        <v>10</v>
      </c>
      <c r="D20" s="60">
        <v>0.84848484848484851</v>
      </c>
      <c r="E20" s="55" t="s">
        <v>12</v>
      </c>
      <c r="F20" s="54" t="s">
        <v>264</v>
      </c>
      <c r="G20" s="60">
        <v>0.90129682515997556</v>
      </c>
      <c r="H20" s="60">
        <v>0.88809522222222215</v>
      </c>
      <c r="I20" s="60">
        <v>0.82745097777777787</v>
      </c>
      <c r="K20" s="64">
        <v>319</v>
      </c>
      <c r="M20" s="62"/>
      <c r="N20" s="63">
        <v>319</v>
      </c>
    </row>
    <row r="21" spans="1:14" x14ac:dyDescent="0.25">
      <c r="A21" s="55" t="s">
        <v>23</v>
      </c>
      <c r="B21" s="55" t="s">
        <v>122</v>
      </c>
      <c r="C21" s="55" t="s">
        <v>16</v>
      </c>
      <c r="D21" s="60">
        <v>0.97058823529411764</v>
      </c>
      <c r="E21" s="55" t="s">
        <v>17</v>
      </c>
      <c r="F21" s="54" t="s">
        <v>266</v>
      </c>
      <c r="G21" s="60">
        <v>0.94416869230769229</v>
      </c>
      <c r="H21" s="60">
        <v>0.99725273076923071</v>
      </c>
      <c r="I21" s="60">
        <v>0.94117646153846146</v>
      </c>
      <c r="K21" s="64">
        <v>5869</v>
      </c>
      <c r="M21" s="62"/>
      <c r="N21" s="63">
        <v>5869</v>
      </c>
    </row>
    <row r="22" spans="1:14" x14ac:dyDescent="0.25">
      <c r="A22" s="55" t="s">
        <v>23</v>
      </c>
      <c r="B22" s="55" t="s">
        <v>122</v>
      </c>
      <c r="C22" s="55" t="s">
        <v>16</v>
      </c>
      <c r="D22" s="60">
        <v>0.97058823529411764</v>
      </c>
      <c r="E22" s="55" t="s">
        <v>12</v>
      </c>
      <c r="F22" s="54" t="s">
        <v>266</v>
      </c>
      <c r="G22" s="60">
        <v>1</v>
      </c>
      <c r="H22" s="60">
        <v>1</v>
      </c>
      <c r="I22" s="60">
        <v>1</v>
      </c>
      <c r="K22" s="64">
        <v>6349</v>
      </c>
      <c r="M22" s="65">
        <v>2.5000000000000001E-2</v>
      </c>
      <c r="N22" s="63">
        <v>6509</v>
      </c>
    </row>
    <row r="23" spans="1:14" x14ac:dyDescent="0.25">
      <c r="A23" s="55" t="s">
        <v>23</v>
      </c>
      <c r="B23" s="55" t="s">
        <v>122</v>
      </c>
      <c r="C23" s="55" t="s">
        <v>16</v>
      </c>
      <c r="D23" s="60">
        <v>0.97058823529411764</v>
      </c>
      <c r="E23" s="55" t="s">
        <v>123</v>
      </c>
      <c r="F23" s="54" t="s">
        <v>266</v>
      </c>
      <c r="G23" s="60">
        <v>1</v>
      </c>
      <c r="H23" s="60">
        <v>1</v>
      </c>
      <c r="I23" s="60">
        <v>1</v>
      </c>
      <c r="K23" s="64">
        <v>6749</v>
      </c>
      <c r="M23" s="62"/>
      <c r="N23" s="63">
        <v>6749</v>
      </c>
    </row>
    <row r="24" spans="1:14" s="66" customFormat="1" x14ac:dyDescent="0.25">
      <c r="A24" s="55" t="s">
        <v>23</v>
      </c>
      <c r="B24" s="55" t="s">
        <v>122</v>
      </c>
      <c r="C24" s="55" t="s">
        <v>18</v>
      </c>
      <c r="D24" s="60">
        <v>0.93103448275862066</v>
      </c>
      <c r="E24" s="55" t="s">
        <v>19</v>
      </c>
      <c r="F24" s="54" t="s">
        <v>267</v>
      </c>
      <c r="G24" s="60">
        <v>0.85273486956521727</v>
      </c>
      <c r="H24" s="60">
        <v>0.88198752173913053</v>
      </c>
      <c r="I24" s="60">
        <v>0.90281326086956515</v>
      </c>
      <c r="J24" s="55"/>
      <c r="K24" s="64">
        <v>7446.826086956522</v>
      </c>
      <c r="L24" s="55"/>
      <c r="M24" s="62"/>
      <c r="N24" s="63">
        <v>7449</v>
      </c>
    </row>
    <row r="25" spans="1:14" x14ac:dyDescent="0.25">
      <c r="A25" s="55" t="s">
        <v>23</v>
      </c>
      <c r="B25" s="55" t="s">
        <v>122</v>
      </c>
      <c r="C25" s="55" t="s">
        <v>18</v>
      </c>
      <c r="D25" s="60">
        <v>0.93103448275862066</v>
      </c>
      <c r="E25" s="55" t="s">
        <v>20</v>
      </c>
      <c r="F25" s="54" t="s">
        <v>267</v>
      </c>
      <c r="G25" s="60">
        <v>0.81182783333333342</v>
      </c>
      <c r="H25" s="60">
        <v>0.83333333333333337</v>
      </c>
      <c r="I25" s="60">
        <v>0.94117633333333339</v>
      </c>
      <c r="K25" s="64">
        <v>8109</v>
      </c>
      <c r="M25" s="62"/>
      <c r="N25" s="63">
        <v>8109</v>
      </c>
    </row>
    <row r="26" spans="1:14" s="66" customFormat="1" x14ac:dyDescent="0.25">
      <c r="A26" s="55" t="s">
        <v>23</v>
      </c>
      <c r="B26" s="55" t="s">
        <v>122</v>
      </c>
      <c r="C26" s="55" t="s">
        <v>21</v>
      </c>
      <c r="D26" s="60">
        <v>0.875</v>
      </c>
      <c r="E26" s="55" t="s">
        <v>75</v>
      </c>
      <c r="F26" s="54" t="s">
        <v>268</v>
      </c>
      <c r="G26" s="60">
        <v>1</v>
      </c>
      <c r="H26" s="60">
        <v>0.97470237500000001</v>
      </c>
      <c r="I26" s="60">
        <v>0.89460783333333327</v>
      </c>
      <c r="J26" s="55"/>
      <c r="K26" s="64">
        <v>3399</v>
      </c>
      <c r="L26" s="55"/>
      <c r="M26" s="62"/>
      <c r="N26" s="63">
        <v>3399</v>
      </c>
    </row>
    <row r="27" spans="1:14" x14ac:dyDescent="0.25">
      <c r="A27" s="55" t="s">
        <v>23</v>
      </c>
      <c r="B27" s="55" t="s">
        <v>133</v>
      </c>
      <c r="C27" s="55" t="s">
        <v>10</v>
      </c>
      <c r="D27" s="60">
        <v>0.65476190476190477</v>
      </c>
      <c r="E27" s="55" t="s">
        <v>11</v>
      </c>
      <c r="F27" s="54" t="s">
        <v>264</v>
      </c>
      <c r="G27" s="60">
        <v>0.80299537499999996</v>
      </c>
      <c r="H27" s="60">
        <v>0.75255101785714285</v>
      </c>
      <c r="I27" s="60">
        <v>0.69432771428571427</v>
      </c>
      <c r="K27" s="64">
        <v>349</v>
      </c>
      <c r="M27" s="62"/>
      <c r="N27" s="63">
        <v>349</v>
      </c>
    </row>
    <row r="28" spans="1:14" x14ac:dyDescent="0.25">
      <c r="A28" s="55" t="s">
        <v>23</v>
      </c>
      <c r="B28" s="55" t="s">
        <v>133</v>
      </c>
      <c r="C28" s="55" t="s">
        <v>10</v>
      </c>
      <c r="D28" s="60">
        <v>0.65476190476190477</v>
      </c>
      <c r="E28" s="55" t="s">
        <v>12</v>
      </c>
      <c r="F28" s="54" t="s">
        <v>264</v>
      </c>
      <c r="G28" s="60">
        <v>0.9158986071428572</v>
      </c>
      <c r="H28" s="60">
        <v>0.93239792857142856</v>
      </c>
      <c r="I28" s="60">
        <v>0.78991596428571431</v>
      </c>
      <c r="K28" s="64">
        <v>299</v>
      </c>
      <c r="M28" s="62"/>
      <c r="N28" s="63">
        <v>299</v>
      </c>
    </row>
    <row r="29" spans="1:14" x14ac:dyDescent="0.25">
      <c r="A29" s="55" t="s">
        <v>23</v>
      </c>
      <c r="B29" s="55" t="s">
        <v>133</v>
      </c>
      <c r="C29" s="55" t="s">
        <v>16</v>
      </c>
      <c r="D29" s="60">
        <v>0.625</v>
      </c>
      <c r="E29" s="55" t="s">
        <v>17</v>
      </c>
      <c r="F29" s="54" t="s">
        <v>266</v>
      </c>
      <c r="G29" s="60">
        <v>0.64112900000000006</v>
      </c>
      <c r="H29" s="60">
        <v>0.5625</v>
      </c>
      <c r="I29" s="60">
        <v>0.59191174999999996</v>
      </c>
      <c r="K29" s="64">
        <v>2459</v>
      </c>
      <c r="M29" s="65">
        <v>-0.05</v>
      </c>
      <c r="N29" s="63">
        <v>2339</v>
      </c>
    </row>
    <row r="30" spans="1:14" x14ac:dyDescent="0.25">
      <c r="A30" s="55" t="s">
        <v>23</v>
      </c>
      <c r="B30" s="55" t="s">
        <v>134</v>
      </c>
      <c r="C30" s="55" t="s">
        <v>10</v>
      </c>
      <c r="D30" s="60">
        <v>0.89473684210526316</v>
      </c>
      <c r="E30" s="55" t="s">
        <v>11</v>
      </c>
      <c r="F30" s="54" t="s">
        <v>264</v>
      </c>
      <c r="G30" s="60">
        <v>0.80570141860465117</v>
      </c>
      <c r="H30" s="60">
        <v>0.88953488372093026</v>
      </c>
      <c r="I30" s="60">
        <v>0.92065662790697667</v>
      </c>
      <c r="K30" s="64">
        <v>339</v>
      </c>
      <c r="M30" s="62"/>
      <c r="N30" s="63">
        <v>339</v>
      </c>
    </row>
    <row r="31" spans="1:14" x14ac:dyDescent="0.25">
      <c r="A31" s="55" t="s">
        <v>23</v>
      </c>
      <c r="B31" s="55" t="s">
        <v>134</v>
      </c>
      <c r="C31" s="55" t="s">
        <v>10</v>
      </c>
      <c r="D31" s="60">
        <v>0.89473684210526316</v>
      </c>
      <c r="E31" s="55" t="s">
        <v>12</v>
      </c>
      <c r="F31" s="54" t="s">
        <v>264</v>
      </c>
      <c r="G31" s="60">
        <v>0.71658985714285717</v>
      </c>
      <c r="H31" s="60">
        <v>0.69897957142857148</v>
      </c>
      <c r="I31" s="60">
        <v>0.76890749999999997</v>
      </c>
      <c r="K31" s="64">
        <v>299</v>
      </c>
      <c r="M31" s="65"/>
      <c r="N31" s="63">
        <v>299</v>
      </c>
    </row>
    <row r="32" spans="1:14" x14ac:dyDescent="0.25">
      <c r="A32" s="55" t="s">
        <v>23</v>
      </c>
      <c r="B32" s="55" t="s">
        <v>134</v>
      </c>
      <c r="C32" s="55" t="s">
        <v>18</v>
      </c>
      <c r="D32" s="60">
        <v>1</v>
      </c>
      <c r="E32" s="55" t="s">
        <v>14</v>
      </c>
      <c r="F32" s="54" t="s">
        <v>267</v>
      </c>
      <c r="G32" s="60">
        <v>0.97849455555555542</v>
      </c>
      <c r="H32" s="60">
        <v>0.9642856666666666</v>
      </c>
      <c r="I32" s="60">
        <v>1</v>
      </c>
      <c r="K32" s="64">
        <v>6329</v>
      </c>
      <c r="M32" s="65">
        <v>0.05</v>
      </c>
      <c r="N32" s="63">
        <v>6649</v>
      </c>
    </row>
    <row r="33" spans="1:14" x14ac:dyDescent="0.25">
      <c r="A33" s="55" t="s">
        <v>23</v>
      </c>
      <c r="B33" s="55" t="s">
        <v>134</v>
      </c>
      <c r="C33" s="55" t="s">
        <v>18</v>
      </c>
      <c r="D33" s="60">
        <v>1</v>
      </c>
      <c r="E33" s="55" t="s">
        <v>15</v>
      </c>
      <c r="F33" s="54" t="s">
        <v>267</v>
      </c>
      <c r="G33" s="60">
        <v>1</v>
      </c>
      <c r="H33" s="60">
        <v>0.85714250000000003</v>
      </c>
      <c r="I33" s="60">
        <v>0.91176449999999998</v>
      </c>
      <c r="K33" s="64">
        <v>6519</v>
      </c>
      <c r="M33" s="67">
        <v>0.02</v>
      </c>
      <c r="N33" s="63">
        <v>6649</v>
      </c>
    </row>
    <row r="34" spans="1:14" x14ac:dyDescent="0.25">
      <c r="A34" s="55" t="s">
        <v>23</v>
      </c>
      <c r="B34" s="55" t="s">
        <v>134</v>
      </c>
      <c r="C34" s="55" t="s">
        <v>16</v>
      </c>
      <c r="D34" s="60">
        <v>0.76666666666666672</v>
      </c>
      <c r="E34" s="55" t="s">
        <v>17</v>
      </c>
      <c r="F34" s="54" t="s">
        <v>266</v>
      </c>
      <c r="G34" s="60">
        <v>0.78299118181818173</v>
      </c>
      <c r="H34" s="60">
        <v>0.73538954545454549</v>
      </c>
      <c r="I34" s="60">
        <v>0.77005345454545449</v>
      </c>
      <c r="K34" s="64">
        <v>3330.818181818182</v>
      </c>
      <c r="M34" s="65">
        <v>-0.05</v>
      </c>
      <c r="N34" s="63">
        <v>3169</v>
      </c>
    </row>
    <row r="35" spans="1:14" s="66" customFormat="1" x14ac:dyDescent="0.25">
      <c r="A35" s="55" t="s">
        <v>23</v>
      </c>
      <c r="B35" s="55" t="s">
        <v>134</v>
      </c>
      <c r="C35" s="55" t="s">
        <v>16</v>
      </c>
      <c r="D35" s="60">
        <v>0.76666666666666672</v>
      </c>
      <c r="E35" s="55" t="s">
        <v>26</v>
      </c>
      <c r="F35" s="54" t="s">
        <v>266</v>
      </c>
      <c r="G35" s="60">
        <v>1</v>
      </c>
      <c r="H35" s="60">
        <v>1</v>
      </c>
      <c r="I35" s="60">
        <v>1</v>
      </c>
      <c r="J35" s="55"/>
      <c r="K35" s="64">
        <v>3889</v>
      </c>
      <c r="L35" s="55"/>
      <c r="M35" s="62"/>
      <c r="N35" s="63">
        <v>3889</v>
      </c>
    </row>
    <row r="36" spans="1:14" x14ac:dyDescent="0.25">
      <c r="A36" s="55" t="s">
        <v>23</v>
      </c>
      <c r="B36" s="55" t="s">
        <v>134</v>
      </c>
      <c r="C36" s="55" t="s">
        <v>16</v>
      </c>
      <c r="D36" s="60">
        <v>0.76666666666666672</v>
      </c>
      <c r="E36" s="55" t="s">
        <v>25</v>
      </c>
      <c r="F36" s="54" t="s">
        <v>266</v>
      </c>
      <c r="G36" s="60">
        <v>0.74193525000000005</v>
      </c>
      <c r="H36" s="60">
        <v>0.5</v>
      </c>
      <c r="I36" s="60">
        <v>0.5</v>
      </c>
      <c r="K36" s="64">
        <v>4229</v>
      </c>
      <c r="M36" s="65">
        <v>-5.5E-2</v>
      </c>
      <c r="N36" s="63">
        <v>3999</v>
      </c>
    </row>
    <row r="37" spans="1:14" x14ac:dyDescent="0.25">
      <c r="A37" s="55" t="s">
        <v>23</v>
      </c>
      <c r="B37" s="55" t="s">
        <v>188</v>
      </c>
      <c r="C37" s="55" t="s">
        <v>10</v>
      </c>
      <c r="D37" s="60">
        <v>0.92156862745098034</v>
      </c>
      <c r="E37" s="55" t="s">
        <v>11</v>
      </c>
      <c r="F37" s="54" t="s">
        <v>264</v>
      </c>
      <c r="G37" s="60">
        <v>0.95564515625000002</v>
      </c>
      <c r="H37" s="60">
        <v>0.93415178124999998</v>
      </c>
      <c r="I37" s="60">
        <v>0.96875</v>
      </c>
      <c r="K37" s="64">
        <v>349</v>
      </c>
      <c r="M37" s="65">
        <v>2.5000000000000001E-2</v>
      </c>
      <c r="N37" s="63">
        <v>359</v>
      </c>
    </row>
    <row r="38" spans="1:14" x14ac:dyDescent="0.25">
      <c r="A38" s="55" t="s">
        <v>23</v>
      </c>
      <c r="B38" s="55" t="s">
        <v>188</v>
      </c>
      <c r="C38" s="55" t="s">
        <v>10</v>
      </c>
      <c r="D38" s="60">
        <v>0.92156862745098034</v>
      </c>
      <c r="E38" s="55" t="s">
        <v>12</v>
      </c>
      <c r="F38" s="54" t="s">
        <v>264</v>
      </c>
      <c r="G38" s="60">
        <v>0.88794563157894735</v>
      </c>
      <c r="H38" s="60">
        <v>0.87781952631578952</v>
      </c>
      <c r="I38" s="60">
        <v>0.8575851052631579</v>
      </c>
      <c r="K38" s="64">
        <v>349</v>
      </c>
      <c r="M38" s="62"/>
      <c r="N38" s="63">
        <v>349</v>
      </c>
    </row>
    <row r="39" spans="1:14" x14ac:dyDescent="0.25">
      <c r="A39" s="55" t="s">
        <v>23</v>
      </c>
      <c r="B39" s="55" t="s">
        <v>188</v>
      </c>
      <c r="C39" s="55" t="s">
        <v>16</v>
      </c>
      <c r="D39" s="60">
        <v>1</v>
      </c>
      <c r="E39" s="55" t="s">
        <v>17</v>
      </c>
      <c r="F39" s="54" t="s">
        <v>266</v>
      </c>
      <c r="G39" s="60">
        <v>1</v>
      </c>
      <c r="H39" s="60">
        <v>0.99047613333333329</v>
      </c>
      <c r="I39" s="60">
        <v>0.98823526666666672</v>
      </c>
      <c r="K39" s="64">
        <v>4599</v>
      </c>
      <c r="M39" s="65"/>
      <c r="N39" s="63">
        <v>4599</v>
      </c>
    </row>
    <row r="40" spans="1:14" x14ac:dyDescent="0.25">
      <c r="A40" s="55" t="s">
        <v>23</v>
      </c>
      <c r="B40" s="55" t="s">
        <v>199</v>
      </c>
      <c r="C40" s="55" t="s">
        <v>10</v>
      </c>
      <c r="D40" s="60">
        <v>0.93103448275862066</v>
      </c>
      <c r="E40" s="55" t="s">
        <v>11</v>
      </c>
      <c r="F40" s="54" t="s">
        <v>264</v>
      </c>
      <c r="G40" s="60">
        <v>0.90322580000000008</v>
      </c>
      <c r="H40" s="60">
        <v>0.96428559999999996</v>
      </c>
      <c r="I40" s="60">
        <v>0.97647039999999996</v>
      </c>
      <c r="K40" s="64">
        <v>339</v>
      </c>
      <c r="M40" s="65">
        <v>2.5000000000000001E-2</v>
      </c>
      <c r="N40" s="63">
        <v>349</v>
      </c>
    </row>
    <row r="41" spans="1:14" x14ac:dyDescent="0.25">
      <c r="A41" s="55" t="s">
        <v>23</v>
      </c>
      <c r="B41" s="55" t="s">
        <v>199</v>
      </c>
      <c r="C41" s="55" t="s">
        <v>10</v>
      </c>
      <c r="D41" s="60">
        <v>0.93103448275862066</v>
      </c>
      <c r="E41" s="55" t="s">
        <v>12</v>
      </c>
      <c r="F41" s="54" t="s">
        <v>264</v>
      </c>
      <c r="G41" s="60">
        <v>0.89105294339622643</v>
      </c>
      <c r="H41" s="60">
        <v>0.92250673584905662</v>
      </c>
      <c r="I41" s="60">
        <v>0.97225303773584915</v>
      </c>
      <c r="K41" s="64">
        <v>279</v>
      </c>
      <c r="M41" s="65">
        <v>2.5000000000000001E-2</v>
      </c>
      <c r="N41" s="63">
        <v>289</v>
      </c>
    </row>
    <row r="42" spans="1:14" x14ac:dyDescent="0.25">
      <c r="A42" s="55" t="s">
        <v>23</v>
      </c>
      <c r="B42" s="55" t="s">
        <v>199</v>
      </c>
      <c r="C42" s="55" t="s">
        <v>18</v>
      </c>
      <c r="D42" s="60">
        <v>0.72727272727272729</v>
      </c>
      <c r="E42" s="55" t="s">
        <v>14</v>
      </c>
      <c r="F42" s="54" t="s">
        <v>267</v>
      </c>
      <c r="G42" s="60">
        <v>0.87455188888888891</v>
      </c>
      <c r="H42" s="60">
        <v>0.82142855555555561</v>
      </c>
      <c r="I42" s="60">
        <v>0.67320255555555564</v>
      </c>
      <c r="K42" s="64">
        <v>7489</v>
      </c>
      <c r="M42" s="65">
        <v>-0.05</v>
      </c>
      <c r="N42" s="63">
        <v>7119</v>
      </c>
    </row>
    <row r="43" spans="1:14" x14ac:dyDescent="0.25">
      <c r="A43" s="55" t="s">
        <v>23</v>
      </c>
      <c r="B43" s="55" t="s">
        <v>199</v>
      </c>
      <c r="C43" s="55" t="s">
        <v>18</v>
      </c>
      <c r="D43" s="60">
        <v>0.72727272727272729</v>
      </c>
      <c r="E43" s="55" t="s">
        <v>15</v>
      </c>
      <c r="F43" s="54" t="s">
        <v>267</v>
      </c>
      <c r="G43" s="60">
        <v>1</v>
      </c>
      <c r="H43" s="60">
        <v>1</v>
      </c>
      <c r="I43" s="60">
        <v>1</v>
      </c>
      <c r="K43" s="64">
        <v>9369</v>
      </c>
      <c r="M43" s="65">
        <v>-0.05</v>
      </c>
      <c r="N43" s="63">
        <v>8909</v>
      </c>
    </row>
    <row r="44" spans="1:14" x14ac:dyDescent="0.25">
      <c r="A44" s="55" t="s">
        <v>23</v>
      </c>
      <c r="B44" s="55" t="s">
        <v>199</v>
      </c>
      <c r="C44" s="55" t="s">
        <v>16</v>
      </c>
      <c r="D44" s="60">
        <v>0.72727272727272729</v>
      </c>
      <c r="E44" s="55" t="s">
        <v>17</v>
      </c>
      <c r="F44" s="54" t="s">
        <v>266</v>
      </c>
      <c r="G44" s="60">
        <v>0.82616483333333335</v>
      </c>
      <c r="H44" s="60">
        <v>0.83134916666666669</v>
      </c>
      <c r="I44" s="60">
        <v>0.83006533333333332</v>
      </c>
      <c r="K44" s="64">
        <v>5359</v>
      </c>
      <c r="M44" s="62"/>
      <c r="N44" s="63">
        <v>5359</v>
      </c>
    </row>
    <row r="45" spans="1:14" x14ac:dyDescent="0.25">
      <c r="A45" s="55" t="s">
        <v>23</v>
      </c>
      <c r="B45" s="55" t="s">
        <v>199</v>
      </c>
      <c r="C45" s="55" t="s">
        <v>16</v>
      </c>
      <c r="D45" s="60">
        <v>0.72727272727272729</v>
      </c>
      <c r="E45" s="55" t="s">
        <v>12</v>
      </c>
      <c r="F45" s="54" t="s">
        <v>266</v>
      </c>
      <c r="G45" s="60">
        <v>0.25</v>
      </c>
      <c r="H45" s="60">
        <v>0.25</v>
      </c>
      <c r="I45" s="60">
        <v>0.25</v>
      </c>
      <c r="K45" s="64">
        <v>5959</v>
      </c>
      <c r="M45" s="62"/>
      <c r="N45" s="63">
        <v>5959</v>
      </c>
    </row>
    <row r="46" spans="1:14" x14ac:dyDescent="0.25">
      <c r="A46" s="55" t="s">
        <v>23</v>
      </c>
      <c r="B46" s="55" t="s">
        <v>200</v>
      </c>
      <c r="C46" s="55" t="s">
        <v>46</v>
      </c>
      <c r="D46" s="60">
        <v>0.89830508474576276</v>
      </c>
      <c r="E46" s="55" t="s">
        <v>25</v>
      </c>
      <c r="F46" s="54" t="s">
        <v>269</v>
      </c>
      <c r="G46" s="60">
        <v>1</v>
      </c>
      <c r="H46" s="60">
        <v>0.97586870270270276</v>
      </c>
      <c r="I46" s="60">
        <v>0.97297297297297303</v>
      </c>
      <c r="K46" s="64">
        <v>2809</v>
      </c>
      <c r="M46" s="65">
        <v>2.5000000000000001E-2</v>
      </c>
      <c r="N46" s="63">
        <v>2879</v>
      </c>
    </row>
    <row r="47" spans="1:14" x14ac:dyDescent="0.25">
      <c r="A47" s="55" t="s">
        <v>23</v>
      </c>
      <c r="B47" s="55" t="s">
        <v>200</v>
      </c>
      <c r="C47" s="55" t="s">
        <v>46</v>
      </c>
      <c r="D47" s="60">
        <v>0.89830508474576276</v>
      </c>
      <c r="E47" s="55" t="s">
        <v>17</v>
      </c>
      <c r="F47" s="54" t="s">
        <v>269</v>
      </c>
      <c r="G47" s="60">
        <v>0.79233868750000003</v>
      </c>
      <c r="H47" s="60">
        <v>0.83928568749999999</v>
      </c>
      <c r="I47" s="60">
        <v>0.8125</v>
      </c>
      <c r="K47" s="64">
        <v>2239</v>
      </c>
      <c r="M47" s="62"/>
      <c r="N47" s="63">
        <v>2239</v>
      </c>
    </row>
    <row r="48" spans="1:14" x14ac:dyDescent="0.25">
      <c r="A48" s="55" t="s">
        <v>23</v>
      </c>
      <c r="B48" s="55" t="s">
        <v>200</v>
      </c>
      <c r="C48" s="55" t="s">
        <v>46</v>
      </c>
      <c r="D48" s="60">
        <v>0.89830508474576276</v>
      </c>
      <c r="E48" s="55" t="s">
        <v>118</v>
      </c>
      <c r="F48" s="54" t="s">
        <v>269</v>
      </c>
      <c r="G48" s="60">
        <v>0.5</v>
      </c>
      <c r="H48" s="60">
        <v>0.5</v>
      </c>
      <c r="I48" s="60">
        <v>0.5</v>
      </c>
      <c r="K48" s="64">
        <v>5809</v>
      </c>
      <c r="M48" s="62"/>
      <c r="N48" s="63">
        <v>5809</v>
      </c>
    </row>
    <row r="49" spans="1:14" s="66" customFormat="1" x14ac:dyDescent="0.25">
      <c r="A49" s="55" t="s">
        <v>23</v>
      </c>
      <c r="B49" s="55" t="s">
        <v>200</v>
      </c>
      <c r="C49" s="55" t="s">
        <v>46</v>
      </c>
      <c r="D49" s="60">
        <v>0.89830508474576276</v>
      </c>
      <c r="E49" s="55" t="s">
        <v>52</v>
      </c>
      <c r="F49" s="54" t="s">
        <v>269</v>
      </c>
      <c r="G49" s="60">
        <v>1</v>
      </c>
      <c r="H49" s="60">
        <v>1</v>
      </c>
      <c r="I49" s="60">
        <v>1</v>
      </c>
      <c r="J49" s="55"/>
      <c r="K49" s="64">
        <v>4539</v>
      </c>
      <c r="L49" s="55"/>
      <c r="M49" s="62"/>
      <c r="N49" s="63">
        <v>4539</v>
      </c>
    </row>
    <row r="50" spans="1:14" x14ac:dyDescent="0.25">
      <c r="A50" s="55" t="s">
        <v>23</v>
      </c>
      <c r="B50" s="55" t="s">
        <v>246</v>
      </c>
      <c r="C50" s="55" t="s">
        <v>10</v>
      </c>
      <c r="D50" s="60">
        <v>0.92727272727272725</v>
      </c>
      <c r="E50" s="55" t="s">
        <v>11</v>
      </c>
      <c r="F50" s="54" t="s">
        <v>264</v>
      </c>
      <c r="G50" s="60">
        <v>0.96702508888888883</v>
      </c>
      <c r="H50" s="60">
        <v>0.92460315555555561</v>
      </c>
      <c r="I50" s="60">
        <v>0.92941175555555555</v>
      </c>
      <c r="K50" s="64">
        <v>369</v>
      </c>
      <c r="M50" s="62"/>
      <c r="N50" s="63">
        <v>369</v>
      </c>
    </row>
    <row r="51" spans="1:14" x14ac:dyDescent="0.25">
      <c r="A51" s="55" t="s">
        <v>23</v>
      </c>
      <c r="B51" s="55" t="s">
        <v>246</v>
      </c>
      <c r="C51" s="55" t="s">
        <v>10</v>
      </c>
      <c r="D51" s="60">
        <v>0.92727272727272725</v>
      </c>
      <c r="E51" s="55" t="s">
        <v>12</v>
      </c>
      <c r="F51" s="54" t="s">
        <v>264</v>
      </c>
      <c r="G51" s="60">
        <v>0.94516120000000003</v>
      </c>
      <c r="H51" s="60">
        <v>0.91785709999999998</v>
      </c>
      <c r="I51" s="60">
        <v>0.9</v>
      </c>
      <c r="K51" s="64">
        <v>349</v>
      </c>
      <c r="M51" s="62"/>
      <c r="N51" s="63">
        <v>349</v>
      </c>
    </row>
    <row r="52" spans="1:14" x14ac:dyDescent="0.25">
      <c r="A52" s="55" t="s">
        <v>23</v>
      </c>
      <c r="B52" s="55" t="s">
        <v>246</v>
      </c>
      <c r="C52" s="55" t="s">
        <v>18</v>
      </c>
      <c r="D52" s="60">
        <v>0.90909090909090906</v>
      </c>
      <c r="E52" s="55" t="s">
        <v>53</v>
      </c>
      <c r="F52" s="54" t="s">
        <v>267</v>
      </c>
      <c r="G52" s="60">
        <v>0.83512544444444448</v>
      </c>
      <c r="H52" s="60">
        <v>0.77777777777777779</v>
      </c>
      <c r="I52" s="60">
        <v>0.83006533333333332</v>
      </c>
      <c r="K52" s="64">
        <v>6719</v>
      </c>
      <c r="M52" s="62"/>
      <c r="N52" s="63">
        <v>6719</v>
      </c>
    </row>
    <row r="53" spans="1:14" x14ac:dyDescent="0.25">
      <c r="A53" s="55" t="s">
        <v>23</v>
      </c>
      <c r="B53" s="55" t="s">
        <v>246</v>
      </c>
      <c r="C53" s="55" t="s">
        <v>18</v>
      </c>
      <c r="D53" s="60">
        <v>0.90909090909090906</v>
      </c>
      <c r="E53" s="55" t="s">
        <v>247</v>
      </c>
      <c r="F53" s="54" t="s">
        <v>267</v>
      </c>
      <c r="G53" s="60">
        <v>0.66129000000000004</v>
      </c>
      <c r="H53" s="60">
        <v>1</v>
      </c>
      <c r="I53" s="60">
        <v>1</v>
      </c>
      <c r="K53" s="64">
        <v>7309</v>
      </c>
      <c r="M53" s="62"/>
      <c r="N53" s="63">
        <v>7309</v>
      </c>
    </row>
    <row r="54" spans="1:14" x14ac:dyDescent="0.25">
      <c r="A54" s="55" t="s">
        <v>23</v>
      </c>
      <c r="B54" s="55" t="s">
        <v>246</v>
      </c>
      <c r="C54" s="55" t="s">
        <v>16</v>
      </c>
      <c r="D54" s="60">
        <v>1</v>
      </c>
      <c r="E54" s="55" t="s">
        <v>17</v>
      </c>
      <c r="F54" s="54" t="s">
        <v>266</v>
      </c>
      <c r="G54" s="60">
        <v>0.96505375000000004</v>
      </c>
      <c r="H54" s="60">
        <v>1</v>
      </c>
      <c r="I54" s="60">
        <v>0.99264704166666673</v>
      </c>
      <c r="K54" s="64">
        <v>5269</v>
      </c>
      <c r="M54" s="65">
        <v>2.5000000000000001E-2</v>
      </c>
      <c r="N54" s="63">
        <v>5409</v>
      </c>
    </row>
    <row r="55" spans="1:14" x14ac:dyDescent="0.25">
      <c r="A55" s="55" t="s">
        <v>23</v>
      </c>
      <c r="B55" s="55" t="s">
        <v>246</v>
      </c>
      <c r="C55" s="55" t="s">
        <v>16</v>
      </c>
      <c r="D55" s="60">
        <v>1</v>
      </c>
      <c r="E55" s="55" t="s">
        <v>26</v>
      </c>
      <c r="F55" s="54" t="s">
        <v>266</v>
      </c>
      <c r="G55" s="60">
        <v>1</v>
      </c>
      <c r="H55" s="60">
        <v>1</v>
      </c>
      <c r="I55" s="60">
        <v>1</v>
      </c>
      <c r="K55" s="64">
        <v>5689</v>
      </c>
      <c r="M55" s="62"/>
      <c r="N55" s="63">
        <v>5689</v>
      </c>
    </row>
    <row r="56" spans="1:14" x14ac:dyDescent="0.25">
      <c r="A56" s="55" t="s">
        <v>23</v>
      </c>
      <c r="B56" s="55" t="s">
        <v>246</v>
      </c>
      <c r="C56" s="55" t="s">
        <v>16</v>
      </c>
      <c r="D56" s="60">
        <v>1</v>
      </c>
      <c r="E56" s="55" t="s">
        <v>82</v>
      </c>
      <c r="F56" s="54" t="s">
        <v>266</v>
      </c>
      <c r="G56" s="60">
        <v>1</v>
      </c>
      <c r="H56" s="60">
        <v>1</v>
      </c>
      <c r="I56" s="60">
        <v>1</v>
      </c>
      <c r="K56" s="64">
        <v>5889</v>
      </c>
      <c r="M56" s="62"/>
      <c r="N56" s="63">
        <v>5889</v>
      </c>
    </row>
    <row r="57" spans="1:14" x14ac:dyDescent="0.25">
      <c r="A57" s="55" t="s">
        <v>37</v>
      </c>
      <c r="B57" s="55" t="s">
        <v>38</v>
      </c>
      <c r="C57" s="55" t="s">
        <v>10</v>
      </c>
      <c r="D57" s="60">
        <v>0.87012987012987009</v>
      </c>
      <c r="E57" s="55" t="s">
        <v>11</v>
      </c>
      <c r="F57" s="54" t="s">
        <v>264</v>
      </c>
      <c r="G57" s="60">
        <v>0.88494623333333344</v>
      </c>
      <c r="H57" s="60">
        <v>0.9178571333333333</v>
      </c>
      <c r="I57" s="60">
        <v>0.86078430000000006</v>
      </c>
      <c r="K57" s="64">
        <v>439</v>
      </c>
      <c r="M57" s="62"/>
      <c r="N57" s="63">
        <v>439</v>
      </c>
    </row>
    <row r="58" spans="1:14" x14ac:dyDescent="0.25">
      <c r="A58" s="55" t="s">
        <v>37</v>
      </c>
      <c r="B58" s="55" t="s">
        <v>38</v>
      </c>
      <c r="C58" s="55" t="s">
        <v>10</v>
      </c>
      <c r="D58" s="60">
        <v>0.87012987012987009</v>
      </c>
      <c r="E58" s="55" t="s">
        <v>12</v>
      </c>
      <c r="F58" s="54" t="s">
        <v>264</v>
      </c>
      <c r="G58" s="60">
        <v>0.90665751063829791</v>
      </c>
      <c r="H58" s="60">
        <v>0.89133738297872334</v>
      </c>
      <c r="I58" s="60">
        <v>0.8961201489361702</v>
      </c>
      <c r="K58" s="64">
        <v>369</v>
      </c>
      <c r="M58" s="62"/>
      <c r="N58" s="63">
        <v>369</v>
      </c>
    </row>
    <row r="59" spans="1:14" x14ac:dyDescent="0.25">
      <c r="A59" s="55" t="s">
        <v>37</v>
      </c>
      <c r="B59" s="55" t="s">
        <v>38</v>
      </c>
      <c r="C59" s="55" t="s">
        <v>16</v>
      </c>
      <c r="D59" s="60">
        <v>0.96666666666666667</v>
      </c>
      <c r="E59" s="55" t="s">
        <v>17</v>
      </c>
      <c r="F59" s="54" t="s">
        <v>266</v>
      </c>
      <c r="G59" s="60">
        <v>0.94838706666666672</v>
      </c>
      <c r="H59" s="60">
        <v>0.97619046666666665</v>
      </c>
      <c r="I59" s="60">
        <v>0.96862743333333334</v>
      </c>
      <c r="K59" s="64">
        <v>5169</v>
      </c>
      <c r="M59" s="65">
        <v>2.5000000000000001E-2</v>
      </c>
      <c r="N59" s="63">
        <v>5299</v>
      </c>
    </row>
    <row r="60" spans="1:14" x14ac:dyDescent="0.25">
      <c r="A60" s="55" t="s">
        <v>37</v>
      </c>
      <c r="B60" s="55" t="s">
        <v>43</v>
      </c>
      <c r="C60" s="55" t="s">
        <v>10</v>
      </c>
      <c r="D60" s="60">
        <v>0.8833333333333333</v>
      </c>
      <c r="E60" s="55" t="s">
        <v>17</v>
      </c>
      <c r="F60" s="54" t="s">
        <v>264</v>
      </c>
      <c r="G60" s="60">
        <v>0.89919347916666659</v>
      </c>
      <c r="H60" s="60">
        <v>0.877976125</v>
      </c>
      <c r="I60" s="60">
        <v>0.87867641666666663</v>
      </c>
      <c r="K60" s="64">
        <v>406.70833333333331</v>
      </c>
      <c r="M60" s="62"/>
      <c r="N60" s="63">
        <v>409</v>
      </c>
    </row>
    <row r="61" spans="1:14" x14ac:dyDescent="0.25">
      <c r="A61" s="55" t="s">
        <v>37</v>
      </c>
      <c r="B61" s="55" t="s">
        <v>43</v>
      </c>
      <c r="C61" s="55" t="s">
        <v>10</v>
      </c>
      <c r="D61" s="60">
        <v>0.8833333333333333</v>
      </c>
      <c r="E61" s="55" t="s">
        <v>44</v>
      </c>
      <c r="F61" s="54" t="s">
        <v>264</v>
      </c>
      <c r="G61" s="60">
        <v>0.97043000000000001</v>
      </c>
      <c r="H61" s="60">
        <v>0.99702374999999999</v>
      </c>
      <c r="I61" s="60">
        <v>0.94117633333333328</v>
      </c>
      <c r="K61" s="64">
        <v>355.66666666666669</v>
      </c>
      <c r="M61" s="62"/>
      <c r="N61" s="63">
        <v>359</v>
      </c>
    </row>
    <row r="62" spans="1:14" x14ac:dyDescent="0.25">
      <c r="A62" s="55" t="s">
        <v>37</v>
      </c>
      <c r="B62" s="55" t="s">
        <v>43</v>
      </c>
      <c r="C62" s="55" t="s">
        <v>16</v>
      </c>
      <c r="D62" s="60">
        <v>1</v>
      </c>
      <c r="E62" s="55" t="s">
        <v>17</v>
      </c>
      <c r="F62" s="54" t="s">
        <v>266</v>
      </c>
      <c r="G62" s="60">
        <v>0.9634408000000001</v>
      </c>
      <c r="H62" s="60">
        <v>0.98809520000000006</v>
      </c>
      <c r="I62" s="60">
        <v>0.99607840000000003</v>
      </c>
      <c r="K62" s="64">
        <v>6837.666666666667</v>
      </c>
      <c r="M62" s="65">
        <v>0.05</v>
      </c>
      <c r="N62" s="63">
        <v>7179</v>
      </c>
    </row>
    <row r="63" spans="1:14" x14ac:dyDescent="0.25">
      <c r="A63" s="55" t="s">
        <v>37</v>
      </c>
      <c r="B63" s="55" t="s">
        <v>43</v>
      </c>
      <c r="C63" s="55" t="s">
        <v>16</v>
      </c>
      <c r="D63" s="60">
        <v>1</v>
      </c>
      <c r="E63" s="55" t="s">
        <v>44</v>
      </c>
      <c r="F63" s="54" t="s">
        <v>266</v>
      </c>
      <c r="G63" s="60">
        <v>0.86290299999999998</v>
      </c>
      <c r="H63" s="60">
        <v>0.98214274999999995</v>
      </c>
      <c r="I63" s="60">
        <v>1</v>
      </c>
      <c r="K63" s="64">
        <v>7711.5</v>
      </c>
      <c r="M63" s="62"/>
      <c r="N63" s="63">
        <v>7719</v>
      </c>
    </row>
    <row r="64" spans="1:14" x14ac:dyDescent="0.25">
      <c r="A64" s="55" t="s">
        <v>37</v>
      </c>
      <c r="B64" s="55" t="s">
        <v>43</v>
      </c>
      <c r="C64" s="55" t="s">
        <v>18</v>
      </c>
      <c r="D64" s="60">
        <v>0.8666666666666667</v>
      </c>
      <c r="E64" s="55" t="s">
        <v>32</v>
      </c>
      <c r="F64" s="54" t="s">
        <v>267</v>
      </c>
      <c r="G64" s="60">
        <v>1</v>
      </c>
      <c r="H64" s="60">
        <v>0.94940474999999991</v>
      </c>
      <c r="I64" s="60">
        <v>0.87745091666666664</v>
      </c>
      <c r="K64" s="64">
        <v>7926.5</v>
      </c>
      <c r="M64" s="62"/>
      <c r="N64" s="63">
        <v>7929</v>
      </c>
    </row>
    <row r="65" spans="1:14" x14ac:dyDescent="0.25">
      <c r="A65" s="55" t="s">
        <v>37</v>
      </c>
      <c r="B65" s="55" t="s">
        <v>43</v>
      </c>
      <c r="C65" s="55" t="s">
        <v>18</v>
      </c>
      <c r="D65" s="60">
        <v>0.8666666666666667</v>
      </c>
      <c r="E65" s="55" t="s">
        <v>45</v>
      </c>
      <c r="F65" s="54" t="s">
        <v>267</v>
      </c>
      <c r="G65" s="60">
        <v>0.92473099999999997</v>
      </c>
      <c r="H65" s="60">
        <v>0.98809499999999995</v>
      </c>
      <c r="I65" s="60">
        <v>0.94117633333333328</v>
      </c>
      <c r="K65" s="64">
        <v>9355.6666666666661</v>
      </c>
      <c r="M65" s="62"/>
      <c r="N65" s="63">
        <v>9359</v>
      </c>
    </row>
    <row r="66" spans="1:14" x14ac:dyDescent="0.25">
      <c r="A66" s="55" t="s">
        <v>37</v>
      </c>
      <c r="B66" s="55" t="s">
        <v>43</v>
      </c>
      <c r="C66" s="55" t="s">
        <v>46</v>
      </c>
      <c r="D66" s="60">
        <v>1</v>
      </c>
      <c r="E66" s="55" t="s">
        <v>29</v>
      </c>
      <c r="F66" s="54" t="s">
        <v>269</v>
      </c>
      <c r="G66" s="60">
        <v>0.97419349999999993</v>
      </c>
      <c r="H66" s="60">
        <v>1</v>
      </c>
      <c r="I66" s="60">
        <v>1</v>
      </c>
      <c r="K66" s="64">
        <v>5066.5</v>
      </c>
      <c r="M66" s="65">
        <v>0.05</v>
      </c>
      <c r="N66" s="63">
        <v>5319</v>
      </c>
    </row>
    <row r="67" spans="1:14" x14ac:dyDescent="0.25">
      <c r="A67" s="55" t="s">
        <v>37</v>
      </c>
      <c r="B67" s="55" t="s">
        <v>43</v>
      </c>
      <c r="C67" s="55" t="s">
        <v>46</v>
      </c>
      <c r="D67" s="60">
        <v>1</v>
      </c>
      <c r="E67" s="55" t="s">
        <v>17</v>
      </c>
      <c r="F67" s="54" t="s">
        <v>269</v>
      </c>
      <c r="G67" s="60">
        <v>1</v>
      </c>
      <c r="H67" s="60">
        <v>1</v>
      </c>
      <c r="I67" s="60">
        <v>1</v>
      </c>
      <c r="K67" s="64">
        <v>3921.5</v>
      </c>
      <c r="M67" s="65">
        <v>2.5000000000000001E-2</v>
      </c>
      <c r="N67" s="63">
        <v>4019</v>
      </c>
    </row>
    <row r="68" spans="1:14" x14ac:dyDescent="0.25">
      <c r="A68" s="55" t="s">
        <v>37</v>
      </c>
      <c r="B68" s="55" t="s">
        <v>61</v>
      </c>
      <c r="C68" s="55" t="s">
        <v>10</v>
      </c>
      <c r="D68" s="60">
        <v>0.9</v>
      </c>
      <c r="E68" s="55" t="s">
        <v>17</v>
      </c>
      <c r="F68" s="54" t="s">
        <v>264</v>
      </c>
      <c r="G68" s="60">
        <v>0.89130430434782604</v>
      </c>
      <c r="H68" s="60">
        <v>0.8819875652173913</v>
      </c>
      <c r="I68" s="60">
        <v>0.90409204347826089</v>
      </c>
      <c r="K68" s="64">
        <v>443.13043478260869</v>
      </c>
      <c r="M68" s="62"/>
      <c r="N68" s="63">
        <v>449</v>
      </c>
    </row>
    <row r="69" spans="1:14" x14ac:dyDescent="0.25">
      <c r="A69" s="55" t="s">
        <v>37</v>
      </c>
      <c r="B69" s="55" t="s">
        <v>61</v>
      </c>
      <c r="C69" s="55" t="s">
        <v>10</v>
      </c>
      <c r="D69" s="60">
        <v>0.9</v>
      </c>
      <c r="E69" s="55" t="s">
        <v>62</v>
      </c>
      <c r="F69" s="54" t="s">
        <v>264</v>
      </c>
      <c r="G69" s="60">
        <v>1</v>
      </c>
      <c r="H69" s="60">
        <v>1</v>
      </c>
      <c r="I69" s="60">
        <v>1</v>
      </c>
      <c r="K69" s="64">
        <v>469</v>
      </c>
      <c r="M69" s="62"/>
      <c r="N69" s="63">
        <v>469</v>
      </c>
    </row>
    <row r="70" spans="1:14" s="66" customFormat="1" x14ac:dyDescent="0.25">
      <c r="A70" s="55" t="s">
        <v>37</v>
      </c>
      <c r="B70" s="55" t="s">
        <v>61</v>
      </c>
      <c r="C70" s="55" t="s">
        <v>10</v>
      </c>
      <c r="D70" s="60">
        <v>0.9</v>
      </c>
      <c r="E70" s="55" t="s">
        <v>44</v>
      </c>
      <c r="F70" s="54" t="s">
        <v>264</v>
      </c>
      <c r="G70" s="60">
        <v>0.94623650000000004</v>
      </c>
      <c r="H70" s="60">
        <v>0.85714283333333341</v>
      </c>
      <c r="I70" s="60">
        <v>0.92156858333333336</v>
      </c>
      <c r="J70" s="55"/>
      <c r="K70" s="64">
        <v>369</v>
      </c>
      <c r="L70" s="55"/>
      <c r="M70" s="62"/>
      <c r="N70" s="63">
        <v>369</v>
      </c>
    </row>
    <row r="71" spans="1:14" x14ac:dyDescent="0.25">
      <c r="A71" s="55" t="s">
        <v>37</v>
      </c>
      <c r="B71" s="55" t="s">
        <v>61</v>
      </c>
      <c r="C71" s="55" t="s">
        <v>16</v>
      </c>
      <c r="D71" s="60">
        <v>0.94736842105263153</v>
      </c>
      <c r="E71" s="55" t="s">
        <v>17</v>
      </c>
      <c r="F71" s="54" t="s">
        <v>266</v>
      </c>
      <c r="G71" s="60">
        <v>0.93548379999999998</v>
      </c>
      <c r="H71" s="60">
        <v>0.92142853333333341</v>
      </c>
      <c r="I71" s="60">
        <v>0.92549013333333341</v>
      </c>
      <c r="K71" s="64">
        <v>7469</v>
      </c>
      <c r="M71" s="62"/>
      <c r="N71" s="63">
        <v>7469</v>
      </c>
    </row>
    <row r="72" spans="1:14" x14ac:dyDescent="0.25">
      <c r="A72" s="55" t="s">
        <v>37</v>
      </c>
      <c r="B72" s="55" t="s">
        <v>61</v>
      </c>
      <c r="C72" s="55" t="s">
        <v>16</v>
      </c>
      <c r="D72" s="60">
        <v>0.94736842105263153</v>
      </c>
      <c r="E72" s="55" t="s">
        <v>44</v>
      </c>
      <c r="F72" s="54" t="s">
        <v>266</v>
      </c>
      <c r="G72" s="60">
        <v>1</v>
      </c>
      <c r="H72" s="60">
        <v>1</v>
      </c>
      <c r="I72" s="60">
        <v>1</v>
      </c>
      <c r="K72" s="64">
        <v>8356.5</v>
      </c>
      <c r="M72" s="65">
        <v>2.5000000000000001E-2</v>
      </c>
      <c r="N72" s="63">
        <v>8569</v>
      </c>
    </row>
    <row r="73" spans="1:14" x14ac:dyDescent="0.25">
      <c r="A73" s="55" t="s">
        <v>37</v>
      </c>
      <c r="B73" s="55" t="s">
        <v>61</v>
      </c>
      <c r="C73" s="55" t="s">
        <v>18</v>
      </c>
      <c r="D73" s="60">
        <v>0.91666666666666663</v>
      </c>
      <c r="E73" s="55" t="s">
        <v>32</v>
      </c>
      <c r="F73" s="54" t="s">
        <v>267</v>
      </c>
      <c r="G73" s="60">
        <v>0.92473116666666666</v>
      </c>
      <c r="H73" s="60">
        <v>1</v>
      </c>
      <c r="I73" s="60">
        <v>1</v>
      </c>
      <c r="K73" s="64">
        <v>7982.333333333333</v>
      </c>
      <c r="M73" s="65">
        <v>2.5000000000000001E-2</v>
      </c>
      <c r="N73" s="63">
        <v>8189</v>
      </c>
    </row>
    <row r="74" spans="1:14" x14ac:dyDescent="0.25">
      <c r="A74" s="55" t="s">
        <v>37</v>
      </c>
      <c r="B74" s="55" t="s">
        <v>61</v>
      </c>
      <c r="C74" s="55" t="s">
        <v>18</v>
      </c>
      <c r="D74" s="60">
        <v>0.91666666666666663</v>
      </c>
      <c r="E74" s="55" t="s">
        <v>45</v>
      </c>
      <c r="F74" s="54" t="s">
        <v>267</v>
      </c>
      <c r="G74" s="60">
        <v>0.80645149999999999</v>
      </c>
      <c r="H74" s="60">
        <v>0.83333333333333337</v>
      </c>
      <c r="I74" s="60">
        <v>0.83333333333333337</v>
      </c>
      <c r="K74" s="64">
        <v>9129</v>
      </c>
      <c r="M74" s="62"/>
      <c r="N74" s="63">
        <v>9129</v>
      </c>
    </row>
    <row r="75" spans="1:14" x14ac:dyDescent="0.25">
      <c r="A75" s="55" t="s">
        <v>37</v>
      </c>
      <c r="B75" s="55" t="s">
        <v>61</v>
      </c>
      <c r="C75" s="55" t="s">
        <v>46</v>
      </c>
      <c r="D75" s="60">
        <v>1</v>
      </c>
      <c r="E75" s="55" t="s">
        <v>29</v>
      </c>
      <c r="F75" s="54" t="s">
        <v>269</v>
      </c>
      <c r="G75" s="60">
        <v>1</v>
      </c>
      <c r="H75" s="60">
        <v>1</v>
      </c>
      <c r="I75" s="60">
        <v>1</v>
      </c>
      <c r="K75" s="64">
        <v>4703.666666666667</v>
      </c>
      <c r="M75" s="65">
        <v>0.05</v>
      </c>
      <c r="N75" s="63">
        <v>4939</v>
      </c>
    </row>
    <row r="76" spans="1:14" x14ac:dyDescent="0.25">
      <c r="A76" s="55" t="s">
        <v>37</v>
      </c>
      <c r="B76" s="55" t="s">
        <v>61</v>
      </c>
      <c r="C76" s="55" t="s">
        <v>46</v>
      </c>
      <c r="D76" s="60">
        <v>1</v>
      </c>
      <c r="E76" s="55" t="s">
        <v>17</v>
      </c>
      <c r="F76" s="54" t="s">
        <v>269</v>
      </c>
      <c r="G76" s="60">
        <v>1</v>
      </c>
      <c r="H76" s="60">
        <v>1</v>
      </c>
      <c r="I76" s="60">
        <v>1</v>
      </c>
      <c r="K76" s="64">
        <v>3649</v>
      </c>
      <c r="M76" s="65">
        <v>0.05</v>
      </c>
      <c r="N76" s="63">
        <v>3839</v>
      </c>
    </row>
    <row r="77" spans="1:14" x14ac:dyDescent="0.25">
      <c r="A77" s="55" t="s">
        <v>37</v>
      </c>
      <c r="B77" s="55" t="s">
        <v>132</v>
      </c>
      <c r="C77" s="55" t="s">
        <v>10</v>
      </c>
      <c r="D77" s="60">
        <v>0.58620689655172409</v>
      </c>
      <c r="E77" s="55" t="s">
        <v>30</v>
      </c>
      <c r="F77" s="54" t="s">
        <v>264</v>
      </c>
      <c r="G77" s="60">
        <v>1</v>
      </c>
      <c r="H77" s="60">
        <v>1</v>
      </c>
      <c r="I77" s="60">
        <v>1</v>
      </c>
      <c r="K77" s="64">
        <v>449</v>
      </c>
      <c r="M77" s="62"/>
      <c r="N77" s="63">
        <v>449</v>
      </c>
    </row>
    <row r="78" spans="1:14" x14ac:dyDescent="0.25">
      <c r="A78" s="55" t="s">
        <v>37</v>
      </c>
      <c r="B78" s="55" t="s">
        <v>132</v>
      </c>
      <c r="C78" s="55" t="s">
        <v>10</v>
      </c>
      <c r="D78" s="60">
        <v>0.58620689655172409</v>
      </c>
      <c r="E78" s="55" t="s">
        <v>17</v>
      </c>
      <c r="F78" s="54" t="s">
        <v>264</v>
      </c>
      <c r="G78" s="60">
        <v>0.63121181081081068</v>
      </c>
      <c r="H78" s="60">
        <v>0.67664089189189192</v>
      </c>
      <c r="I78" s="60">
        <v>0.60254367567567568</v>
      </c>
      <c r="K78" s="64">
        <v>419.81081081081084</v>
      </c>
      <c r="M78" s="62"/>
      <c r="N78" s="63">
        <v>419</v>
      </c>
    </row>
    <row r="79" spans="1:14" x14ac:dyDescent="0.25">
      <c r="A79" s="55" t="s">
        <v>37</v>
      </c>
      <c r="B79" s="55" t="s">
        <v>132</v>
      </c>
      <c r="C79" s="55" t="s">
        <v>10</v>
      </c>
      <c r="D79" s="60">
        <v>0.58620689655172409</v>
      </c>
      <c r="E79" s="55" t="s">
        <v>44</v>
      </c>
      <c r="F79" s="54" t="s">
        <v>264</v>
      </c>
      <c r="G79" s="60">
        <v>0.63709670000000007</v>
      </c>
      <c r="H79" s="60">
        <v>0.6875</v>
      </c>
      <c r="I79" s="60">
        <v>0.68823524999999997</v>
      </c>
      <c r="K79" s="64">
        <v>351</v>
      </c>
      <c r="M79" s="62"/>
      <c r="N79" s="63">
        <v>359</v>
      </c>
    </row>
    <row r="80" spans="1:14" x14ac:dyDescent="0.25">
      <c r="A80" s="55" t="s">
        <v>37</v>
      </c>
      <c r="B80" s="55" t="s">
        <v>132</v>
      </c>
      <c r="C80" s="55" t="s">
        <v>16</v>
      </c>
      <c r="D80" s="60">
        <v>1</v>
      </c>
      <c r="E80" s="55" t="s">
        <v>17</v>
      </c>
      <c r="F80" s="54" t="s">
        <v>266</v>
      </c>
      <c r="G80" s="60">
        <v>0.96559133333333336</v>
      </c>
      <c r="H80" s="60">
        <v>0.99047613333333329</v>
      </c>
      <c r="I80" s="60">
        <v>1</v>
      </c>
      <c r="K80" s="64">
        <v>6969</v>
      </c>
      <c r="M80" s="65">
        <v>2.5000000000000001E-2</v>
      </c>
      <c r="N80" s="63">
        <v>7149</v>
      </c>
    </row>
    <row r="81" spans="1:14" x14ac:dyDescent="0.25">
      <c r="A81" s="55" t="s">
        <v>37</v>
      </c>
      <c r="B81" s="55" t="s">
        <v>132</v>
      </c>
      <c r="C81" s="55" t="s">
        <v>16</v>
      </c>
      <c r="D81" s="60">
        <v>1</v>
      </c>
      <c r="E81" s="55" t="s">
        <v>44</v>
      </c>
      <c r="F81" s="54" t="s">
        <v>266</v>
      </c>
      <c r="G81" s="60">
        <v>1</v>
      </c>
      <c r="H81" s="60">
        <v>1</v>
      </c>
      <c r="I81" s="60">
        <v>1</v>
      </c>
      <c r="K81" s="64">
        <v>7579</v>
      </c>
      <c r="M81" s="65">
        <v>2.5000000000000001E-2</v>
      </c>
      <c r="N81" s="63">
        <v>7769</v>
      </c>
    </row>
    <row r="82" spans="1:14" x14ac:dyDescent="0.25">
      <c r="A82" s="55" t="s">
        <v>37</v>
      </c>
      <c r="B82" s="55" t="s">
        <v>132</v>
      </c>
      <c r="C82" s="55" t="s">
        <v>18</v>
      </c>
      <c r="D82" s="60">
        <v>1</v>
      </c>
      <c r="E82" s="55" t="s">
        <v>32</v>
      </c>
      <c r="F82" s="54" t="s">
        <v>267</v>
      </c>
      <c r="G82" s="60">
        <v>0.93279566666666669</v>
      </c>
      <c r="H82" s="60">
        <v>1</v>
      </c>
      <c r="I82" s="60">
        <v>1</v>
      </c>
      <c r="K82" s="64">
        <v>7716.5</v>
      </c>
      <c r="M82" s="65">
        <v>2.5000000000000001E-2</v>
      </c>
      <c r="N82" s="63">
        <v>7909</v>
      </c>
    </row>
    <row r="83" spans="1:14" x14ac:dyDescent="0.25">
      <c r="A83" s="55" t="s">
        <v>37</v>
      </c>
      <c r="B83" s="55" t="s">
        <v>132</v>
      </c>
      <c r="C83" s="55" t="s">
        <v>18</v>
      </c>
      <c r="D83" s="60">
        <v>1</v>
      </c>
      <c r="E83" s="55" t="s">
        <v>45</v>
      </c>
      <c r="F83" s="54" t="s">
        <v>267</v>
      </c>
      <c r="G83" s="60">
        <v>1</v>
      </c>
      <c r="H83" s="60">
        <v>1</v>
      </c>
      <c r="I83" s="60">
        <v>1</v>
      </c>
      <c r="K83" s="64">
        <v>8389</v>
      </c>
      <c r="M83" s="65">
        <v>2.5000000000000001E-2</v>
      </c>
      <c r="N83" s="63">
        <v>8599</v>
      </c>
    </row>
    <row r="84" spans="1:14" x14ac:dyDescent="0.25">
      <c r="A84" s="55" t="s">
        <v>37</v>
      </c>
      <c r="B84" s="55" t="s">
        <v>132</v>
      </c>
      <c r="C84" s="55" t="s">
        <v>46</v>
      </c>
      <c r="D84" s="60">
        <v>1</v>
      </c>
      <c r="E84" s="55" t="s">
        <v>31</v>
      </c>
      <c r="F84" s="54" t="s">
        <v>269</v>
      </c>
      <c r="G84" s="60">
        <v>1</v>
      </c>
      <c r="H84" s="60">
        <v>1</v>
      </c>
      <c r="I84" s="60">
        <v>1</v>
      </c>
      <c r="K84" s="64">
        <v>5339</v>
      </c>
      <c r="M84" s="65">
        <v>0.05</v>
      </c>
      <c r="N84" s="63">
        <v>5609</v>
      </c>
    </row>
    <row r="85" spans="1:14" x14ac:dyDescent="0.25">
      <c r="A85" s="55" t="s">
        <v>37</v>
      </c>
      <c r="B85" s="55" t="s">
        <v>132</v>
      </c>
      <c r="C85" s="55" t="s">
        <v>46</v>
      </c>
      <c r="D85" s="60">
        <v>1</v>
      </c>
      <c r="E85" s="55" t="s">
        <v>29</v>
      </c>
      <c r="F85" s="54" t="s">
        <v>269</v>
      </c>
      <c r="G85" s="60">
        <v>0.97453310526315784</v>
      </c>
      <c r="H85" s="60">
        <v>1</v>
      </c>
      <c r="I85" s="60">
        <v>1</v>
      </c>
      <c r="K85" s="64">
        <v>4326.894736842105</v>
      </c>
      <c r="M85" s="65">
        <v>0.05</v>
      </c>
      <c r="N85" s="63">
        <v>4549</v>
      </c>
    </row>
    <row r="86" spans="1:14" x14ac:dyDescent="0.25">
      <c r="A86" s="55" t="s">
        <v>37</v>
      </c>
      <c r="B86" s="55" t="s">
        <v>132</v>
      </c>
      <c r="C86" s="55" t="s">
        <v>46</v>
      </c>
      <c r="D86" s="60">
        <v>1</v>
      </c>
      <c r="E86" s="55" t="s">
        <v>17</v>
      </c>
      <c r="F86" s="54" t="s">
        <v>269</v>
      </c>
      <c r="G86" s="60">
        <v>0.90322580000000008</v>
      </c>
      <c r="H86" s="60">
        <v>0.96428559999999996</v>
      </c>
      <c r="I86" s="60">
        <v>1</v>
      </c>
      <c r="K86" s="64">
        <v>3415</v>
      </c>
      <c r="M86" s="65">
        <v>0.05</v>
      </c>
      <c r="N86" s="63">
        <v>3589</v>
      </c>
    </row>
    <row r="87" spans="1:14" s="66" customFormat="1" x14ac:dyDescent="0.25">
      <c r="A87" s="55" t="s">
        <v>37</v>
      </c>
      <c r="B87" s="55" t="s">
        <v>181</v>
      </c>
      <c r="C87" s="55" t="s">
        <v>10</v>
      </c>
      <c r="D87" s="60">
        <v>0.96551724137931039</v>
      </c>
      <c r="E87" s="55" t="s">
        <v>11</v>
      </c>
      <c r="F87" s="54" t="s">
        <v>264</v>
      </c>
      <c r="G87" s="60">
        <v>0.91745729411764709</v>
      </c>
      <c r="H87" s="60">
        <v>0.94432770588235304</v>
      </c>
      <c r="I87" s="60">
        <v>0.96020758823529417</v>
      </c>
      <c r="J87" s="55"/>
      <c r="K87" s="64">
        <v>459</v>
      </c>
      <c r="L87" s="55"/>
      <c r="M87" s="65">
        <v>2.5000000000000001E-2</v>
      </c>
      <c r="N87" s="63">
        <v>479</v>
      </c>
    </row>
    <row r="88" spans="1:14" x14ac:dyDescent="0.25">
      <c r="A88" s="55" t="s">
        <v>37</v>
      </c>
      <c r="B88" s="55" t="s">
        <v>181</v>
      </c>
      <c r="C88" s="55" t="s">
        <v>10</v>
      </c>
      <c r="D88" s="60">
        <v>0.96551724137931039</v>
      </c>
      <c r="E88" s="55" t="s">
        <v>12</v>
      </c>
      <c r="F88" s="54" t="s">
        <v>264</v>
      </c>
      <c r="G88" s="60">
        <v>0.94489245833333335</v>
      </c>
      <c r="H88" s="60">
        <v>0.91964283333333341</v>
      </c>
      <c r="I88" s="60">
        <v>0.99019604166666664</v>
      </c>
      <c r="K88" s="64">
        <v>389</v>
      </c>
      <c r="M88" s="65">
        <v>2.5000000000000001E-2</v>
      </c>
      <c r="N88" s="63">
        <v>399</v>
      </c>
    </row>
    <row r="89" spans="1:14" x14ac:dyDescent="0.25">
      <c r="A89" s="55" t="s">
        <v>37</v>
      </c>
      <c r="B89" s="55" t="s">
        <v>181</v>
      </c>
      <c r="C89" s="55" t="s">
        <v>18</v>
      </c>
      <c r="D89" s="60">
        <v>1</v>
      </c>
      <c r="E89" s="55" t="s">
        <v>14</v>
      </c>
      <c r="F89" s="54" t="s">
        <v>267</v>
      </c>
      <c r="G89" s="60">
        <v>0.91532250000000004</v>
      </c>
      <c r="H89" s="60">
        <v>0.93303562500000004</v>
      </c>
      <c r="I89" s="60">
        <v>1</v>
      </c>
      <c r="K89" s="64">
        <v>9099</v>
      </c>
      <c r="M89" s="62"/>
      <c r="N89" s="63">
        <v>9099</v>
      </c>
    </row>
    <row r="90" spans="1:14" x14ac:dyDescent="0.25">
      <c r="A90" s="55" t="s">
        <v>37</v>
      </c>
      <c r="B90" s="55" t="s">
        <v>181</v>
      </c>
      <c r="C90" s="55" t="s">
        <v>18</v>
      </c>
      <c r="D90" s="60">
        <v>1</v>
      </c>
      <c r="E90" s="55" t="s">
        <v>15</v>
      </c>
      <c r="F90" s="54" t="s">
        <v>267</v>
      </c>
      <c r="G90" s="60">
        <v>1</v>
      </c>
      <c r="H90" s="60">
        <v>1</v>
      </c>
      <c r="I90" s="60">
        <v>1</v>
      </c>
      <c r="K90" s="64">
        <v>11539</v>
      </c>
      <c r="M90" s="62"/>
      <c r="N90" s="63">
        <v>11539</v>
      </c>
    </row>
    <row r="91" spans="1:14" x14ac:dyDescent="0.25">
      <c r="A91" s="55" t="s">
        <v>37</v>
      </c>
      <c r="B91" s="55" t="s">
        <v>181</v>
      </c>
      <c r="C91" s="55" t="s">
        <v>16</v>
      </c>
      <c r="D91" s="60">
        <v>1</v>
      </c>
      <c r="E91" s="55" t="s">
        <v>17</v>
      </c>
      <c r="F91" s="54" t="s">
        <v>266</v>
      </c>
      <c r="G91" s="60">
        <v>0.93548381250000001</v>
      </c>
      <c r="H91" s="60">
        <v>0.98214274999999995</v>
      </c>
      <c r="I91" s="60">
        <v>1</v>
      </c>
      <c r="K91" s="64">
        <v>6109</v>
      </c>
      <c r="M91" s="62"/>
      <c r="N91" s="63">
        <v>6109</v>
      </c>
    </row>
    <row r="92" spans="1:14" x14ac:dyDescent="0.25">
      <c r="A92" s="55" t="s">
        <v>37</v>
      </c>
      <c r="B92" s="55" t="s">
        <v>181</v>
      </c>
      <c r="C92" s="55" t="s">
        <v>16</v>
      </c>
      <c r="D92" s="60">
        <v>1</v>
      </c>
      <c r="E92" s="55" t="s">
        <v>12</v>
      </c>
      <c r="F92" s="54" t="s">
        <v>266</v>
      </c>
      <c r="G92" s="60">
        <v>0.76612899999999995</v>
      </c>
      <c r="H92" s="60">
        <v>1</v>
      </c>
      <c r="I92" s="60">
        <v>1</v>
      </c>
      <c r="K92" s="64">
        <v>7319</v>
      </c>
      <c r="M92" s="62"/>
      <c r="N92" s="63">
        <v>7319</v>
      </c>
    </row>
    <row r="93" spans="1:14" x14ac:dyDescent="0.25">
      <c r="A93" s="55" t="s">
        <v>37</v>
      </c>
      <c r="B93" s="55" t="s">
        <v>193</v>
      </c>
      <c r="C93" s="55" t="s">
        <v>10</v>
      </c>
      <c r="D93" s="60">
        <v>0.55172413793103448</v>
      </c>
      <c r="E93" s="55" t="s">
        <v>30</v>
      </c>
      <c r="F93" s="54" t="s">
        <v>264</v>
      </c>
      <c r="G93" s="60">
        <v>0.22580600000000001</v>
      </c>
      <c r="H93" s="60">
        <v>3.5714000000000003E-2</v>
      </c>
      <c r="I93" s="60">
        <v>0</v>
      </c>
      <c r="K93" s="64">
        <v>439</v>
      </c>
      <c r="M93" s="62"/>
      <c r="N93" s="63">
        <v>439</v>
      </c>
    </row>
    <row r="94" spans="1:14" x14ac:dyDescent="0.25">
      <c r="A94" s="55" t="s">
        <v>37</v>
      </c>
      <c r="B94" s="55" t="s">
        <v>193</v>
      </c>
      <c r="C94" s="55" t="s">
        <v>10</v>
      </c>
      <c r="D94" s="60">
        <v>0.55172413793103448</v>
      </c>
      <c r="E94" s="55" t="s">
        <v>17</v>
      </c>
      <c r="F94" s="54" t="s">
        <v>264</v>
      </c>
      <c r="G94" s="60">
        <v>0.65823883783783776</v>
      </c>
      <c r="H94" s="60">
        <v>0.49131267567567566</v>
      </c>
      <c r="I94" s="60">
        <v>0.49602540540540541</v>
      </c>
      <c r="K94" s="64">
        <v>419.81081081081084</v>
      </c>
      <c r="M94" s="62"/>
      <c r="N94" s="63">
        <v>419</v>
      </c>
    </row>
    <row r="95" spans="1:14" x14ac:dyDescent="0.25">
      <c r="A95" s="55" t="s">
        <v>37</v>
      </c>
      <c r="B95" s="55" t="s">
        <v>193</v>
      </c>
      <c r="C95" s="55" t="s">
        <v>10</v>
      </c>
      <c r="D95" s="60">
        <v>0.55172413793103448</v>
      </c>
      <c r="E95" s="55" t="s">
        <v>44</v>
      </c>
      <c r="F95" s="54" t="s">
        <v>264</v>
      </c>
      <c r="G95" s="60">
        <v>0.58870960000000006</v>
      </c>
      <c r="H95" s="60">
        <v>0.63392850000000001</v>
      </c>
      <c r="I95" s="60">
        <v>0.62058820000000003</v>
      </c>
      <c r="K95" s="64">
        <v>351</v>
      </c>
      <c r="M95" s="62"/>
      <c r="N95" s="63">
        <v>359</v>
      </c>
    </row>
    <row r="96" spans="1:14" x14ac:dyDescent="0.25">
      <c r="A96" s="55" t="s">
        <v>37</v>
      </c>
      <c r="B96" s="55" t="s">
        <v>193</v>
      </c>
      <c r="C96" s="55" t="s">
        <v>16</v>
      </c>
      <c r="D96" s="60">
        <v>1</v>
      </c>
      <c r="E96" s="55" t="s">
        <v>17</v>
      </c>
      <c r="F96" s="54" t="s">
        <v>266</v>
      </c>
      <c r="G96" s="60">
        <v>1</v>
      </c>
      <c r="H96" s="60">
        <v>1</v>
      </c>
      <c r="I96" s="60">
        <v>1</v>
      </c>
      <c r="K96" s="64">
        <v>6700.333333333333</v>
      </c>
      <c r="M96" s="65">
        <v>2.5000000000000001E-2</v>
      </c>
      <c r="N96" s="63">
        <v>6869</v>
      </c>
    </row>
    <row r="97" spans="1:14" x14ac:dyDescent="0.25">
      <c r="A97" s="55" t="s">
        <v>37</v>
      </c>
      <c r="B97" s="55" t="s">
        <v>193</v>
      </c>
      <c r="C97" s="55" t="s">
        <v>16</v>
      </c>
      <c r="D97" s="60">
        <v>1</v>
      </c>
      <c r="E97" s="55" t="s">
        <v>44</v>
      </c>
      <c r="F97" s="54" t="s">
        <v>266</v>
      </c>
      <c r="G97" s="60">
        <v>1</v>
      </c>
      <c r="H97" s="60">
        <v>1</v>
      </c>
      <c r="I97" s="60">
        <v>1</v>
      </c>
      <c r="K97" s="64">
        <v>7384</v>
      </c>
      <c r="M97" s="65">
        <v>2.5000000000000001E-2</v>
      </c>
      <c r="N97" s="63">
        <v>7569</v>
      </c>
    </row>
    <row r="98" spans="1:14" x14ac:dyDescent="0.25">
      <c r="A98" s="55" t="s">
        <v>37</v>
      </c>
      <c r="B98" s="55" t="s">
        <v>193</v>
      </c>
      <c r="C98" s="55" t="s">
        <v>18</v>
      </c>
      <c r="D98" s="60">
        <v>1</v>
      </c>
      <c r="E98" s="55" t="s">
        <v>32</v>
      </c>
      <c r="F98" s="54" t="s">
        <v>267</v>
      </c>
      <c r="G98" s="60">
        <v>0.83064508333333331</v>
      </c>
      <c r="H98" s="60">
        <v>0.98809516666666664</v>
      </c>
      <c r="I98" s="60">
        <v>0.98039208333333328</v>
      </c>
      <c r="K98" s="64">
        <v>7249</v>
      </c>
      <c r="M98" s="65">
        <v>2.5000000000000001E-2</v>
      </c>
      <c r="N98" s="63">
        <v>7439</v>
      </c>
    </row>
    <row r="99" spans="1:14" s="66" customFormat="1" x14ac:dyDescent="0.25">
      <c r="A99" s="55" t="s">
        <v>37</v>
      </c>
      <c r="B99" s="55" t="s">
        <v>193</v>
      </c>
      <c r="C99" s="55" t="s">
        <v>18</v>
      </c>
      <c r="D99" s="60">
        <v>1</v>
      </c>
      <c r="E99" s="55" t="s">
        <v>45</v>
      </c>
      <c r="F99" s="54" t="s">
        <v>267</v>
      </c>
      <c r="G99" s="60">
        <v>1</v>
      </c>
      <c r="H99" s="60">
        <v>0.66666666666666663</v>
      </c>
      <c r="I99" s="60">
        <v>0.98039200000000004</v>
      </c>
      <c r="J99" s="55"/>
      <c r="K99" s="64">
        <v>8159</v>
      </c>
      <c r="L99" s="55"/>
      <c r="M99" s="65">
        <v>2.5000000000000001E-2</v>
      </c>
      <c r="N99" s="63">
        <v>8369</v>
      </c>
    </row>
    <row r="100" spans="1:14" x14ac:dyDescent="0.25">
      <c r="A100" s="55" t="s">
        <v>37</v>
      </c>
      <c r="B100" s="55" t="s">
        <v>193</v>
      </c>
      <c r="C100" s="55" t="s">
        <v>46</v>
      </c>
      <c r="D100" s="60">
        <v>0.88</v>
      </c>
      <c r="E100" s="55" t="s">
        <v>31</v>
      </c>
      <c r="F100" s="54" t="s">
        <v>269</v>
      </c>
      <c r="G100" s="60">
        <v>1</v>
      </c>
      <c r="H100" s="60">
        <v>1</v>
      </c>
      <c r="I100" s="60">
        <v>1</v>
      </c>
      <c r="K100" s="64">
        <v>5459</v>
      </c>
      <c r="M100" s="65">
        <v>2.5000000000000001E-2</v>
      </c>
      <c r="N100" s="63">
        <v>5599</v>
      </c>
    </row>
    <row r="101" spans="1:14" x14ac:dyDescent="0.25">
      <c r="A101" s="55" t="s">
        <v>37</v>
      </c>
      <c r="B101" s="55" t="s">
        <v>193</v>
      </c>
      <c r="C101" s="55" t="s">
        <v>46</v>
      </c>
      <c r="D101" s="60">
        <v>0.88</v>
      </c>
      <c r="E101" s="55" t="s">
        <v>29</v>
      </c>
      <c r="F101" s="54" t="s">
        <v>269</v>
      </c>
      <c r="G101" s="60">
        <v>0.94567057894736839</v>
      </c>
      <c r="H101" s="60">
        <v>0.92481194736842109</v>
      </c>
      <c r="I101" s="60">
        <v>1</v>
      </c>
      <c r="K101" s="64">
        <v>4435.8421052631575</v>
      </c>
      <c r="M101" s="65">
        <v>2.5000000000000001E-2</v>
      </c>
      <c r="N101" s="63">
        <v>4549</v>
      </c>
    </row>
    <row r="102" spans="1:14" x14ac:dyDescent="0.25">
      <c r="A102" s="55" t="s">
        <v>37</v>
      </c>
      <c r="B102" s="55" t="s">
        <v>193</v>
      </c>
      <c r="C102" s="55" t="s">
        <v>46</v>
      </c>
      <c r="D102" s="60">
        <v>0.88</v>
      </c>
      <c r="E102" s="55" t="s">
        <v>17</v>
      </c>
      <c r="F102" s="54" t="s">
        <v>269</v>
      </c>
      <c r="G102" s="60">
        <v>0.6</v>
      </c>
      <c r="H102" s="60">
        <v>0.6</v>
      </c>
      <c r="I102" s="60">
        <v>0.56470579999999992</v>
      </c>
      <c r="K102" s="64">
        <v>3495</v>
      </c>
      <c r="M102" s="62"/>
      <c r="N102" s="63">
        <v>3499</v>
      </c>
    </row>
    <row r="103" spans="1:14" x14ac:dyDescent="0.25">
      <c r="A103" s="55" t="s">
        <v>37</v>
      </c>
      <c r="B103" s="55" t="s">
        <v>224</v>
      </c>
      <c r="C103" s="55" t="s">
        <v>10</v>
      </c>
      <c r="D103" s="60">
        <v>0.94736842105263153</v>
      </c>
      <c r="E103" s="55" t="s">
        <v>11</v>
      </c>
      <c r="F103" s="54" t="s">
        <v>264</v>
      </c>
      <c r="G103" s="60">
        <v>0.90207371428571437</v>
      </c>
      <c r="H103" s="60">
        <v>0.95025507142857124</v>
      </c>
      <c r="I103" s="60">
        <v>0.89495796428571417</v>
      </c>
      <c r="K103" s="64">
        <v>548.28571428571433</v>
      </c>
      <c r="M103" s="62"/>
      <c r="N103" s="63">
        <v>549</v>
      </c>
    </row>
    <row r="104" spans="1:14" x14ac:dyDescent="0.25">
      <c r="A104" s="55" t="s">
        <v>37</v>
      </c>
      <c r="B104" s="55" t="s">
        <v>224</v>
      </c>
      <c r="C104" s="55" t="s">
        <v>10</v>
      </c>
      <c r="D104" s="60">
        <v>0.94736842105263153</v>
      </c>
      <c r="E104" s="55" t="s">
        <v>12</v>
      </c>
      <c r="F104" s="54" t="s">
        <v>264</v>
      </c>
      <c r="G104" s="60">
        <v>0.76246327272727266</v>
      </c>
      <c r="H104" s="60">
        <v>0.86319217349786148</v>
      </c>
      <c r="I104" s="60">
        <v>0.95294109999999999</v>
      </c>
      <c r="K104" s="64">
        <v>459</v>
      </c>
      <c r="M104" s="62"/>
      <c r="N104" s="63">
        <v>459</v>
      </c>
    </row>
    <row r="105" spans="1:14" x14ac:dyDescent="0.25">
      <c r="A105" s="55" t="s">
        <v>37</v>
      </c>
      <c r="B105" s="55" t="s">
        <v>224</v>
      </c>
      <c r="C105" s="55" t="s">
        <v>16</v>
      </c>
      <c r="D105" s="60">
        <v>0.9285714285714286</v>
      </c>
      <c r="E105" s="55" t="s">
        <v>187</v>
      </c>
      <c r="F105" s="54" t="s">
        <v>266</v>
      </c>
      <c r="G105" s="60">
        <v>1</v>
      </c>
      <c r="H105" s="60">
        <v>1</v>
      </c>
      <c r="I105" s="60">
        <v>1</v>
      </c>
      <c r="K105" s="64">
        <v>3699</v>
      </c>
      <c r="M105" s="65">
        <v>2.5000000000000001E-2</v>
      </c>
      <c r="N105" s="63">
        <v>3799</v>
      </c>
    </row>
    <row r="106" spans="1:14" x14ac:dyDescent="0.25">
      <c r="A106" s="55" t="s">
        <v>37</v>
      </c>
      <c r="B106" s="55" t="s">
        <v>224</v>
      </c>
      <c r="C106" s="55" t="s">
        <v>16</v>
      </c>
      <c r="D106" s="60">
        <v>0.9285714285714286</v>
      </c>
      <c r="E106" s="55" t="s">
        <v>225</v>
      </c>
      <c r="F106" s="54" t="s">
        <v>266</v>
      </c>
      <c r="G106" s="60">
        <v>1</v>
      </c>
      <c r="H106" s="60">
        <v>1</v>
      </c>
      <c r="I106" s="60">
        <v>1</v>
      </c>
      <c r="K106" s="64">
        <v>4289</v>
      </c>
      <c r="M106" s="62">
        <v>0.05</v>
      </c>
      <c r="N106" s="63">
        <v>4509</v>
      </c>
    </row>
    <row r="107" spans="1:14" x14ac:dyDescent="0.25">
      <c r="A107" s="55" t="s">
        <v>37</v>
      </c>
      <c r="B107" s="55" t="s">
        <v>224</v>
      </c>
      <c r="C107" s="55" t="s">
        <v>16</v>
      </c>
      <c r="D107" s="60">
        <v>0.9285714285714286</v>
      </c>
      <c r="E107" s="55" t="s">
        <v>17</v>
      </c>
      <c r="F107" s="54" t="s">
        <v>266</v>
      </c>
      <c r="G107" s="60">
        <v>0.82795683333333336</v>
      </c>
      <c r="H107" s="60">
        <v>0.8928569999999999</v>
      </c>
      <c r="I107" s="60">
        <v>0.83333333333333337</v>
      </c>
      <c r="K107" s="64">
        <v>3239</v>
      </c>
      <c r="M107" s="62"/>
      <c r="N107" s="63">
        <v>3239</v>
      </c>
    </row>
    <row r="108" spans="1:14" x14ac:dyDescent="0.25">
      <c r="A108" s="55" t="s">
        <v>37</v>
      </c>
      <c r="B108" s="55" t="s">
        <v>235</v>
      </c>
      <c r="C108" s="55" t="s">
        <v>10</v>
      </c>
      <c r="D108" s="60">
        <v>0.96721311475409832</v>
      </c>
      <c r="E108" s="55" t="s">
        <v>11</v>
      </c>
      <c r="F108" s="54" t="s">
        <v>264</v>
      </c>
      <c r="G108" s="60">
        <v>0.91845877777777774</v>
      </c>
      <c r="H108" s="60">
        <v>0.93253966666666654</v>
      </c>
      <c r="I108" s="60">
        <v>0.97385619444444438</v>
      </c>
      <c r="K108" s="64">
        <v>389</v>
      </c>
      <c r="M108" s="65">
        <v>2.5000000000000001E-2</v>
      </c>
      <c r="N108" s="63">
        <v>399</v>
      </c>
    </row>
    <row r="109" spans="1:14" x14ac:dyDescent="0.25">
      <c r="A109" s="55" t="s">
        <v>37</v>
      </c>
      <c r="B109" s="55" t="s">
        <v>235</v>
      </c>
      <c r="C109" s="55" t="s">
        <v>10</v>
      </c>
      <c r="D109" s="60">
        <v>0.96721311475409832</v>
      </c>
      <c r="E109" s="55" t="s">
        <v>12</v>
      </c>
      <c r="F109" s="54" t="s">
        <v>264</v>
      </c>
      <c r="G109" s="60">
        <v>0.91666666666666663</v>
      </c>
      <c r="H109" s="60">
        <v>0.91071424999999995</v>
      </c>
      <c r="I109" s="60">
        <v>0.97058820833333337</v>
      </c>
      <c r="K109" s="64">
        <v>329</v>
      </c>
      <c r="M109" s="65">
        <v>2.5000000000000001E-2</v>
      </c>
      <c r="N109" s="63">
        <v>339</v>
      </c>
    </row>
    <row r="110" spans="1:14" x14ac:dyDescent="0.25">
      <c r="A110" s="55" t="s">
        <v>37</v>
      </c>
      <c r="B110" s="55" t="s">
        <v>235</v>
      </c>
      <c r="C110" s="55" t="s">
        <v>10</v>
      </c>
      <c r="D110" s="60">
        <v>0.96721311475409832</v>
      </c>
      <c r="E110" s="55" t="s">
        <v>99</v>
      </c>
      <c r="F110" s="54" t="s">
        <v>264</v>
      </c>
      <c r="G110" s="60">
        <v>0.83870900000000004</v>
      </c>
      <c r="H110" s="60">
        <v>0.75</v>
      </c>
      <c r="I110" s="60">
        <v>0.94117600000000001</v>
      </c>
      <c r="K110" s="64">
        <v>549</v>
      </c>
      <c r="M110" s="65">
        <v>2.5000000000000001E-2</v>
      </c>
      <c r="N110" s="63">
        <v>569</v>
      </c>
    </row>
    <row r="111" spans="1:14" x14ac:dyDescent="0.25">
      <c r="A111" s="55" t="s">
        <v>37</v>
      </c>
      <c r="B111" s="55" t="s">
        <v>235</v>
      </c>
      <c r="C111" s="55" t="s">
        <v>16</v>
      </c>
      <c r="D111" s="60">
        <v>0.73529411764705888</v>
      </c>
      <c r="E111" s="55" t="s">
        <v>17</v>
      </c>
      <c r="F111" s="54" t="s">
        <v>266</v>
      </c>
      <c r="G111" s="60">
        <v>0.6475507407407407</v>
      </c>
      <c r="H111" s="60">
        <v>0.68915340740740738</v>
      </c>
      <c r="I111" s="60">
        <v>0.70806100000000005</v>
      </c>
      <c r="K111" s="64">
        <v>4850.8518518518522</v>
      </c>
      <c r="M111" s="62"/>
      <c r="N111" s="63">
        <v>4859</v>
      </c>
    </row>
    <row r="112" spans="1:14" x14ac:dyDescent="0.25">
      <c r="A112" s="55" t="s">
        <v>37</v>
      </c>
      <c r="B112" s="55" t="s">
        <v>235</v>
      </c>
      <c r="C112" s="55" t="s">
        <v>16</v>
      </c>
      <c r="D112" s="60">
        <v>0.73529411764705888</v>
      </c>
      <c r="E112" s="55" t="s">
        <v>12</v>
      </c>
      <c r="F112" s="54" t="s">
        <v>266</v>
      </c>
      <c r="G112" s="60">
        <v>0.85483866666666675</v>
      </c>
      <c r="H112" s="60">
        <v>0.83333333333333337</v>
      </c>
      <c r="I112" s="60">
        <v>0.83333333333333337</v>
      </c>
      <c r="K112" s="64">
        <v>5890.666666666667</v>
      </c>
      <c r="M112" s="62"/>
      <c r="N112" s="63">
        <v>5899</v>
      </c>
    </row>
    <row r="113" spans="1:14" x14ac:dyDescent="0.25">
      <c r="A113" s="55" t="s">
        <v>37</v>
      </c>
      <c r="B113" s="55" t="s">
        <v>235</v>
      </c>
      <c r="C113" s="55" t="s">
        <v>16</v>
      </c>
      <c r="D113" s="60">
        <v>0.73529411764705888</v>
      </c>
      <c r="E113" s="55" t="s">
        <v>26</v>
      </c>
      <c r="F113" s="54" t="s">
        <v>266</v>
      </c>
      <c r="G113" s="60">
        <v>0.87096700000000005</v>
      </c>
      <c r="H113" s="60">
        <v>0</v>
      </c>
      <c r="I113" s="60">
        <v>0.58823499999999995</v>
      </c>
      <c r="K113" s="64">
        <v>5819</v>
      </c>
      <c r="M113" s="62"/>
      <c r="N113" s="63">
        <v>5819</v>
      </c>
    </row>
    <row r="114" spans="1:14" x14ac:dyDescent="0.25">
      <c r="A114" s="55" t="s">
        <v>37</v>
      </c>
      <c r="B114" s="55" t="s">
        <v>235</v>
      </c>
      <c r="C114" s="55" t="s">
        <v>18</v>
      </c>
      <c r="D114" s="60">
        <v>0.96551724137931039</v>
      </c>
      <c r="E114" s="55" t="s">
        <v>19</v>
      </c>
      <c r="F114" s="54" t="s">
        <v>267</v>
      </c>
      <c r="G114" s="60">
        <v>0.93672453846153847</v>
      </c>
      <c r="H114" s="60">
        <v>0.91620876923076922</v>
      </c>
      <c r="I114" s="60">
        <v>0.94117646153846146</v>
      </c>
      <c r="K114" s="64">
        <v>6149</v>
      </c>
      <c r="M114" s="65">
        <v>2.5000000000000001E-2</v>
      </c>
      <c r="N114" s="63">
        <v>6309</v>
      </c>
    </row>
    <row r="115" spans="1:14" x14ac:dyDescent="0.25">
      <c r="A115" s="55" t="s">
        <v>37</v>
      </c>
      <c r="B115" s="55" t="s">
        <v>235</v>
      </c>
      <c r="C115" s="55" t="s">
        <v>18</v>
      </c>
      <c r="D115" s="60">
        <v>0.96551724137931039</v>
      </c>
      <c r="E115" s="55" t="s">
        <v>20</v>
      </c>
      <c r="F115" s="54" t="s">
        <v>267</v>
      </c>
      <c r="G115" s="60">
        <v>1</v>
      </c>
      <c r="H115" s="60">
        <v>1</v>
      </c>
      <c r="I115" s="60">
        <v>1</v>
      </c>
      <c r="K115" s="64">
        <v>6999</v>
      </c>
      <c r="M115" s="62"/>
      <c r="N115" s="63">
        <v>6999</v>
      </c>
    </row>
    <row r="116" spans="1:14" x14ac:dyDescent="0.25">
      <c r="A116" s="55" t="s">
        <v>37</v>
      </c>
      <c r="B116" s="55" t="s">
        <v>243</v>
      </c>
      <c r="C116" s="55" t="s">
        <v>10</v>
      </c>
      <c r="D116" s="60">
        <v>0.875</v>
      </c>
      <c r="E116" s="55" t="s">
        <v>11</v>
      </c>
      <c r="F116" s="54" t="s">
        <v>264</v>
      </c>
      <c r="G116" s="60">
        <v>0.83364958823529411</v>
      </c>
      <c r="H116" s="60">
        <v>0.83753499999999992</v>
      </c>
      <c r="I116" s="60">
        <v>0.83044982352941177</v>
      </c>
      <c r="K116" s="64">
        <v>519</v>
      </c>
      <c r="M116" s="62"/>
      <c r="N116" s="63">
        <v>519</v>
      </c>
    </row>
    <row r="117" spans="1:14" x14ac:dyDescent="0.25">
      <c r="A117" s="55" t="s">
        <v>37</v>
      </c>
      <c r="B117" s="55" t="s">
        <v>243</v>
      </c>
      <c r="C117" s="55" t="s">
        <v>10</v>
      </c>
      <c r="D117" s="60">
        <v>0.875</v>
      </c>
      <c r="E117" s="55" t="s">
        <v>12</v>
      </c>
      <c r="F117" s="54" t="s">
        <v>264</v>
      </c>
      <c r="G117" s="60">
        <v>0.90074438461538453</v>
      </c>
      <c r="H117" s="60">
        <v>0.88736261538461547</v>
      </c>
      <c r="I117" s="60">
        <v>0.95475107692307692</v>
      </c>
      <c r="K117" s="64">
        <v>489</v>
      </c>
      <c r="M117" s="62"/>
      <c r="N117" s="63">
        <v>489</v>
      </c>
    </row>
    <row r="118" spans="1:14" x14ac:dyDescent="0.25">
      <c r="A118" s="55" t="s">
        <v>37</v>
      </c>
      <c r="B118" s="55" t="s">
        <v>243</v>
      </c>
      <c r="C118" s="55" t="s">
        <v>59</v>
      </c>
      <c r="D118" s="60">
        <v>0.95709999999999995</v>
      </c>
      <c r="E118" s="55" t="s">
        <v>187</v>
      </c>
      <c r="F118" s="54" t="s">
        <v>269</v>
      </c>
      <c r="G118" s="60">
        <v>0.96370965625000005</v>
      </c>
      <c r="H118" s="60">
        <v>0.98102678124999998</v>
      </c>
      <c r="I118" s="60">
        <v>0.97610293749999999</v>
      </c>
      <c r="K118" s="64">
        <v>3519</v>
      </c>
      <c r="M118" s="65">
        <v>2.5000000000000001E-2</v>
      </c>
      <c r="N118" s="63">
        <v>3609</v>
      </c>
    </row>
    <row r="119" spans="1:14" x14ac:dyDescent="0.25">
      <c r="A119" s="55" t="s">
        <v>37</v>
      </c>
      <c r="B119" s="55" t="s">
        <v>243</v>
      </c>
      <c r="C119" s="55" t="s">
        <v>16</v>
      </c>
      <c r="D119" s="60">
        <v>0.95714285714285718</v>
      </c>
      <c r="E119" s="55" t="s">
        <v>187</v>
      </c>
      <c r="F119" s="54" t="s">
        <v>266</v>
      </c>
      <c r="G119" s="60">
        <v>0.96370965625000005</v>
      </c>
      <c r="H119" s="60">
        <v>0.98102678124999998</v>
      </c>
      <c r="I119" s="60">
        <v>0.97610293749999999</v>
      </c>
      <c r="K119" s="64">
        <v>4219</v>
      </c>
      <c r="M119" s="65">
        <v>2.5000000000000001E-2</v>
      </c>
      <c r="N119" s="63">
        <v>4329</v>
      </c>
    </row>
    <row r="120" spans="1:14" x14ac:dyDescent="0.25">
      <c r="A120" s="55" t="s">
        <v>37</v>
      </c>
      <c r="B120" s="55" t="s">
        <v>243</v>
      </c>
      <c r="C120" s="55" t="s">
        <v>16</v>
      </c>
      <c r="D120" s="60">
        <v>0.95714285714285718</v>
      </c>
      <c r="E120" s="55" t="s">
        <v>17</v>
      </c>
      <c r="F120" s="54" t="s">
        <v>266</v>
      </c>
      <c r="G120" s="60">
        <v>0.98487903124999998</v>
      </c>
      <c r="H120" s="60">
        <v>0.97321428124999998</v>
      </c>
      <c r="I120" s="60">
        <v>0.99264703124999998</v>
      </c>
      <c r="K120" s="64">
        <v>3609</v>
      </c>
      <c r="M120" s="62"/>
      <c r="N120" s="63">
        <v>3609</v>
      </c>
    </row>
    <row r="121" spans="1:14" x14ac:dyDescent="0.25">
      <c r="A121" s="55" t="s">
        <v>37</v>
      </c>
      <c r="B121" s="55" t="s">
        <v>243</v>
      </c>
      <c r="C121" s="55" t="s">
        <v>59</v>
      </c>
      <c r="D121" s="60">
        <v>0.95709999999999995</v>
      </c>
      <c r="E121" s="55" t="s">
        <v>17</v>
      </c>
      <c r="F121" s="54" t="s">
        <v>269</v>
      </c>
      <c r="G121" s="60">
        <v>0.98487903124999998</v>
      </c>
      <c r="H121" s="60">
        <v>0.97321428124999998</v>
      </c>
      <c r="I121" s="60">
        <v>0.99264703124999998</v>
      </c>
      <c r="K121" s="64">
        <v>2589</v>
      </c>
      <c r="M121" s="65">
        <v>2.5000000000000001E-2</v>
      </c>
      <c r="N121" s="63">
        <v>2659</v>
      </c>
    </row>
    <row r="122" spans="1:14" x14ac:dyDescent="0.25">
      <c r="A122" s="55" t="s">
        <v>37</v>
      </c>
      <c r="B122" s="55" t="s">
        <v>243</v>
      </c>
      <c r="C122" s="55" t="s">
        <v>16</v>
      </c>
      <c r="D122" s="60">
        <v>0.95714285714285718</v>
      </c>
      <c r="E122" s="55" t="s">
        <v>225</v>
      </c>
      <c r="F122" s="54" t="s">
        <v>266</v>
      </c>
      <c r="G122" s="60">
        <v>1</v>
      </c>
      <c r="H122" s="60">
        <v>0.8928569999999999</v>
      </c>
      <c r="I122" s="60">
        <v>0.83333333333333337</v>
      </c>
      <c r="K122" s="64">
        <v>4489</v>
      </c>
      <c r="M122" s="62"/>
      <c r="N122" s="63">
        <v>4489</v>
      </c>
    </row>
    <row r="123" spans="1:14" x14ac:dyDescent="0.25">
      <c r="A123" s="55" t="s">
        <v>37</v>
      </c>
      <c r="B123" s="55" t="s">
        <v>243</v>
      </c>
      <c r="C123" s="55" t="s">
        <v>59</v>
      </c>
      <c r="D123" s="60">
        <v>0.95709999999999995</v>
      </c>
      <c r="E123" s="55" t="s">
        <v>225</v>
      </c>
      <c r="F123" s="54" t="s">
        <v>269</v>
      </c>
      <c r="G123" s="60">
        <v>1</v>
      </c>
      <c r="H123" s="60">
        <v>0.8928569999999999</v>
      </c>
      <c r="I123" s="60">
        <v>0.83333333333333337</v>
      </c>
      <c r="K123" s="64">
        <v>4529</v>
      </c>
      <c r="M123" s="62"/>
      <c r="N123" s="63">
        <v>4529</v>
      </c>
    </row>
    <row r="124" spans="1:14" x14ac:dyDescent="0.25">
      <c r="A124" s="55" t="s">
        <v>37</v>
      </c>
      <c r="B124" s="55" t="s">
        <v>243</v>
      </c>
      <c r="C124" s="55" t="s">
        <v>18</v>
      </c>
      <c r="D124" s="60">
        <v>1</v>
      </c>
      <c r="E124" s="55" t="s">
        <v>33</v>
      </c>
      <c r="F124" s="54" t="s">
        <v>267</v>
      </c>
      <c r="G124" s="60">
        <v>0.74193500000000001</v>
      </c>
      <c r="H124" s="60">
        <v>0.96428550000000002</v>
      </c>
      <c r="I124" s="60">
        <v>1</v>
      </c>
      <c r="K124" s="64">
        <v>6239</v>
      </c>
      <c r="M124" s="62"/>
      <c r="N124" s="63">
        <v>6239</v>
      </c>
    </row>
    <row r="125" spans="1:14" x14ac:dyDescent="0.25">
      <c r="A125" s="55" t="s">
        <v>37</v>
      </c>
      <c r="B125" s="55" t="s">
        <v>243</v>
      </c>
      <c r="C125" s="55" t="s">
        <v>18</v>
      </c>
      <c r="D125" s="60">
        <v>1</v>
      </c>
      <c r="E125" s="55" t="s">
        <v>244</v>
      </c>
      <c r="F125" s="54" t="s">
        <v>267</v>
      </c>
      <c r="G125" s="60">
        <v>0.94009214285714282</v>
      </c>
      <c r="H125" s="60">
        <v>0.90561221428571426</v>
      </c>
      <c r="I125" s="60">
        <v>0.9495797857142857</v>
      </c>
      <c r="K125" s="64">
        <v>7149</v>
      </c>
      <c r="M125" s="62"/>
      <c r="N125" s="63">
        <v>7149</v>
      </c>
    </row>
    <row r="126" spans="1:14" x14ac:dyDescent="0.25">
      <c r="A126" s="55" t="s">
        <v>37</v>
      </c>
      <c r="B126" s="55" t="s">
        <v>243</v>
      </c>
      <c r="C126" s="55" t="s">
        <v>18</v>
      </c>
      <c r="D126" s="60">
        <v>1</v>
      </c>
      <c r="E126" s="55" t="s">
        <v>83</v>
      </c>
      <c r="F126" s="54" t="s">
        <v>267</v>
      </c>
      <c r="G126" s="60">
        <v>0.40322550000000001</v>
      </c>
      <c r="H126" s="60">
        <v>1</v>
      </c>
      <c r="I126" s="60">
        <v>1</v>
      </c>
      <c r="K126" s="64">
        <v>6939</v>
      </c>
      <c r="M126" s="62"/>
      <c r="N126" s="63">
        <v>6939</v>
      </c>
    </row>
    <row r="127" spans="1:14" x14ac:dyDescent="0.25">
      <c r="A127" s="55" t="s">
        <v>37</v>
      </c>
      <c r="B127" s="55" t="s">
        <v>243</v>
      </c>
      <c r="C127" s="55" t="s">
        <v>21</v>
      </c>
      <c r="D127" s="60">
        <v>1</v>
      </c>
      <c r="E127" s="55" t="s">
        <v>187</v>
      </c>
      <c r="F127" s="54" t="s">
        <v>268</v>
      </c>
      <c r="G127" s="60">
        <v>1</v>
      </c>
      <c r="H127" s="60">
        <v>0.94642850000000001</v>
      </c>
      <c r="I127" s="60">
        <v>0.875</v>
      </c>
      <c r="K127" s="64">
        <v>2629</v>
      </c>
      <c r="M127" s="62"/>
      <c r="N127" s="63">
        <v>2629</v>
      </c>
    </row>
    <row r="128" spans="1:14" x14ac:dyDescent="0.25">
      <c r="A128" s="55" t="s">
        <v>76</v>
      </c>
      <c r="B128" s="55" t="s">
        <v>77</v>
      </c>
      <c r="C128" s="55" t="s">
        <v>10</v>
      </c>
      <c r="D128" s="60">
        <v>0.86206896551724133</v>
      </c>
      <c r="E128" s="55" t="s">
        <v>11</v>
      </c>
      <c r="F128" s="54" t="s">
        <v>264</v>
      </c>
      <c r="G128" s="60">
        <v>0.94117647058823528</v>
      </c>
      <c r="H128" s="60">
        <v>0.92226888235294113</v>
      </c>
      <c r="I128" s="60">
        <v>0.91695499999999996</v>
      </c>
      <c r="K128" s="64">
        <v>409</v>
      </c>
      <c r="M128" s="62"/>
      <c r="N128" s="63">
        <v>409</v>
      </c>
    </row>
    <row r="129" spans="1:14" x14ac:dyDescent="0.25">
      <c r="A129" s="55" t="s">
        <v>76</v>
      </c>
      <c r="B129" s="55" t="s">
        <v>77</v>
      </c>
      <c r="C129" s="55" t="s">
        <v>10</v>
      </c>
      <c r="D129" s="60">
        <v>0.86206896551724133</v>
      </c>
      <c r="E129" s="55" t="s">
        <v>12</v>
      </c>
      <c r="F129" s="54" t="s">
        <v>264</v>
      </c>
      <c r="G129" s="60">
        <v>0.88844083333333324</v>
      </c>
      <c r="H129" s="60">
        <v>0.83928570833333327</v>
      </c>
      <c r="I129" s="60">
        <v>0.7549019583333334</v>
      </c>
      <c r="K129" s="64">
        <v>329</v>
      </c>
      <c r="M129" s="62"/>
      <c r="N129" s="63">
        <v>329</v>
      </c>
    </row>
    <row r="130" spans="1:14" x14ac:dyDescent="0.25">
      <c r="A130" s="55" t="s">
        <v>76</v>
      </c>
      <c r="B130" s="55" t="s">
        <v>77</v>
      </c>
      <c r="C130" s="55" t="s">
        <v>18</v>
      </c>
      <c r="D130" s="60">
        <v>0.72727272727272729</v>
      </c>
      <c r="E130" s="55" t="s">
        <v>19</v>
      </c>
      <c r="F130" s="54" t="s">
        <v>267</v>
      </c>
      <c r="G130" s="60">
        <v>0.89112899999999995</v>
      </c>
      <c r="H130" s="60">
        <v>0.74553562500000004</v>
      </c>
      <c r="I130" s="60">
        <v>0.860294</v>
      </c>
      <c r="K130" s="64">
        <v>7499</v>
      </c>
      <c r="M130" s="62"/>
      <c r="N130" s="63">
        <v>7499</v>
      </c>
    </row>
    <row r="131" spans="1:14" x14ac:dyDescent="0.25">
      <c r="A131" s="55" t="s">
        <v>76</v>
      </c>
      <c r="B131" s="55" t="s">
        <v>77</v>
      </c>
      <c r="C131" s="55" t="s">
        <v>18</v>
      </c>
      <c r="D131" s="60">
        <v>0.72727272727272729</v>
      </c>
      <c r="E131" s="55" t="s">
        <v>20</v>
      </c>
      <c r="F131" s="54" t="s">
        <v>267</v>
      </c>
      <c r="G131" s="60">
        <v>0.66666666666666663</v>
      </c>
      <c r="H131" s="60">
        <v>0.61904733333333339</v>
      </c>
      <c r="I131" s="60">
        <v>0.33333333333333331</v>
      </c>
      <c r="K131" s="64">
        <v>8949</v>
      </c>
      <c r="M131" s="65">
        <v>-0.05</v>
      </c>
      <c r="N131" s="63">
        <v>8509</v>
      </c>
    </row>
    <row r="132" spans="1:14" x14ac:dyDescent="0.25">
      <c r="A132" s="55" t="s">
        <v>76</v>
      </c>
      <c r="B132" s="55" t="s">
        <v>77</v>
      </c>
      <c r="C132" s="55" t="s">
        <v>16</v>
      </c>
      <c r="D132" s="60">
        <v>0.89473684210526316</v>
      </c>
      <c r="E132" s="55" t="s">
        <v>17</v>
      </c>
      <c r="F132" s="54" t="s">
        <v>266</v>
      </c>
      <c r="G132" s="60">
        <v>0.94193546666666672</v>
      </c>
      <c r="H132" s="60">
        <v>0.9214285333333333</v>
      </c>
      <c r="I132" s="60">
        <v>0.8666666666666667</v>
      </c>
      <c r="K132" s="64">
        <v>6389</v>
      </c>
      <c r="M132" s="62"/>
      <c r="N132" s="63">
        <v>6389</v>
      </c>
    </row>
    <row r="133" spans="1:14" x14ac:dyDescent="0.25">
      <c r="A133" s="55" t="s">
        <v>76</v>
      </c>
      <c r="B133" s="55" t="s">
        <v>77</v>
      </c>
      <c r="C133" s="55" t="s">
        <v>16</v>
      </c>
      <c r="D133" s="60">
        <v>0.89473684210526316</v>
      </c>
      <c r="E133" s="55" t="s">
        <v>12</v>
      </c>
      <c r="F133" s="54" t="s">
        <v>266</v>
      </c>
      <c r="G133" s="60">
        <v>0.75</v>
      </c>
      <c r="H133" s="60">
        <v>0.98214274999999995</v>
      </c>
      <c r="I133" s="60">
        <v>1</v>
      </c>
      <c r="K133" s="64">
        <v>7719</v>
      </c>
      <c r="M133" s="62"/>
      <c r="N133" s="63">
        <v>7719</v>
      </c>
    </row>
    <row r="134" spans="1:14" x14ac:dyDescent="0.25">
      <c r="A134" s="55" t="s">
        <v>76</v>
      </c>
      <c r="B134" s="55" t="s">
        <v>77</v>
      </c>
      <c r="C134" s="55" t="s">
        <v>21</v>
      </c>
      <c r="D134" s="60">
        <v>0.95238095238095233</v>
      </c>
      <c r="E134" s="55" t="s">
        <v>78</v>
      </c>
      <c r="F134" s="54" t="s">
        <v>268</v>
      </c>
      <c r="G134" s="60">
        <v>1</v>
      </c>
      <c r="H134" s="60">
        <v>1</v>
      </c>
      <c r="I134" s="60">
        <v>1</v>
      </c>
      <c r="K134" s="64">
        <v>3149</v>
      </c>
      <c r="M134" s="65">
        <v>2.5000000000000001E-2</v>
      </c>
      <c r="N134" s="63">
        <v>3229</v>
      </c>
    </row>
    <row r="135" spans="1:14" x14ac:dyDescent="0.25">
      <c r="A135" s="55" t="s">
        <v>76</v>
      </c>
      <c r="B135" s="55" t="s">
        <v>77</v>
      </c>
      <c r="C135" s="55" t="s">
        <v>21</v>
      </c>
      <c r="D135" s="60">
        <v>0.95238095238095233</v>
      </c>
      <c r="E135" s="55" t="s">
        <v>79</v>
      </c>
      <c r="F135" s="54" t="s">
        <v>268</v>
      </c>
      <c r="G135" s="60">
        <v>1</v>
      </c>
      <c r="H135" s="60">
        <v>0.95</v>
      </c>
      <c r="I135" s="60">
        <v>0.9</v>
      </c>
      <c r="K135" s="64">
        <v>3229</v>
      </c>
      <c r="M135" s="62"/>
      <c r="N135" s="63">
        <v>3229</v>
      </c>
    </row>
    <row r="136" spans="1:14" x14ac:dyDescent="0.25">
      <c r="A136" s="55" t="s">
        <v>76</v>
      </c>
      <c r="B136" s="55" t="s">
        <v>77</v>
      </c>
      <c r="C136" s="55" t="s">
        <v>21</v>
      </c>
      <c r="D136" s="60">
        <v>0.95238095238095233</v>
      </c>
      <c r="E136" s="55" t="s">
        <v>80</v>
      </c>
      <c r="F136" s="54" t="s">
        <v>268</v>
      </c>
      <c r="G136" s="60">
        <v>0.9677419285714286</v>
      </c>
      <c r="H136" s="60">
        <v>1</v>
      </c>
      <c r="I136" s="60">
        <v>1</v>
      </c>
      <c r="K136" s="64">
        <v>3249</v>
      </c>
      <c r="M136" s="65">
        <v>2.5000000000000001E-2</v>
      </c>
      <c r="N136" s="63">
        <v>3339</v>
      </c>
    </row>
    <row r="137" spans="1:14" x14ac:dyDescent="0.25">
      <c r="A137" s="55" t="s">
        <v>76</v>
      </c>
      <c r="B137" s="55" t="s">
        <v>166</v>
      </c>
      <c r="C137" s="55" t="s">
        <v>18</v>
      </c>
      <c r="D137" s="60">
        <v>1</v>
      </c>
      <c r="E137" s="55" t="s">
        <v>33</v>
      </c>
      <c r="F137" s="54" t="s">
        <v>267</v>
      </c>
      <c r="G137" s="60">
        <v>0.98548386666666654</v>
      </c>
      <c r="H137" s="60">
        <v>0.99464285000000008</v>
      </c>
      <c r="I137" s="60">
        <v>0.99019606666666671</v>
      </c>
      <c r="K137" s="64">
        <v>8230</v>
      </c>
      <c r="M137" s="65">
        <v>0.05</v>
      </c>
      <c r="N137" s="63">
        <v>8649</v>
      </c>
    </row>
    <row r="138" spans="1:14" x14ac:dyDescent="0.25">
      <c r="A138" s="55" t="s">
        <v>76</v>
      </c>
      <c r="B138" s="55" t="s">
        <v>167</v>
      </c>
      <c r="C138" s="55" t="s">
        <v>10</v>
      </c>
      <c r="D138" s="60">
        <v>0.8045977011494253</v>
      </c>
      <c r="E138" s="55" t="s">
        <v>11</v>
      </c>
      <c r="F138" s="54" t="s">
        <v>264</v>
      </c>
      <c r="G138" s="60">
        <v>0.94411630985915496</v>
      </c>
      <c r="H138" s="60">
        <v>0.94265592957746491</v>
      </c>
      <c r="I138" s="60">
        <v>0.88732394366197187</v>
      </c>
      <c r="K138" s="64">
        <v>429</v>
      </c>
      <c r="M138" s="62"/>
      <c r="N138" s="63">
        <v>429</v>
      </c>
    </row>
    <row r="139" spans="1:14" x14ac:dyDescent="0.25">
      <c r="A139" s="55" t="s">
        <v>76</v>
      </c>
      <c r="B139" s="55" t="s">
        <v>167</v>
      </c>
      <c r="C139" s="55" t="s">
        <v>10</v>
      </c>
      <c r="D139" s="60">
        <v>0.8045977011494253</v>
      </c>
      <c r="E139" s="55" t="s">
        <v>12</v>
      </c>
      <c r="F139" s="54" t="s">
        <v>264</v>
      </c>
      <c r="G139" s="60">
        <v>0.66733868750000003</v>
      </c>
      <c r="H139" s="60">
        <v>0.71651781250000002</v>
      </c>
      <c r="I139" s="60">
        <v>0.62132350000000003</v>
      </c>
      <c r="K139" s="64">
        <v>419</v>
      </c>
      <c r="M139" s="65"/>
      <c r="N139" s="63">
        <v>419</v>
      </c>
    </row>
    <row r="140" spans="1:14" x14ac:dyDescent="0.25">
      <c r="A140" s="55" t="s">
        <v>76</v>
      </c>
      <c r="B140" s="55" t="s">
        <v>167</v>
      </c>
      <c r="C140" s="55" t="s">
        <v>59</v>
      </c>
      <c r="D140" s="60">
        <v>0.98080000000000001</v>
      </c>
      <c r="E140" s="55" t="s">
        <v>17</v>
      </c>
      <c r="F140" s="54" t="s">
        <v>269</v>
      </c>
      <c r="G140" s="60">
        <v>0.92375359090909093</v>
      </c>
      <c r="H140" s="60">
        <v>1</v>
      </c>
      <c r="I140" s="60">
        <v>0.99732618181818178</v>
      </c>
      <c r="K140" s="64">
        <v>2549</v>
      </c>
      <c r="M140" s="62"/>
      <c r="N140" s="63">
        <v>2549</v>
      </c>
    </row>
    <row r="141" spans="1:14" x14ac:dyDescent="0.25">
      <c r="A141" s="55" t="s">
        <v>76</v>
      </c>
      <c r="B141" s="55" t="s">
        <v>167</v>
      </c>
      <c r="C141" s="55" t="s">
        <v>16</v>
      </c>
      <c r="D141" s="60">
        <v>0.98076923076923073</v>
      </c>
      <c r="E141" s="55" t="s">
        <v>17</v>
      </c>
      <c r="F141" s="54" t="s">
        <v>266</v>
      </c>
      <c r="G141" s="60">
        <v>0.92375359090909093</v>
      </c>
      <c r="H141" s="60">
        <v>1</v>
      </c>
      <c r="I141" s="60">
        <v>0.99732618181818178</v>
      </c>
      <c r="K141" s="64">
        <v>2519</v>
      </c>
      <c r="M141" s="62"/>
      <c r="N141" s="63">
        <v>2519</v>
      </c>
    </row>
    <row r="142" spans="1:14" x14ac:dyDescent="0.25">
      <c r="A142" s="55" t="s">
        <v>76</v>
      </c>
      <c r="B142" s="55" t="s">
        <v>167</v>
      </c>
      <c r="C142" s="55" t="s">
        <v>16</v>
      </c>
      <c r="D142" s="60">
        <v>0.98076923076923073</v>
      </c>
      <c r="E142" s="55" t="s">
        <v>82</v>
      </c>
      <c r="F142" s="54" t="s">
        <v>266</v>
      </c>
      <c r="G142" s="60">
        <v>1</v>
      </c>
      <c r="H142" s="60">
        <v>0.96428570833333327</v>
      </c>
      <c r="I142" s="60">
        <v>1</v>
      </c>
      <c r="K142" s="64">
        <v>2669</v>
      </c>
      <c r="M142" s="67">
        <v>2.5000000000000001E-2</v>
      </c>
      <c r="N142" s="63">
        <v>2739</v>
      </c>
    </row>
    <row r="143" spans="1:14" x14ac:dyDescent="0.25">
      <c r="A143" s="55" t="s">
        <v>76</v>
      </c>
      <c r="B143" s="55" t="s">
        <v>167</v>
      </c>
      <c r="C143" s="55" t="s">
        <v>16</v>
      </c>
      <c r="D143" s="60">
        <v>0.98076923076923073</v>
      </c>
      <c r="E143" s="55" t="s">
        <v>106</v>
      </c>
      <c r="F143" s="54" t="s">
        <v>266</v>
      </c>
      <c r="G143" s="60">
        <v>1</v>
      </c>
      <c r="H143" s="60">
        <v>0.9285713333333333</v>
      </c>
      <c r="I143" s="60">
        <v>1</v>
      </c>
      <c r="K143" s="64">
        <v>2849</v>
      </c>
      <c r="M143" s="67">
        <v>2.5000000000000001E-2</v>
      </c>
      <c r="N143" s="63">
        <v>2929</v>
      </c>
    </row>
    <row r="144" spans="1:14" x14ac:dyDescent="0.25">
      <c r="A144" s="55" t="s">
        <v>76</v>
      </c>
      <c r="B144" s="55" t="s">
        <v>167</v>
      </c>
      <c r="C144" s="55" t="s">
        <v>59</v>
      </c>
      <c r="D144" s="60">
        <v>0.98080000000000001</v>
      </c>
      <c r="E144" s="55" t="s">
        <v>106</v>
      </c>
      <c r="F144" s="54" t="s">
        <v>269</v>
      </c>
      <c r="G144" s="60">
        <v>1</v>
      </c>
      <c r="H144" s="60">
        <v>0.9285713333333333</v>
      </c>
      <c r="I144" s="60">
        <v>1</v>
      </c>
      <c r="K144" s="64">
        <v>2639</v>
      </c>
      <c r="M144" s="67">
        <v>0.05</v>
      </c>
      <c r="N144" s="63">
        <v>2779</v>
      </c>
    </row>
    <row r="145" spans="1:14" x14ac:dyDescent="0.25">
      <c r="A145" s="55" t="s">
        <v>76</v>
      </c>
      <c r="B145" s="55" t="s">
        <v>167</v>
      </c>
      <c r="C145" s="55" t="s">
        <v>59</v>
      </c>
      <c r="D145" s="60">
        <v>0.98080000000000001</v>
      </c>
      <c r="E145" s="55" t="s">
        <v>82</v>
      </c>
      <c r="F145" s="54" t="s">
        <v>269</v>
      </c>
      <c r="G145" s="60">
        <v>1</v>
      </c>
      <c r="H145" s="60">
        <v>0.96428570833333327</v>
      </c>
      <c r="I145" s="60">
        <v>1</v>
      </c>
      <c r="K145" s="64">
        <v>2639</v>
      </c>
      <c r="M145" s="67">
        <v>2.3E-2</v>
      </c>
      <c r="N145" s="63">
        <v>2699</v>
      </c>
    </row>
    <row r="146" spans="1:14" x14ac:dyDescent="0.25">
      <c r="A146" s="55" t="s">
        <v>76</v>
      </c>
      <c r="B146" s="55" t="s">
        <v>168</v>
      </c>
      <c r="C146" s="55" t="s">
        <v>10</v>
      </c>
      <c r="D146" s="60">
        <v>0.94827586206896552</v>
      </c>
      <c r="E146" s="55" t="s">
        <v>11</v>
      </c>
      <c r="F146" s="54" t="s">
        <v>264</v>
      </c>
      <c r="G146" s="60">
        <v>0.97533205882352947</v>
      </c>
      <c r="H146" s="60">
        <v>0.96008402941176474</v>
      </c>
      <c r="I146" s="60">
        <v>0.96885811764705876</v>
      </c>
      <c r="K146" s="64">
        <v>439</v>
      </c>
      <c r="M146" s="65">
        <v>2.5000000000000001E-2</v>
      </c>
      <c r="N146" s="63">
        <v>449</v>
      </c>
    </row>
    <row r="147" spans="1:14" x14ac:dyDescent="0.25">
      <c r="A147" s="55" t="s">
        <v>76</v>
      </c>
      <c r="B147" s="55" t="s">
        <v>168</v>
      </c>
      <c r="C147" s="55" t="s">
        <v>10</v>
      </c>
      <c r="D147" s="60">
        <v>0.94827586206896552</v>
      </c>
      <c r="E147" s="55" t="s">
        <v>12</v>
      </c>
      <c r="F147" s="54" t="s">
        <v>264</v>
      </c>
      <c r="G147" s="60">
        <v>0.90591395833333344</v>
      </c>
      <c r="H147" s="60">
        <v>0.89136904166666664</v>
      </c>
      <c r="I147" s="60">
        <v>0.89950979166666667</v>
      </c>
      <c r="K147" s="64">
        <v>399</v>
      </c>
      <c r="M147" s="65">
        <v>2.5000000000000001E-2</v>
      </c>
      <c r="N147" s="63">
        <v>409</v>
      </c>
    </row>
    <row r="148" spans="1:14" x14ac:dyDescent="0.25">
      <c r="A148" s="55" t="s">
        <v>76</v>
      </c>
      <c r="B148" s="55" t="s">
        <v>168</v>
      </c>
      <c r="C148" s="55" t="s">
        <v>18</v>
      </c>
      <c r="D148" s="60">
        <v>0.90909090909090906</v>
      </c>
      <c r="E148" s="55" t="s">
        <v>33</v>
      </c>
      <c r="F148" s="54" t="s">
        <v>267</v>
      </c>
      <c r="G148" s="60">
        <v>0.975806375</v>
      </c>
      <c r="H148" s="60">
        <v>1</v>
      </c>
      <c r="I148" s="60">
        <v>0.96323524999999999</v>
      </c>
      <c r="K148" s="64">
        <v>7849</v>
      </c>
      <c r="M148" s="65">
        <v>0.05</v>
      </c>
      <c r="N148" s="63">
        <v>8249</v>
      </c>
    </row>
    <row r="149" spans="1:14" x14ac:dyDescent="0.25">
      <c r="A149" s="55" t="s">
        <v>76</v>
      </c>
      <c r="B149" s="55" t="s">
        <v>168</v>
      </c>
      <c r="C149" s="55" t="s">
        <v>18</v>
      </c>
      <c r="D149" s="60">
        <v>0.90909090909090906</v>
      </c>
      <c r="E149" s="55" t="s">
        <v>83</v>
      </c>
      <c r="F149" s="54" t="s">
        <v>267</v>
      </c>
      <c r="G149" s="60">
        <v>1</v>
      </c>
      <c r="H149" s="60">
        <v>1</v>
      </c>
      <c r="I149" s="60">
        <v>1</v>
      </c>
      <c r="K149" s="64">
        <v>8489</v>
      </c>
      <c r="M149" s="65">
        <v>2.5000000000000001E-2</v>
      </c>
      <c r="N149" s="63">
        <v>8709</v>
      </c>
    </row>
    <row r="150" spans="1:14" x14ac:dyDescent="0.25">
      <c r="A150" s="55" t="s">
        <v>76</v>
      </c>
      <c r="B150" s="55" t="s">
        <v>168</v>
      </c>
      <c r="C150" s="55" t="s">
        <v>16</v>
      </c>
      <c r="D150" s="60">
        <v>0.85</v>
      </c>
      <c r="E150" s="55" t="s">
        <v>17</v>
      </c>
      <c r="F150" s="54" t="s">
        <v>266</v>
      </c>
      <c r="G150" s="60">
        <v>0.94117647058823528</v>
      </c>
      <c r="H150" s="60">
        <v>0.79201676470588234</v>
      </c>
      <c r="I150" s="60">
        <v>0.83737023529411758</v>
      </c>
      <c r="K150" s="64">
        <v>6399</v>
      </c>
      <c r="M150" s="62"/>
      <c r="N150" s="63">
        <v>6399</v>
      </c>
    </row>
    <row r="151" spans="1:14" x14ac:dyDescent="0.25">
      <c r="A151" s="55" t="s">
        <v>76</v>
      </c>
      <c r="B151" s="55" t="s">
        <v>168</v>
      </c>
      <c r="C151" s="55" t="s">
        <v>16</v>
      </c>
      <c r="D151" s="60">
        <v>0.85</v>
      </c>
      <c r="E151" s="55" t="s">
        <v>12</v>
      </c>
      <c r="F151" s="54" t="s">
        <v>266</v>
      </c>
      <c r="G151" s="60">
        <v>0.45161266666666666</v>
      </c>
      <c r="H151" s="60">
        <v>0.8928569999999999</v>
      </c>
      <c r="I151" s="60">
        <v>1</v>
      </c>
      <c r="K151" s="64">
        <v>6569</v>
      </c>
      <c r="M151" s="62"/>
      <c r="N151" s="63">
        <v>6569</v>
      </c>
    </row>
    <row r="152" spans="1:14" x14ac:dyDescent="0.25">
      <c r="A152" s="55" t="s">
        <v>76</v>
      </c>
      <c r="B152" s="55" t="s">
        <v>168</v>
      </c>
      <c r="C152" s="55" t="s">
        <v>21</v>
      </c>
      <c r="D152" s="60">
        <v>0.94117647058823528</v>
      </c>
      <c r="E152" s="55" t="s">
        <v>75</v>
      </c>
      <c r="F152" s="54" t="s">
        <v>268</v>
      </c>
      <c r="G152" s="60">
        <v>0.97058823529411764</v>
      </c>
      <c r="H152" s="60">
        <v>0.97058823529411764</v>
      </c>
      <c r="I152" s="60">
        <v>0.94117647058823528</v>
      </c>
      <c r="K152" s="64">
        <v>3249</v>
      </c>
      <c r="M152" s="62"/>
      <c r="N152" s="63">
        <v>3249</v>
      </c>
    </row>
    <row r="153" spans="1:14" x14ac:dyDescent="0.25">
      <c r="A153" s="55" t="s">
        <v>76</v>
      </c>
      <c r="B153" s="55" t="s">
        <v>169</v>
      </c>
      <c r="C153" s="55" t="s">
        <v>10</v>
      </c>
      <c r="D153" s="60">
        <v>0.96078431372549022</v>
      </c>
      <c r="E153" s="55" t="s">
        <v>11</v>
      </c>
      <c r="F153" s="54" t="s">
        <v>264</v>
      </c>
      <c r="G153" s="60">
        <v>0.97606658064516127</v>
      </c>
      <c r="H153" s="60">
        <v>0.93087554838709674</v>
      </c>
      <c r="I153" s="60">
        <v>0.95445919354838715</v>
      </c>
      <c r="K153" s="64">
        <v>419</v>
      </c>
      <c r="M153" s="62"/>
      <c r="N153" s="63">
        <v>419</v>
      </c>
    </row>
    <row r="154" spans="1:14" x14ac:dyDescent="0.25">
      <c r="A154" s="55" t="s">
        <v>76</v>
      </c>
      <c r="B154" s="55" t="s">
        <v>169</v>
      </c>
      <c r="C154" s="55" t="s">
        <v>10</v>
      </c>
      <c r="D154" s="60">
        <v>0.96078431372549022</v>
      </c>
      <c r="E154" s="55" t="s">
        <v>12</v>
      </c>
      <c r="F154" s="54" t="s">
        <v>264</v>
      </c>
      <c r="G154" s="60">
        <v>0.97419349999999993</v>
      </c>
      <c r="H154" s="60">
        <v>0.96071424999999999</v>
      </c>
      <c r="I154" s="60">
        <v>0.95294115000000001</v>
      </c>
      <c r="K154" s="64">
        <v>409</v>
      </c>
      <c r="M154" s="62"/>
      <c r="N154" s="63">
        <v>409</v>
      </c>
    </row>
    <row r="155" spans="1:14" x14ac:dyDescent="0.25">
      <c r="A155" s="55" t="s">
        <v>76</v>
      </c>
      <c r="B155" s="55" t="s">
        <v>169</v>
      </c>
      <c r="C155" s="55" t="s">
        <v>13</v>
      </c>
      <c r="D155" s="60">
        <v>1</v>
      </c>
      <c r="E155" s="55" t="s">
        <v>170</v>
      </c>
      <c r="F155" s="54" t="s">
        <v>265</v>
      </c>
      <c r="G155" s="60">
        <v>0.98826972727272733</v>
      </c>
      <c r="H155" s="60">
        <v>0.97402590909090914</v>
      </c>
      <c r="I155" s="60">
        <v>0.89839563636363629</v>
      </c>
      <c r="K155" s="64">
        <v>449</v>
      </c>
      <c r="M155" s="62"/>
      <c r="N155" s="63">
        <v>449</v>
      </c>
    </row>
    <row r="156" spans="1:14" s="66" customFormat="1" x14ac:dyDescent="0.25">
      <c r="A156" s="55" t="s">
        <v>76</v>
      </c>
      <c r="B156" s="55" t="s">
        <v>169</v>
      </c>
      <c r="C156" s="55" t="s">
        <v>13</v>
      </c>
      <c r="D156" s="60">
        <v>1</v>
      </c>
      <c r="E156" s="55" t="s">
        <v>83</v>
      </c>
      <c r="F156" s="54" t="s">
        <v>265</v>
      </c>
      <c r="G156" s="60">
        <v>0.97580624999999999</v>
      </c>
      <c r="H156" s="60">
        <v>1</v>
      </c>
      <c r="I156" s="60">
        <v>1</v>
      </c>
      <c r="J156" s="55"/>
      <c r="K156" s="64">
        <v>429</v>
      </c>
      <c r="L156" s="55"/>
      <c r="M156" s="62"/>
      <c r="N156" s="63">
        <v>429</v>
      </c>
    </row>
    <row r="157" spans="1:14" s="66" customFormat="1" x14ac:dyDescent="0.25">
      <c r="A157" s="55" t="s">
        <v>76</v>
      </c>
      <c r="B157" s="55" t="s">
        <v>169</v>
      </c>
      <c r="C157" s="55" t="s">
        <v>16</v>
      </c>
      <c r="D157" s="60">
        <v>0.95454545454545459</v>
      </c>
      <c r="E157" s="55" t="s">
        <v>17</v>
      </c>
      <c r="F157" s="54" t="s">
        <v>266</v>
      </c>
      <c r="G157" s="60">
        <v>0.95340500000000006</v>
      </c>
      <c r="H157" s="60">
        <v>0.95039677777777776</v>
      </c>
      <c r="I157" s="60">
        <v>0.99346400000000001</v>
      </c>
      <c r="J157" s="55"/>
      <c r="K157" s="64">
        <v>5359</v>
      </c>
      <c r="L157" s="55"/>
      <c r="M157" s="65">
        <v>2.5000000000000001E-2</v>
      </c>
      <c r="N157" s="63">
        <v>5499</v>
      </c>
    </row>
    <row r="158" spans="1:14" x14ac:dyDescent="0.25">
      <c r="A158" s="55" t="s">
        <v>76</v>
      </c>
      <c r="B158" s="55" t="s">
        <v>169</v>
      </c>
      <c r="C158" s="55" t="s">
        <v>16</v>
      </c>
      <c r="D158" s="60">
        <v>0.95454545454545459</v>
      </c>
      <c r="E158" s="55" t="s">
        <v>12</v>
      </c>
      <c r="F158" s="54" t="s">
        <v>266</v>
      </c>
      <c r="G158" s="60">
        <v>1</v>
      </c>
      <c r="H158" s="60">
        <v>1</v>
      </c>
      <c r="I158" s="60">
        <v>1</v>
      </c>
      <c r="K158" s="64">
        <v>6789</v>
      </c>
      <c r="M158" s="62"/>
      <c r="N158" s="63">
        <v>6789</v>
      </c>
    </row>
    <row r="159" spans="1:14" x14ac:dyDescent="0.25">
      <c r="A159" s="55" t="s">
        <v>76</v>
      </c>
      <c r="B159" s="55" t="s">
        <v>171</v>
      </c>
      <c r="C159" s="55" t="s">
        <v>10</v>
      </c>
      <c r="D159" s="60">
        <v>0.95</v>
      </c>
      <c r="E159" s="55" t="s">
        <v>51</v>
      </c>
      <c r="F159" s="54" t="s">
        <v>264</v>
      </c>
      <c r="G159" s="60">
        <v>0.90015357142857133</v>
      </c>
      <c r="H159" s="60">
        <v>0.89625847619047627</v>
      </c>
      <c r="I159" s="60">
        <v>0.8991596190476191</v>
      </c>
      <c r="K159" s="64">
        <v>379</v>
      </c>
      <c r="M159" s="62"/>
      <c r="N159" s="63">
        <v>379</v>
      </c>
    </row>
    <row r="160" spans="1:14" x14ac:dyDescent="0.25">
      <c r="A160" s="55" t="s">
        <v>76</v>
      </c>
      <c r="B160" s="55" t="s">
        <v>171</v>
      </c>
      <c r="C160" s="55" t="s">
        <v>10</v>
      </c>
      <c r="D160" s="60">
        <v>0.95</v>
      </c>
      <c r="E160" s="55" t="s">
        <v>11</v>
      </c>
      <c r="F160" s="54" t="s">
        <v>264</v>
      </c>
      <c r="G160" s="60">
        <v>0.94127376923076922</v>
      </c>
      <c r="H160" s="60">
        <v>0.9322344102564103</v>
      </c>
      <c r="I160" s="60">
        <v>0.9306183846153846</v>
      </c>
      <c r="K160" s="64">
        <v>379</v>
      </c>
      <c r="M160" s="65">
        <v>2.5000000000000001E-2</v>
      </c>
      <c r="N160" s="63">
        <v>389</v>
      </c>
    </row>
    <row r="161" spans="1:14" x14ac:dyDescent="0.25">
      <c r="A161" s="55" t="s">
        <v>76</v>
      </c>
      <c r="B161" s="55" t="s">
        <v>171</v>
      </c>
      <c r="C161" s="55" t="s">
        <v>13</v>
      </c>
      <c r="D161" s="60">
        <v>0.9285714285714286</v>
      </c>
      <c r="E161" s="55" t="s">
        <v>14</v>
      </c>
      <c r="F161" s="54" t="s">
        <v>265</v>
      </c>
      <c r="G161" s="60">
        <v>1</v>
      </c>
      <c r="H161" s="60">
        <v>1</v>
      </c>
      <c r="I161" s="60">
        <v>1</v>
      </c>
      <c r="K161" s="64">
        <v>399</v>
      </c>
      <c r="M161" s="65">
        <v>2.5000000000000001E-2</v>
      </c>
      <c r="N161" s="63">
        <v>409</v>
      </c>
    </row>
    <row r="162" spans="1:14" x14ac:dyDescent="0.25">
      <c r="A162" s="55" t="s">
        <v>76</v>
      </c>
      <c r="B162" s="55" t="s">
        <v>171</v>
      </c>
      <c r="C162" s="55" t="s">
        <v>13</v>
      </c>
      <c r="D162" s="60">
        <v>0.9285714285714286</v>
      </c>
      <c r="E162" s="55" t="s">
        <v>15</v>
      </c>
      <c r="F162" s="54" t="s">
        <v>265</v>
      </c>
      <c r="G162" s="60">
        <v>0.97800586363636366</v>
      </c>
      <c r="H162" s="60">
        <v>0.95779218181818182</v>
      </c>
      <c r="I162" s="60">
        <v>0.95989304545454557</v>
      </c>
      <c r="K162" s="64">
        <v>359</v>
      </c>
      <c r="M162" s="65">
        <v>2.5000000000000001E-2</v>
      </c>
      <c r="N162" s="63">
        <v>369</v>
      </c>
    </row>
    <row r="163" spans="1:14" x14ac:dyDescent="0.25">
      <c r="A163" s="55" t="s">
        <v>76</v>
      </c>
      <c r="B163" s="55" t="s">
        <v>172</v>
      </c>
      <c r="C163" s="55" t="s">
        <v>10</v>
      </c>
      <c r="D163" s="60">
        <v>0.95238095238095233</v>
      </c>
      <c r="E163" s="55" t="s">
        <v>17</v>
      </c>
      <c r="F163" s="54" t="s">
        <v>264</v>
      </c>
      <c r="G163" s="60">
        <v>0.94416865384615378</v>
      </c>
      <c r="H163" s="60">
        <v>0.98489003846153855</v>
      </c>
      <c r="I163" s="60">
        <v>0.95475107692307692</v>
      </c>
      <c r="K163" s="64">
        <v>423.61538461538464</v>
      </c>
      <c r="M163" s="65">
        <v>2.5000000000000001E-2</v>
      </c>
      <c r="N163" s="63">
        <v>439</v>
      </c>
    </row>
    <row r="164" spans="1:14" x14ac:dyDescent="0.25">
      <c r="A164" s="55" t="s">
        <v>76</v>
      </c>
      <c r="B164" s="55" t="s">
        <v>172</v>
      </c>
      <c r="C164" s="55" t="s">
        <v>13</v>
      </c>
      <c r="D164" s="60">
        <v>1</v>
      </c>
      <c r="E164" s="55" t="s">
        <v>67</v>
      </c>
      <c r="F164" s="54" t="s">
        <v>265</v>
      </c>
      <c r="G164" s="60">
        <v>0.99810241176470593</v>
      </c>
      <c r="H164" s="60">
        <v>0.99159658823529406</v>
      </c>
      <c r="I164" s="60">
        <v>0.98961935294117653</v>
      </c>
      <c r="K164" s="64">
        <v>460.1764705882353</v>
      </c>
      <c r="M164" s="65">
        <v>2.5000000000000001E-2</v>
      </c>
      <c r="N164" s="63">
        <v>479</v>
      </c>
    </row>
    <row r="165" spans="1:14" x14ac:dyDescent="0.25">
      <c r="A165" s="55" t="s">
        <v>76</v>
      </c>
      <c r="B165" s="55" t="s">
        <v>172</v>
      </c>
      <c r="C165" s="55" t="s">
        <v>13</v>
      </c>
      <c r="D165" s="60">
        <v>1</v>
      </c>
      <c r="E165" s="55" t="s">
        <v>173</v>
      </c>
      <c r="F165" s="54" t="s">
        <v>265</v>
      </c>
      <c r="G165" s="60">
        <v>1</v>
      </c>
      <c r="H165" s="60">
        <v>1</v>
      </c>
      <c r="I165" s="60">
        <v>1</v>
      </c>
      <c r="K165" s="64">
        <v>499</v>
      </c>
      <c r="M165" s="65">
        <v>2.5000000000000001E-2</v>
      </c>
      <c r="N165" s="63">
        <v>519</v>
      </c>
    </row>
    <row r="166" spans="1:14" x14ac:dyDescent="0.25">
      <c r="A166" s="55" t="s">
        <v>76</v>
      </c>
      <c r="B166" s="55" t="s">
        <v>172</v>
      </c>
      <c r="C166" s="55" t="s">
        <v>13</v>
      </c>
      <c r="D166" s="60">
        <v>1</v>
      </c>
      <c r="E166" s="55" t="s">
        <v>68</v>
      </c>
      <c r="F166" s="54" t="s">
        <v>265</v>
      </c>
      <c r="G166" s="60">
        <v>1</v>
      </c>
      <c r="H166" s="60">
        <v>1</v>
      </c>
      <c r="I166" s="60">
        <v>1</v>
      </c>
      <c r="K166" s="64">
        <v>409</v>
      </c>
      <c r="M166" s="65">
        <v>2.5000000000000001E-2</v>
      </c>
      <c r="N166" s="63">
        <v>419</v>
      </c>
    </row>
    <row r="167" spans="1:14" x14ac:dyDescent="0.25">
      <c r="A167" s="55" t="s">
        <v>76</v>
      </c>
      <c r="B167" s="55" t="s">
        <v>172</v>
      </c>
      <c r="C167" s="55" t="s">
        <v>10</v>
      </c>
      <c r="D167" s="60">
        <v>0.95238095238095233</v>
      </c>
      <c r="E167" s="55" t="s">
        <v>44</v>
      </c>
      <c r="F167" s="54" t="s">
        <v>264</v>
      </c>
      <c r="G167" s="60">
        <v>1</v>
      </c>
      <c r="H167" s="60">
        <v>0.96651781250000002</v>
      </c>
      <c r="I167" s="60">
        <v>0.95588225000000004</v>
      </c>
      <c r="K167" s="64">
        <v>399</v>
      </c>
      <c r="M167" s="65">
        <v>2.5000000000000001E-2</v>
      </c>
      <c r="N167" s="63">
        <v>409</v>
      </c>
    </row>
    <row r="168" spans="1:14" s="66" customFormat="1" x14ac:dyDescent="0.25">
      <c r="A168" s="55" t="s">
        <v>76</v>
      </c>
      <c r="B168" s="55" t="s">
        <v>172</v>
      </c>
      <c r="C168" s="55" t="s">
        <v>16</v>
      </c>
      <c r="D168" s="60">
        <v>0.8928571428571429</v>
      </c>
      <c r="E168" s="55" t="s">
        <v>17</v>
      </c>
      <c r="F168" s="54" t="s">
        <v>266</v>
      </c>
      <c r="G168" s="60">
        <v>0.86693537499999995</v>
      </c>
      <c r="H168" s="60">
        <v>0.79910712500000003</v>
      </c>
      <c r="I168" s="60">
        <v>0.87499993749999994</v>
      </c>
      <c r="J168" s="55"/>
      <c r="K168" s="64">
        <v>6096.5</v>
      </c>
      <c r="L168" s="55"/>
      <c r="M168" s="62"/>
      <c r="N168" s="63">
        <v>6099</v>
      </c>
    </row>
    <row r="169" spans="1:14" s="66" customFormat="1" x14ac:dyDescent="0.25">
      <c r="A169" s="55" t="s">
        <v>76</v>
      </c>
      <c r="B169" s="55" t="s">
        <v>172</v>
      </c>
      <c r="C169" s="55" t="s">
        <v>16</v>
      </c>
      <c r="D169" s="60">
        <v>0.8928571428571429</v>
      </c>
      <c r="E169" s="55" t="s">
        <v>44</v>
      </c>
      <c r="F169" s="54" t="s">
        <v>266</v>
      </c>
      <c r="G169" s="60">
        <v>1</v>
      </c>
      <c r="H169" s="60">
        <v>1</v>
      </c>
      <c r="I169" s="60">
        <v>1</v>
      </c>
      <c r="J169" s="55"/>
      <c r="K169" s="64">
        <v>6215</v>
      </c>
      <c r="L169" s="55"/>
      <c r="M169" s="65">
        <v>2.5000000000000001E-2</v>
      </c>
      <c r="N169" s="63">
        <v>6379</v>
      </c>
    </row>
    <row r="170" spans="1:14" x14ac:dyDescent="0.25">
      <c r="A170" s="55" t="s">
        <v>76</v>
      </c>
      <c r="B170" s="55" t="s">
        <v>172</v>
      </c>
      <c r="C170" s="55" t="s">
        <v>16</v>
      </c>
      <c r="D170" s="60">
        <v>0.8928571428571429</v>
      </c>
      <c r="E170" s="55" t="s">
        <v>174</v>
      </c>
      <c r="F170" s="54" t="s">
        <v>266</v>
      </c>
      <c r="G170" s="60">
        <v>0.68663585714285713</v>
      </c>
      <c r="H170" s="60">
        <v>0.67346914285714277</v>
      </c>
      <c r="I170" s="60">
        <v>0.81512600000000002</v>
      </c>
      <c r="K170" s="64">
        <v>7396.1428571428569</v>
      </c>
      <c r="M170" s="62"/>
      <c r="N170" s="63">
        <v>7399</v>
      </c>
    </row>
    <row r="171" spans="1:14" x14ac:dyDescent="0.25">
      <c r="A171" s="55" t="s">
        <v>76</v>
      </c>
      <c r="B171" s="55" t="s">
        <v>172</v>
      </c>
      <c r="C171" s="55" t="s">
        <v>46</v>
      </c>
      <c r="D171" s="60">
        <v>1</v>
      </c>
      <c r="E171" s="55" t="s">
        <v>29</v>
      </c>
      <c r="F171" s="54" t="s">
        <v>269</v>
      </c>
      <c r="G171" s="60">
        <v>0.95698922222222238</v>
      </c>
      <c r="H171" s="60">
        <v>0.96031744444444433</v>
      </c>
      <c r="I171" s="60">
        <v>1</v>
      </c>
      <c r="K171" s="64">
        <v>3780.6666666666665</v>
      </c>
      <c r="M171" s="65">
        <v>2.5000000000000001E-2</v>
      </c>
      <c r="N171" s="63">
        <v>3879</v>
      </c>
    </row>
    <row r="172" spans="1:14" x14ac:dyDescent="0.25">
      <c r="A172" s="55" t="s">
        <v>76</v>
      </c>
      <c r="B172" s="55" t="s">
        <v>172</v>
      </c>
      <c r="C172" s="55" t="s">
        <v>46</v>
      </c>
      <c r="D172" s="60">
        <v>1</v>
      </c>
      <c r="E172" s="55" t="s">
        <v>17</v>
      </c>
      <c r="F172" s="54" t="s">
        <v>269</v>
      </c>
      <c r="G172" s="60">
        <v>1</v>
      </c>
      <c r="H172" s="60">
        <v>1</v>
      </c>
      <c r="I172" s="60">
        <v>1</v>
      </c>
      <c r="K172" s="64">
        <v>3124</v>
      </c>
      <c r="M172" s="65">
        <v>2.5000000000000001E-2</v>
      </c>
      <c r="N172" s="63">
        <v>3209</v>
      </c>
    </row>
    <row r="173" spans="1:14" x14ac:dyDescent="0.25">
      <c r="A173" s="55" t="s">
        <v>76</v>
      </c>
      <c r="B173" s="55" t="s">
        <v>175</v>
      </c>
      <c r="C173" s="55" t="s">
        <v>10</v>
      </c>
      <c r="D173" s="60">
        <v>0.87301587301587302</v>
      </c>
      <c r="E173" s="55" t="s">
        <v>11</v>
      </c>
      <c r="F173" s="54" t="s">
        <v>264</v>
      </c>
      <c r="G173" s="60">
        <v>0.91997517307692311</v>
      </c>
      <c r="H173" s="60">
        <v>0.92788461538461542</v>
      </c>
      <c r="I173" s="60">
        <v>0.9536199038461538</v>
      </c>
      <c r="K173" s="64">
        <v>459</v>
      </c>
      <c r="M173" s="62"/>
      <c r="N173" s="63">
        <v>459</v>
      </c>
    </row>
    <row r="174" spans="1:14" x14ac:dyDescent="0.25">
      <c r="A174" s="55" t="s">
        <v>76</v>
      </c>
      <c r="B174" s="55" t="s">
        <v>175</v>
      </c>
      <c r="C174" s="55" t="s">
        <v>10</v>
      </c>
      <c r="D174" s="60">
        <v>0.87301587301587302</v>
      </c>
      <c r="E174" s="55" t="s">
        <v>12</v>
      </c>
      <c r="F174" s="54" t="s">
        <v>264</v>
      </c>
      <c r="G174" s="60">
        <v>0.74780054545454544</v>
      </c>
      <c r="H174" s="60">
        <v>0.81818181818181823</v>
      </c>
      <c r="I174" s="60">
        <v>0.78609618181818175</v>
      </c>
      <c r="K174" s="64">
        <v>399</v>
      </c>
      <c r="M174" s="62"/>
      <c r="N174" s="63">
        <v>399</v>
      </c>
    </row>
    <row r="175" spans="1:14" x14ac:dyDescent="0.25">
      <c r="A175" s="55" t="s">
        <v>76</v>
      </c>
      <c r="B175" s="55" t="s">
        <v>175</v>
      </c>
      <c r="C175" s="55" t="s">
        <v>16</v>
      </c>
      <c r="D175" s="60">
        <v>0.86363636363636365</v>
      </c>
      <c r="E175" s="55" t="s">
        <v>17</v>
      </c>
      <c r="F175" s="54" t="s">
        <v>266</v>
      </c>
      <c r="G175" s="60">
        <v>0.96415766666666669</v>
      </c>
      <c r="H175" s="60">
        <v>0.87896822222222215</v>
      </c>
      <c r="I175" s="60">
        <v>0.94771238888888887</v>
      </c>
      <c r="K175" s="64">
        <v>6459</v>
      </c>
      <c r="M175" s="62"/>
      <c r="N175" s="63">
        <v>6459</v>
      </c>
    </row>
    <row r="176" spans="1:14" x14ac:dyDescent="0.25">
      <c r="A176" s="55" t="s">
        <v>76</v>
      </c>
      <c r="B176" s="55" t="s">
        <v>175</v>
      </c>
      <c r="C176" s="55" t="s">
        <v>16</v>
      </c>
      <c r="D176" s="60">
        <v>0.86363636363636365</v>
      </c>
      <c r="E176" s="55" t="s">
        <v>12</v>
      </c>
      <c r="F176" s="54" t="s">
        <v>266</v>
      </c>
      <c r="G176" s="60">
        <v>1</v>
      </c>
      <c r="H176" s="60">
        <v>1</v>
      </c>
      <c r="I176" s="60">
        <v>1</v>
      </c>
      <c r="K176" s="64">
        <v>6829</v>
      </c>
      <c r="M176" s="65">
        <v>2.5000000000000001E-2</v>
      </c>
      <c r="N176" s="63">
        <v>6999</v>
      </c>
    </row>
    <row r="177" spans="1:14" x14ac:dyDescent="0.25">
      <c r="A177" s="55" t="s">
        <v>76</v>
      </c>
      <c r="B177" s="55" t="s">
        <v>176</v>
      </c>
      <c r="C177" s="55" t="s">
        <v>10</v>
      </c>
      <c r="D177" s="60">
        <v>0.92307692307692313</v>
      </c>
      <c r="E177" s="55" t="s">
        <v>177</v>
      </c>
      <c r="F177" s="54" t="s">
        <v>264</v>
      </c>
      <c r="G177" s="60">
        <v>1</v>
      </c>
      <c r="H177" s="60">
        <v>0.97576525000000003</v>
      </c>
      <c r="I177" s="60">
        <v>0.93067221428571423</v>
      </c>
      <c r="K177" s="64">
        <v>449</v>
      </c>
      <c r="M177" s="65">
        <v>2.5000000000000001E-2</v>
      </c>
      <c r="N177" s="63">
        <v>469</v>
      </c>
    </row>
    <row r="178" spans="1:14" x14ac:dyDescent="0.25">
      <c r="A178" s="55" t="s">
        <v>76</v>
      </c>
      <c r="B178" s="55" t="s">
        <v>176</v>
      </c>
      <c r="C178" s="55" t="s">
        <v>10</v>
      </c>
      <c r="D178" s="60">
        <v>0.92307692307692313</v>
      </c>
      <c r="E178" s="55" t="s">
        <v>178</v>
      </c>
      <c r="F178" s="54" t="s">
        <v>264</v>
      </c>
      <c r="G178" s="60">
        <v>0.91397845833333324</v>
      </c>
      <c r="H178" s="60">
        <v>0.90327374999999999</v>
      </c>
      <c r="I178" s="60">
        <v>0.96078425000000001</v>
      </c>
      <c r="K178" s="64">
        <v>659</v>
      </c>
      <c r="M178" s="65">
        <v>2.5000000000000001E-2</v>
      </c>
      <c r="N178" s="63">
        <v>679</v>
      </c>
    </row>
    <row r="179" spans="1:14" x14ac:dyDescent="0.25">
      <c r="A179" s="55" t="s">
        <v>76</v>
      </c>
      <c r="B179" s="55" t="s">
        <v>176</v>
      </c>
      <c r="C179" s="55" t="s">
        <v>18</v>
      </c>
      <c r="D179" s="60">
        <v>0.8125</v>
      </c>
      <c r="E179" s="55" t="s">
        <v>32</v>
      </c>
      <c r="F179" s="54" t="s">
        <v>267</v>
      </c>
      <c r="G179" s="60">
        <v>0.79435481249999995</v>
      </c>
      <c r="H179" s="60">
        <v>0.74999993750000005</v>
      </c>
      <c r="I179" s="60">
        <v>0.77573524999999999</v>
      </c>
      <c r="K179" s="64">
        <v>7671.5</v>
      </c>
      <c r="M179" s="62"/>
      <c r="N179" s="63">
        <v>7679</v>
      </c>
    </row>
    <row r="180" spans="1:14" x14ac:dyDescent="0.25">
      <c r="A180" s="55" t="s">
        <v>76</v>
      </c>
      <c r="B180" s="55" t="s">
        <v>176</v>
      </c>
      <c r="C180" s="55" t="s">
        <v>16</v>
      </c>
      <c r="D180" s="60">
        <v>0.93548387096774188</v>
      </c>
      <c r="E180" s="55" t="s">
        <v>29</v>
      </c>
      <c r="F180" s="54" t="s">
        <v>266</v>
      </c>
      <c r="G180" s="60">
        <v>0.93935481999999992</v>
      </c>
      <c r="H180" s="60">
        <v>0.91285712000000008</v>
      </c>
      <c r="I180" s="60">
        <v>0.92588234000000003</v>
      </c>
      <c r="K180" s="64">
        <v>5327.125</v>
      </c>
      <c r="M180" s="62"/>
      <c r="N180" s="63">
        <v>5329</v>
      </c>
    </row>
    <row r="181" spans="1:14" x14ac:dyDescent="0.25">
      <c r="A181" s="55" t="s">
        <v>76</v>
      </c>
      <c r="B181" s="55" t="s">
        <v>176</v>
      </c>
      <c r="C181" s="55" t="s">
        <v>16</v>
      </c>
      <c r="D181" s="60">
        <v>0.93548387096774188</v>
      </c>
      <c r="E181" s="55" t="s">
        <v>179</v>
      </c>
      <c r="F181" s="54" t="s">
        <v>266</v>
      </c>
      <c r="G181" s="60">
        <v>1</v>
      </c>
      <c r="H181" s="60">
        <v>1</v>
      </c>
      <c r="I181" s="60">
        <v>1</v>
      </c>
      <c r="K181" s="64">
        <v>6259</v>
      </c>
      <c r="M181" s="65">
        <v>0.05</v>
      </c>
      <c r="N181" s="63">
        <v>6579</v>
      </c>
    </row>
    <row r="182" spans="1:14" x14ac:dyDescent="0.25">
      <c r="A182" s="55" t="s">
        <v>76</v>
      </c>
      <c r="B182" s="55" t="s">
        <v>176</v>
      </c>
      <c r="C182" s="55" t="s">
        <v>16</v>
      </c>
      <c r="D182" s="60">
        <v>0.93548387096774188</v>
      </c>
      <c r="E182" s="55" t="s">
        <v>17</v>
      </c>
      <c r="F182" s="54" t="s">
        <v>266</v>
      </c>
      <c r="G182" s="60">
        <v>1</v>
      </c>
      <c r="H182" s="60">
        <v>1</v>
      </c>
      <c r="I182" s="60">
        <v>1</v>
      </c>
      <c r="K182" s="64">
        <v>4659</v>
      </c>
      <c r="M182" s="65">
        <v>2.5000000000000001E-2</v>
      </c>
      <c r="N182" s="63">
        <v>4779</v>
      </c>
    </row>
    <row r="183" spans="1:14" x14ac:dyDescent="0.25">
      <c r="A183" s="55" t="s">
        <v>76</v>
      </c>
      <c r="B183" s="55" t="s">
        <v>176</v>
      </c>
      <c r="C183" s="55" t="s">
        <v>16</v>
      </c>
      <c r="D183" s="60">
        <v>0.93548387096774188</v>
      </c>
      <c r="E183" s="55" t="s">
        <v>31</v>
      </c>
      <c r="F183" s="54" t="s">
        <v>266</v>
      </c>
      <c r="G183" s="60">
        <v>1</v>
      </c>
      <c r="H183" s="60">
        <v>1</v>
      </c>
      <c r="I183" s="60">
        <v>1</v>
      </c>
      <c r="K183" s="64">
        <v>6159</v>
      </c>
      <c r="M183" s="62">
        <v>0.05</v>
      </c>
      <c r="N183" s="63">
        <v>6469</v>
      </c>
    </row>
    <row r="184" spans="1:14" x14ac:dyDescent="0.25">
      <c r="A184" s="55" t="s">
        <v>76</v>
      </c>
      <c r="B184" s="55" t="s">
        <v>176</v>
      </c>
      <c r="C184" s="55" t="s">
        <v>21</v>
      </c>
      <c r="D184" s="60">
        <v>0.98275862068965514</v>
      </c>
      <c r="E184" s="55" t="s">
        <v>180</v>
      </c>
      <c r="F184" s="54" t="s">
        <v>268</v>
      </c>
      <c r="G184" s="60">
        <v>0.9926428947368422</v>
      </c>
      <c r="H184" s="60">
        <v>0.99814700183468319</v>
      </c>
      <c r="I184" s="60">
        <v>0.98275862068965514</v>
      </c>
      <c r="K184" s="64">
        <v>3895.3793103448274</v>
      </c>
      <c r="M184" s="65">
        <v>0.05</v>
      </c>
      <c r="N184" s="63">
        <v>4099</v>
      </c>
    </row>
    <row r="185" spans="1:14" x14ac:dyDescent="0.25">
      <c r="A185" s="55" t="s">
        <v>76</v>
      </c>
      <c r="B185" s="55" t="s">
        <v>176</v>
      </c>
      <c r="C185" s="55" t="s">
        <v>46</v>
      </c>
      <c r="D185" s="60">
        <v>0.82352941176470584</v>
      </c>
      <c r="E185" s="55" t="s">
        <v>31</v>
      </c>
      <c r="F185" s="54" t="s">
        <v>269</v>
      </c>
      <c r="G185" s="60">
        <v>0.73655900000000007</v>
      </c>
      <c r="H185" s="60">
        <v>0.83333333333333337</v>
      </c>
      <c r="I185" s="60">
        <v>0.83333333333333337</v>
      </c>
      <c r="K185" s="64">
        <v>3269</v>
      </c>
      <c r="M185" s="62"/>
      <c r="N185" s="63">
        <v>3269</v>
      </c>
    </row>
    <row r="186" spans="1:14" x14ac:dyDescent="0.25">
      <c r="A186" s="55" t="s">
        <v>76</v>
      </c>
      <c r="B186" s="55" t="s">
        <v>176</v>
      </c>
      <c r="C186" s="55" t="s">
        <v>46</v>
      </c>
      <c r="D186" s="60">
        <v>0.82352941176470584</v>
      </c>
      <c r="E186" s="55" t="s">
        <v>29</v>
      </c>
      <c r="F186" s="54" t="s">
        <v>269</v>
      </c>
      <c r="G186" s="60">
        <v>0.72727272727272729</v>
      </c>
      <c r="H186" s="60">
        <v>0.72727272727272729</v>
      </c>
      <c r="I186" s="60">
        <v>0.79144381818181808</v>
      </c>
      <c r="K186" s="64">
        <v>2899</v>
      </c>
      <c r="M186" s="62"/>
      <c r="N186" s="63">
        <v>2899</v>
      </c>
    </row>
    <row r="187" spans="1:14" x14ac:dyDescent="0.25">
      <c r="A187" s="55" t="s">
        <v>76</v>
      </c>
      <c r="B187" s="55" t="s">
        <v>194</v>
      </c>
      <c r="C187" s="55" t="s">
        <v>10</v>
      </c>
      <c r="D187" s="60">
        <v>0.86885245901639341</v>
      </c>
      <c r="E187" s="55" t="s">
        <v>12</v>
      </c>
      <c r="F187" s="54" t="s">
        <v>264</v>
      </c>
      <c r="G187" s="60">
        <v>0.72011382352941178</v>
      </c>
      <c r="H187" s="60">
        <v>0.79726888235294113</v>
      </c>
      <c r="I187" s="60">
        <v>0.78892732352941175</v>
      </c>
      <c r="K187" s="64">
        <v>349</v>
      </c>
      <c r="M187" s="65"/>
      <c r="N187" s="63">
        <v>349</v>
      </c>
    </row>
    <row r="188" spans="1:14" x14ac:dyDescent="0.25">
      <c r="A188" s="55" t="s">
        <v>76</v>
      </c>
      <c r="B188" s="55" t="s">
        <v>194</v>
      </c>
      <c r="C188" s="55" t="s">
        <v>10</v>
      </c>
      <c r="D188" s="60">
        <v>0.86885245901639341</v>
      </c>
      <c r="E188" s="55" t="s">
        <v>11</v>
      </c>
      <c r="F188" s="54" t="s">
        <v>264</v>
      </c>
      <c r="G188" s="60">
        <v>0.91517322222222219</v>
      </c>
      <c r="H188" s="60">
        <v>0.98677248148148144</v>
      </c>
      <c r="I188" s="60">
        <v>0.96296296296296291</v>
      </c>
      <c r="K188" s="64">
        <v>429</v>
      </c>
      <c r="M188" s="62"/>
      <c r="N188" s="63">
        <v>429</v>
      </c>
    </row>
    <row r="189" spans="1:14" x14ac:dyDescent="0.25">
      <c r="A189" s="55" t="s">
        <v>76</v>
      </c>
      <c r="B189" s="55" t="s">
        <v>194</v>
      </c>
      <c r="C189" s="55" t="s">
        <v>13</v>
      </c>
      <c r="D189" s="60">
        <v>0.93103448275862066</v>
      </c>
      <c r="E189" s="55" t="s">
        <v>14</v>
      </c>
      <c r="F189" s="54" t="s">
        <v>265</v>
      </c>
      <c r="G189" s="60">
        <v>0.89631335714285709</v>
      </c>
      <c r="H189" s="60">
        <v>0.80434779135160639</v>
      </c>
      <c r="I189" s="60">
        <v>0.92307692307692313</v>
      </c>
      <c r="K189" s="64">
        <v>459</v>
      </c>
      <c r="M189" s="65">
        <v>2.5000000000000001E-2</v>
      </c>
      <c r="N189" s="63">
        <v>479</v>
      </c>
    </row>
    <row r="190" spans="1:14" x14ac:dyDescent="0.25">
      <c r="A190" s="55" t="s">
        <v>76</v>
      </c>
      <c r="B190" s="55" t="s">
        <v>194</v>
      </c>
      <c r="C190" s="55" t="s">
        <v>13</v>
      </c>
      <c r="D190" s="60">
        <v>0.93103448275862066</v>
      </c>
      <c r="E190" s="55" t="s">
        <v>15</v>
      </c>
      <c r="F190" s="54" t="s">
        <v>265</v>
      </c>
      <c r="G190" s="60">
        <v>0.98588706250000002</v>
      </c>
      <c r="H190" s="60">
        <v>0.9375</v>
      </c>
      <c r="I190" s="60">
        <v>0.87867643750000002</v>
      </c>
      <c r="K190" s="64">
        <v>419</v>
      </c>
      <c r="M190" s="62"/>
      <c r="N190" s="63">
        <v>419</v>
      </c>
    </row>
    <row r="191" spans="1:14" x14ac:dyDescent="0.25">
      <c r="A191" s="55" t="s">
        <v>76</v>
      </c>
      <c r="B191" s="55" t="s">
        <v>195</v>
      </c>
      <c r="C191" s="55" t="s">
        <v>16</v>
      </c>
      <c r="D191" s="60">
        <v>0.6785714285714286</v>
      </c>
      <c r="E191" s="55" t="s">
        <v>17</v>
      </c>
      <c r="F191" s="54" t="s">
        <v>266</v>
      </c>
      <c r="G191" s="60">
        <v>0.75268814285714292</v>
      </c>
      <c r="H191" s="60">
        <v>0.71938766666666665</v>
      </c>
      <c r="I191" s="60">
        <v>0.77591028571428566</v>
      </c>
      <c r="K191" s="64">
        <v>4947.0952380952385</v>
      </c>
      <c r="M191" s="62"/>
      <c r="N191" s="63">
        <v>4949</v>
      </c>
    </row>
    <row r="192" spans="1:14" x14ac:dyDescent="0.25">
      <c r="A192" s="55" t="s">
        <v>76</v>
      </c>
      <c r="B192" s="55" t="s">
        <v>195</v>
      </c>
      <c r="C192" s="55" t="s">
        <v>16</v>
      </c>
      <c r="D192" s="60">
        <v>0.6785714285714286</v>
      </c>
      <c r="E192" s="55" t="s">
        <v>29</v>
      </c>
      <c r="F192" s="54" t="s">
        <v>266</v>
      </c>
      <c r="G192" s="60">
        <v>0.52534562146148778</v>
      </c>
      <c r="H192" s="60">
        <v>0.61224485714285726</v>
      </c>
      <c r="I192" s="60">
        <v>0.66386552380952379</v>
      </c>
      <c r="K192" s="64">
        <v>6438.0476190476193</v>
      </c>
      <c r="M192" s="62"/>
      <c r="N192" s="63">
        <v>6439</v>
      </c>
    </row>
    <row r="193" spans="1:14" x14ac:dyDescent="0.25">
      <c r="A193" s="55" t="s">
        <v>76</v>
      </c>
      <c r="B193" s="55" t="s">
        <v>195</v>
      </c>
      <c r="C193" s="55" t="s">
        <v>16</v>
      </c>
      <c r="D193" s="60">
        <v>0.6785714285714286</v>
      </c>
      <c r="E193" s="55" t="s">
        <v>30</v>
      </c>
      <c r="F193" s="54" t="s">
        <v>266</v>
      </c>
      <c r="G193" s="60">
        <v>0.52419349999999998</v>
      </c>
      <c r="H193" s="60">
        <v>0.50595233333333334</v>
      </c>
      <c r="I193" s="60">
        <v>0.55882350000000003</v>
      </c>
      <c r="K193" s="64">
        <v>5369</v>
      </c>
      <c r="M193" s="62"/>
      <c r="N193" s="63">
        <v>5369</v>
      </c>
    </row>
    <row r="194" spans="1:14" x14ac:dyDescent="0.25">
      <c r="A194" s="55" t="s">
        <v>76</v>
      </c>
      <c r="B194" s="55" t="s">
        <v>195</v>
      </c>
      <c r="C194" s="55" t="s">
        <v>16</v>
      </c>
      <c r="D194" s="60">
        <v>0.6785714285714286</v>
      </c>
      <c r="E194" s="55" t="s">
        <v>31</v>
      </c>
      <c r="F194" s="54" t="s">
        <v>266</v>
      </c>
      <c r="G194" s="60">
        <v>0.66129000000000004</v>
      </c>
      <c r="H194" s="60">
        <v>0.5</v>
      </c>
      <c r="I194" s="60">
        <v>0.5</v>
      </c>
      <c r="K194" s="64">
        <v>7359</v>
      </c>
      <c r="M194" s="62"/>
      <c r="N194" s="63">
        <v>7359</v>
      </c>
    </row>
    <row r="195" spans="1:14" x14ac:dyDescent="0.25">
      <c r="A195" s="55" t="s">
        <v>76</v>
      </c>
      <c r="B195" s="55" t="s">
        <v>195</v>
      </c>
      <c r="C195" s="55" t="s">
        <v>18</v>
      </c>
      <c r="D195" s="60">
        <v>1</v>
      </c>
      <c r="E195" s="55" t="s">
        <v>32</v>
      </c>
      <c r="F195" s="54" t="s">
        <v>267</v>
      </c>
      <c r="G195" s="60">
        <v>0.96159752380952379</v>
      </c>
      <c r="H195" s="60">
        <v>0.96258500000000002</v>
      </c>
      <c r="I195" s="60">
        <v>0.99719885714285705</v>
      </c>
      <c r="K195" s="64">
        <v>7659</v>
      </c>
      <c r="M195" s="65">
        <v>0.05</v>
      </c>
      <c r="N195" s="63">
        <v>8049</v>
      </c>
    </row>
    <row r="196" spans="1:14" x14ac:dyDescent="0.25">
      <c r="A196" s="55" t="s">
        <v>76</v>
      </c>
      <c r="B196" s="55" t="s">
        <v>195</v>
      </c>
      <c r="C196" s="55" t="s">
        <v>18</v>
      </c>
      <c r="D196" s="60">
        <v>1</v>
      </c>
      <c r="E196" s="55" t="s">
        <v>45</v>
      </c>
      <c r="F196" s="54" t="s">
        <v>267</v>
      </c>
      <c r="G196" s="60">
        <v>0.43548350000000002</v>
      </c>
      <c r="H196" s="60">
        <v>1</v>
      </c>
      <c r="I196" s="60">
        <v>1</v>
      </c>
      <c r="K196" s="64">
        <v>8569</v>
      </c>
      <c r="M196" s="62"/>
      <c r="N196" s="63">
        <v>8569</v>
      </c>
    </row>
    <row r="197" spans="1:14" x14ac:dyDescent="0.25">
      <c r="A197" s="55" t="s">
        <v>76</v>
      </c>
      <c r="B197" s="55" t="s">
        <v>195</v>
      </c>
      <c r="C197" s="55" t="s">
        <v>21</v>
      </c>
      <c r="D197" s="60">
        <v>0.875</v>
      </c>
      <c r="E197" s="55" t="s">
        <v>196</v>
      </c>
      <c r="F197" s="54" t="s">
        <v>268</v>
      </c>
      <c r="G197" s="60">
        <v>0.86693543750000002</v>
      </c>
      <c r="H197" s="60">
        <v>0.86607137499999998</v>
      </c>
      <c r="I197" s="60">
        <v>0.875</v>
      </c>
      <c r="K197" s="64">
        <v>3579</v>
      </c>
      <c r="M197" s="62"/>
      <c r="N197" s="63">
        <v>3579</v>
      </c>
    </row>
    <row r="198" spans="1:14" x14ac:dyDescent="0.25">
      <c r="A198" s="55" t="s">
        <v>76</v>
      </c>
      <c r="B198" s="55" t="s">
        <v>197</v>
      </c>
      <c r="C198" s="55" t="s">
        <v>10</v>
      </c>
      <c r="D198" s="60">
        <v>0.9285714285714286</v>
      </c>
      <c r="E198" s="55" t="s">
        <v>11</v>
      </c>
      <c r="F198" s="54" t="s">
        <v>264</v>
      </c>
      <c r="G198" s="60">
        <v>0.94585249999999998</v>
      </c>
      <c r="H198" s="60">
        <v>0.8928571428571429</v>
      </c>
      <c r="I198" s="60">
        <v>0.9285714285714286</v>
      </c>
      <c r="K198" s="64">
        <v>419</v>
      </c>
      <c r="M198" s="62"/>
      <c r="N198" s="63">
        <v>419</v>
      </c>
    </row>
    <row r="199" spans="1:14" x14ac:dyDescent="0.25">
      <c r="A199" s="55" t="s">
        <v>76</v>
      </c>
      <c r="B199" s="55" t="s">
        <v>197</v>
      </c>
      <c r="C199" s="55" t="s">
        <v>10</v>
      </c>
      <c r="D199" s="60">
        <v>0.9285714285714286</v>
      </c>
      <c r="E199" s="55" t="s">
        <v>74</v>
      </c>
      <c r="F199" s="54" t="s">
        <v>264</v>
      </c>
      <c r="G199" s="60">
        <v>0.91129024999999997</v>
      </c>
      <c r="H199" s="60">
        <v>0.9375</v>
      </c>
      <c r="I199" s="60">
        <v>0.97058800000000001</v>
      </c>
      <c r="K199" s="64">
        <v>499</v>
      </c>
      <c r="M199" s="62"/>
      <c r="N199" s="63">
        <v>499</v>
      </c>
    </row>
    <row r="200" spans="1:14" x14ac:dyDescent="0.25">
      <c r="A200" s="55" t="s">
        <v>76</v>
      </c>
      <c r="B200" s="55" t="s">
        <v>197</v>
      </c>
      <c r="C200" s="55" t="s">
        <v>10</v>
      </c>
      <c r="D200" s="60">
        <v>0.9285714285714286</v>
      </c>
      <c r="E200" s="55" t="s">
        <v>12</v>
      </c>
      <c r="F200" s="54" t="s">
        <v>264</v>
      </c>
      <c r="G200" s="60">
        <v>0.787634375</v>
      </c>
      <c r="H200" s="60">
        <v>0.81845237500000001</v>
      </c>
      <c r="I200" s="60">
        <v>0.82352937500000001</v>
      </c>
      <c r="K200" s="64">
        <v>339</v>
      </c>
      <c r="M200" s="62"/>
      <c r="N200" s="63">
        <v>339</v>
      </c>
    </row>
    <row r="201" spans="1:14" x14ac:dyDescent="0.25">
      <c r="A201" s="55" t="s">
        <v>76</v>
      </c>
      <c r="B201" s="55" t="s">
        <v>197</v>
      </c>
      <c r="C201" s="55" t="s">
        <v>16</v>
      </c>
      <c r="D201" s="60">
        <v>0.76923076923076927</v>
      </c>
      <c r="E201" s="55" t="s">
        <v>17</v>
      </c>
      <c r="F201" s="54" t="s">
        <v>266</v>
      </c>
      <c r="G201" s="60">
        <v>0.87634400000000001</v>
      </c>
      <c r="H201" s="60">
        <v>0.83333333333333337</v>
      </c>
      <c r="I201" s="60">
        <v>0.83333333333333337</v>
      </c>
      <c r="K201" s="64">
        <v>5309</v>
      </c>
      <c r="M201" s="62"/>
      <c r="N201" s="63">
        <v>5309</v>
      </c>
    </row>
    <row r="202" spans="1:14" x14ac:dyDescent="0.25">
      <c r="A202" s="55" t="s">
        <v>76</v>
      </c>
      <c r="B202" s="55" t="s">
        <v>197</v>
      </c>
      <c r="C202" s="55" t="s">
        <v>16</v>
      </c>
      <c r="D202" s="60">
        <v>0.76923076923076927</v>
      </c>
      <c r="E202" s="55" t="s">
        <v>29</v>
      </c>
      <c r="F202" s="54" t="s">
        <v>266</v>
      </c>
      <c r="G202" s="60">
        <v>0.88709666666666676</v>
      </c>
      <c r="H202" s="60">
        <v>0.81845233333333345</v>
      </c>
      <c r="I202" s="60">
        <v>0.75</v>
      </c>
      <c r="K202" s="64">
        <v>5907.333333333333</v>
      </c>
      <c r="M202" s="62"/>
      <c r="N202" s="63">
        <v>5909</v>
      </c>
    </row>
    <row r="203" spans="1:14" x14ac:dyDescent="0.25">
      <c r="A203" s="55" t="s">
        <v>76</v>
      </c>
      <c r="B203" s="55" t="s">
        <v>197</v>
      </c>
      <c r="C203" s="55" t="s">
        <v>16</v>
      </c>
      <c r="D203" s="60">
        <v>0.76923076923076927</v>
      </c>
      <c r="E203" s="55" t="s">
        <v>179</v>
      </c>
      <c r="F203" s="54" t="s">
        <v>266</v>
      </c>
      <c r="G203" s="60">
        <v>0.83655906666666668</v>
      </c>
      <c r="H203" s="60">
        <v>0.9071427333333334</v>
      </c>
      <c r="I203" s="60">
        <v>0.75294113333333335</v>
      </c>
      <c r="K203" s="64">
        <v>5897</v>
      </c>
      <c r="M203" s="62"/>
      <c r="N203" s="63">
        <v>5899</v>
      </c>
    </row>
    <row r="204" spans="1:14" x14ac:dyDescent="0.25">
      <c r="A204" s="55" t="s">
        <v>76</v>
      </c>
      <c r="B204" s="55" t="s">
        <v>197</v>
      </c>
      <c r="C204" s="55" t="s">
        <v>16</v>
      </c>
      <c r="D204" s="60">
        <v>0.76923076923076927</v>
      </c>
      <c r="E204" s="55" t="s">
        <v>26</v>
      </c>
      <c r="F204" s="54" t="s">
        <v>266</v>
      </c>
      <c r="G204" s="60">
        <v>0.56451600000000002</v>
      </c>
      <c r="H204" s="60">
        <v>0.5</v>
      </c>
      <c r="I204" s="60">
        <v>0.94117600000000001</v>
      </c>
      <c r="K204" s="64">
        <v>5499</v>
      </c>
      <c r="M204" s="62"/>
      <c r="N204" s="63">
        <v>5499</v>
      </c>
    </row>
    <row r="205" spans="1:14" x14ac:dyDescent="0.25">
      <c r="A205" s="55" t="s">
        <v>76</v>
      </c>
      <c r="B205" s="55" t="s">
        <v>197</v>
      </c>
      <c r="C205" s="55" t="s">
        <v>16</v>
      </c>
      <c r="D205" s="60">
        <v>0.76923076923076927</v>
      </c>
      <c r="E205" s="55" t="s">
        <v>106</v>
      </c>
      <c r="F205" s="54" t="s">
        <v>266</v>
      </c>
      <c r="G205" s="60">
        <v>0.75</v>
      </c>
      <c r="H205" s="60">
        <v>0.51785700000000001</v>
      </c>
      <c r="I205" s="60">
        <v>0.75</v>
      </c>
      <c r="K205" s="64">
        <v>6999</v>
      </c>
      <c r="M205" s="62"/>
      <c r="N205" s="63">
        <v>6999</v>
      </c>
    </row>
    <row r="206" spans="1:14" x14ac:dyDescent="0.25">
      <c r="A206" s="55" t="s">
        <v>76</v>
      </c>
      <c r="B206" s="55" t="s">
        <v>197</v>
      </c>
      <c r="C206" s="55" t="s">
        <v>21</v>
      </c>
      <c r="D206" s="60">
        <v>0.85</v>
      </c>
      <c r="E206" s="55" t="s">
        <v>25</v>
      </c>
      <c r="F206" s="54" t="s">
        <v>268</v>
      </c>
      <c r="G206" s="60">
        <v>1</v>
      </c>
      <c r="H206" s="60">
        <v>1</v>
      </c>
      <c r="I206" s="60">
        <v>1</v>
      </c>
      <c r="K206" s="64">
        <v>2369</v>
      </c>
      <c r="M206" s="62"/>
      <c r="N206" s="63">
        <v>2369</v>
      </c>
    </row>
    <row r="207" spans="1:14" x14ac:dyDescent="0.25">
      <c r="A207" s="55" t="s">
        <v>76</v>
      </c>
      <c r="B207" s="55" t="s">
        <v>197</v>
      </c>
      <c r="C207" s="55" t="s">
        <v>21</v>
      </c>
      <c r="D207" s="60">
        <v>0.85</v>
      </c>
      <c r="E207" s="55" t="s">
        <v>118</v>
      </c>
      <c r="F207" s="54" t="s">
        <v>268</v>
      </c>
      <c r="G207" s="60">
        <v>0.66666666666666663</v>
      </c>
      <c r="H207" s="60">
        <v>0.66666666666666663</v>
      </c>
      <c r="I207" s="60">
        <v>0.66666666666666663</v>
      </c>
      <c r="K207" s="64">
        <v>2855.6666666666665</v>
      </c>
      <c r="M207" s="62"/>
      <c r="N207" s="63">
        <v>2859</v>
      </c>
    </row>
    <row r="208" spans="1:14" x14ac:dyDescent="0.25">
      <c r="A208" s="55" t="s">
        <v>76</v>
      </c>
      <c r="B208" s="55" t="s">
        <v>197</v>
      </c>
      <c r="C208" s="55" t="s">
        <v>21</v>
      </c>
      <c r="D208" s="60">
        <v>0.85</v>
      </c>
      <c r="E208" s="55" t="s">
        <v>22</v>
      </c>
      <c r="F208" s="54" t="s">
        <v>268</v>
      </c>
      <c r="G208" s="60">
        <v>0.87007166666666658</v>
      </c>
      <c r="H208" s="60">
        <v>0.86111111111111116</v>
      </c>
      <c r="I208" s="60">
        <v>0.86111111111111116</v>
      </c>
      <c r="K208" s="64">
        <v>3389</v>
      </c>
      <c r="M208" s="62"/>
      <c r="N208" s="63">
        <v>3389</v>
      </c>
    </row>
    <row r="209" spans="1:14" x14ac:dyDescent="0.25">
      <c r="A209" s="55" t="s">
        <v>72</v>
      </c>
      <c r="B209" s="55" t="s">
        <v>73</v>
      </c>
      <c r="C209" s="55" t="s">
        <v>10</v>
      </c>
      <c r="D209" s="60">
        <v>0.96721311475409832</v>
      </c>
      <c r="E209" s="55" t="s">
        <v>11</v>
      </c>
      <c r="F209" s="54" t="s">
        <v>264</v>
      </c>
      <c r="G209" s="60">
        <v>0.96064516</v>
      </c>
      <c r="H209" s="60">
        <v>0.9492856999999999</v>
      </c>
      <c r="I209" s="60">
        <v>0.97176469999999993</v>
      </c>
      <c r="K209" s="64">
        <v>479</v>
      </c>
      <c r="M209" s="65">
        <v>2.5000000000000001E-2</v>
      </c>
      <c r="N209" s="63">
        <v>499</v>
      </c>
    </row>
    <row r="210" spans="1:14" x14ac:dyDescent="0.25">
      <c r="A210" s="55" t="s">
        <v>72</v>
      </c>
      <c r="B210" s="55" t="s">
        <v>73</v>
      </c>
      <c r="C210" s="55" t="s">
        <v>10</v>
      </c>
      <c r="D210" s="60">
        <v>0.96721311475409832</v>
      </c>
      <c r="E210" s="55" t="s">
        <v>12</v>
      </c>
      <c r="F210" s="54" t="s">
        <v>264</v>
      </c>
      <c r="G210" s="60">
        <v>0.86559133333333327</v>
      </c>
      <c r="H210" s="60">
        <v>0.86309516666666664</v>
      </c>
      <c r="I210" s="60">
        <v>0.90196066666666663</v>
      </c>
      <c r="K210" s="64">
        <v>439</v>
      </c>
      <c r="M210" s="65">
        <v>2.5000000000000001E-2</v>
      </c>
      <c r="N210" s="63">
        <v>449</v>
      </c>
    </row>
    <row r="211" spans="1:14" x14ac:dyDescent="0.25">
      <c r="A211" s="55" t="s">
        <v>72</v>
      </c>
      <c r="B211" s="55" t="s">
        <v>73</v>
      </c>
      <c r="C211" s="55" t="s">
        <v>10</v>
      </c>
      <c r="D211" s="60">
        <v>0.96721311475409832</v>
      </c>
      <c r="E211" s="55" t="s">
        <v>74</v>
      </c>
      <c r="F211" s="54" t="s">
        <v>264</v>
      </c>
      <c r="G211" s="60">
        <v>0.98064499999999999</v>
      </c>
      <c r="H211" s="60">
        <v>0.92142839999999993</v>
      </c>
      <c r="I211" s="60">
        <v>0.95294100000000004</v>
      </c>
      <c r="K211" s="64">
        <v>489</v>
      </c>
      <c r="M211" s="65">
        <v>2.5000000000000001E-2</v>
      </c>
      <c r="N211" s="63">
        <v>509</v>
      </c>
    </row>
    <row r="212" spans="1:14" x14ac:dyDescent="0.25">
      <c r="A212" s="55" t="s">
        <v>72</v>
      </c>
      <c r="B212" s="55" t="s">
        <v>73</v>
      </c>
      <c r="C212" s="55" t="s">
        <v>16</v>
      </c>
      <c r="D212" s="60">
        <v>0.95454545454545459</v>
      </c>
      <c r="E212" s="55" t="s">
        <v>17</v>
      </c>
      <c r="F212" s="54" t="s">
        <v>266</v>
      </c>
      <c r="G212" s="60">
        <v>0.93727594444444451</v>
      </c>
      <c r="H212" s="60">
        <v>0.88293650000000001</v>
      </c>
      <c r="I212" s="60">
        <v>0.9640522777777778</v>
      </c>
      <c r="K212" s="64">
        <v>7779</v>
      </c>
      <c r="M212" s="62"/>
      <c r="N212" s="63">
        <v>7779</v>
      </c>
    </row>
    <row r="213" spans="1:14" x14ac:dyDescent="0.25">
      <c r="A213" s="55" t="s">
        <v>72</v>
      </c>
      <c r="B213" s="55" t="s">
        <v>73</v>
      </c>
      <c r="C213" s="55" t="s">
        <v>16</v>
      </c>
      <c r="D213" s="60">
        <v>0.95454545454545459</v>
      </c>
      <c r="E213" s="55" t="s">
        <v>12</v>
      </c>
      <c r="F213" s="54" t="s">
        <v>266</v>
      </c>
      <c r="G213" s="60">
        <v>1</v>
      </c>
      <c r="H213" s="60">
        <v>1</v>
      </c>
      <c r="I213" s="60">
        <v>1</v>
      </c>
      <c r="K213" s="64">
        <v>9149</v>
      </c>
      <c r="M213" s="62"/>
      <c r="N213" s="63">
        <v>9149</v>
      </c>
    </row>
    <row r="214" spans="1:14" x14ac:dyDescent="0.25">
      <c r="A214" s="55" t="s">
        <v>72</v>
      </c>
      <c r="B214" s="55" t="s">
        <v>73</v>
      </c>
      <c r="C214" s="55" t="s">
        <v>18</v>
      </c>
      <c r="D214" s="60">
        <v>0.72413793103448276</v>
      </c>
      <c r="E214" s="55" t="s">
        <v>19</v>
      </c>
      <c r="F214" s="54" t="s">
        <v>267</v>
      </c>
      <c r="G214" s="60">
        <v>0.79652603846153847</v>
      </c>
      <c r="H214" s="60">
        <v>0.82967030769230776</v>
      </c>
      <c r="I214" s="60">
        <v>0.76018096153846149</v>
      </c>
      <c r="K214" s="64">
        <v>7499</v>
      </c>
      <c r="M214" s="62"/>
      <c r="N214" s="63">
        <v>7499</v>
      </c>
    </row>
    <row r="215" spans="1:14" x14ac:dyDescent="0.25">
      <c r="A215" s="55" t="s">
        <v>72</v>
      </c>
      <c r="B215" s="55" t="s">
        <v>73</v>
      </c>
      <c r="C215" s="55" t="s">
        <v>18</v>
      </c>
      <c r="D215" s="60">
        <v>0.72413793103448276</v>
      </c>
      <c r="E215" s="55" t="s">
        <v>20</v>
      </c>
      <c r="F215" s="54" t="s">
        <v>267</v>
      </c>
      <c r="G215" s="60">
        <v>0.83870966666666658</v>
      </c>
      <c r="H215" s="60">
        <v>1</v>
      </c>
      <c r="I215" s="60">
        <v>0.84313700000000003</v>
      </c>
      <c r="K215" s="64">
        <v>7999</v>
      </c>
      <c r="M215" s="62"/>
      <c r="N215" s="63">
        <v>7999</v>
      </c>
    </row>
    <row r="216" spans="1:14" x14ac:dyDescent="0.25">
      <c r="A216" s="55" t="s">
        <v>72</v>
      </c>
      <c r="B216" s="55" t="s">
        <v>73</v>
      </c>
      <c r="C216" s="55" t="s">
        <v>21</v>
      </c>
      <c r="D216" s="60">
        <v>0.82352941176470584</v>
      </c>
      <c r="E216" s="55" t="s">
        <v>75</v>
      </c>
      <c r="F216" s="54" t="s">
        <v>268</v>
      </c>
      <c r="G216" s="60">
        <v>0.85768500000000003</v>
      </c>
      <c r="H216" s="60">
        <v>0.86239494117647064</v>
      </c>
      <c r="I216" s="60">
        <v>0.83910032352941177</v>
      </c>
      <c r="K216" s="64">
        <v>4479</v>
      </c>
      <c r="M216" s="62"/>
      <c r="N216" s="63">
        <v>4479</v>
      </c>
    </row>
    <row r="217" spans="1:14" x14ac:dyDescent="0.25">
      <c r="A217" s="55" t="s">
        <v>72</v>
      </c>
      <c r="B217" s="55" t="s">
        <v>91</v>
      </c>
      <c r="C217" s="55" t="s">
        <v>10</v>
      </c>
      <c r="D217" s="60">
        <v>0.90769230769230769</v>
      </c>
      <c r="E217" s="55" t="s">
        <v>11</v>
      </c>
      <c r="F217" s="54" t="s">
        <v>264</v>
      </c>
      <c r="G217" s="60">
        <v>0.95573893023255818</v>
      </c>
      <c r="H217" s="60">
        <v>0.9318936744186046</v>
      </c>
      <c r="I217" s="60">
        <v>0.88508890697674414</v>
      </c>
      <c r="K217" s="64">
        <v>479</v>
      </c>
      <c r="M217" s="62"/>
      <c r="N217" s="63">
        <v>479</v>
      </c>
    </row>
    <row r="218" spans="1:14" x14ac:dyDescent="0.25">
      <c r="A218" s="55" t="s">
        <v>72</v>
      </c>
      <c r="B218" s="55" t="s">
        <v>91</v>
      </c>
      <c r="C218" s="55" t="s">
        <v>10</v>
      </c>
      <c r="D218" s="60">
        <v>0.90769230769230769</v>
      </c>
      <c r="E218" s="55" t="s">
        <v>12</v>
      </c>
      <c r="F218" s="54" t="s">
        <v>264</v>
      </c>
      <c r="G218" s="60">
        <v>0.99266859090909099</v>
      </c>
      <c r="H218" s="60">
        <v>0.99512986363636358</v>
      </c>
      <c r="I218" s="60">
        <v>0.99732618181818178</v>
      </c>
      <c r="K218" s="64">
        <v>419</v>
      </c>
      <c r="M218" s="62"/>
      <c r="N218" s="63">
        <v>419</v>
      </c>
    </row>
    <row r="219" spans="1:14" x14ac:dyDescent="0.25">
      <c r="A219" s="55" t="s">
        <v>72</v>
      </c>
      <c r="B219" s="55" t="s">
        <v>91</v>
      </c>
      <c r="C219" s="55" t="s">
        <v>16</v>
      </c>
      <c r="D219" s="60">
        <v>0.82758620689655171</v>
      </c>
      <c r="E219" s="55" t="s">
        <v>17</v>
      </c>
      <c r="F219" s="54" t="s">
        <v>266</v>
      </c>
      <c r="G219" s="60">
        <v>0.97507327272727273</v>
      </c>
      <c r="H219" s="60">
        <v>0.88149349999999993</v>
      </c>
      <c r="I219" s="60">
        <v>0.77540104545454547</v>
      </c>
      <c r="K219" s="64">
        <v>6499</v>
      </c>
      <c r="M219" s="62"/>
      <c r="N219" s="63">
        <v>6499</v>
      </c>
    </row>
    <row r="220" spans="1:14" x14ac:dyDescent="0.25">
      <c r="A220" s="55" t="s">
        <v>72</v>
      </c>
      <c r="B220" s="55" t="s">
        <v>91</v>
      </c>
      <c r="C220" s="55" t="s">
        <v>16</v>
      </c>
      <c r="D220" s="60">
        <v>0.82758620689655171</v>
      </c>
      <c r="E220" s="55" t="s">
        <v>12</v>
      </c>
      <c r="F220" s="54" t="s">
        <v>266</v>
      </c>
      <c r="G220" s="60">
        <v>1</v>
      </c>
      <c r="H220" s="60">
        <v>0.8928571428571429</v>
      </c>
      <c r="I220" s="60">
        <v>0.8571428571428571</v>
      </c>
      <c r="K220" s="64">
        <v>7679</v>
      </c>
      <c r="M220" s="62"/>
      <c r="N220" s="63">
        <v>7679</v>
      </c>
    </row>
    <row r="221" spans="1:14" x14ac:dyDescent="0.25">
      <c r="A221" s="55" t="s">
        <v>72</v>
      </c>
      <c r="B221" s="55" t="s">
        <v>91</v>
      </c>
      <c r="C221" s="55" t="s">
        <v>18</v>
      </c>
      <c r="D221" s="60">
        <v>0.68965517241379315</v>
      </c>
      <c r="E221" s="55" t="s">
        <v>19</v>
      </c>
      <c r="F221" s="54" t="s">
        <v>267</v>
      </c>
      <c r="G221" s="60">
        <v>0.78962130434782618</v>
      </c>
      <c r="H221" s="60">
        <v>0.77484469565217395</v>
      </c>
      <c r="I221" s="60">
        <v>0.77493604347826095</v>
      </c>
      <c r="K221" s="64">
        <v>7399</v>
      </c>
      <c r="M221" s="62"/>
      <c r="N221" s="63">
        <v>7399</v>
      </c>
    </row>
    <row r="222" spans="1:14" x14ac:dyDescent="0.25">
      <c r="A222" s="55" t="s">
        <v>72</v>
      </c>
      <c r="B222" s="55" t="s">
        <v>91</v>
      </c>
      <c r="C222" s="55" t="s">
        <v>18</v>
      </c>
      <c r="D222" s="60">
        <v>0.68965517241379315</v>
      </c>
      <c r="E222" s="55" t="s">
        <v>20</v>
      </c>
      <c r="F222" s="54" t="s">
        <v>267</v>
      </c>
      <c r="G222" s="60">
        <v>0.83870966666666658</v>
      </c>
      <c r="H222" s="60">
        <v>0.8035713333333333</v>
      </c>
      <c r="I222" s="60">
        <v>0.5</v>
      </c>
      <c r="K222" s="64">
        <v>7599</v>
      </c>
      <c r="M222" s="62"/>
      <c r="N222" s="63">
        <v>7599</v>
      </c>
    </row>
    <row r="223" spans="1:14" x14ac:dyDescent="0.25">
      <c r="A223" s="55" t="s">
        <v>72</v>
      </c>
      <c r="B223" s="55" t="s">
        <v>120</v>
      </c>
      <c r="C223" s="55" t="s">
        <v>10</v>
      </c>
      <c r="D223" s="60">
        <v>0.96875</v>
      </c>
      <c r="E223" s="55" t="s">
        <v>11</v>
      </c>
      <c r="F223" s="54" t="s">
        <v>264</v>
      </c>
      <c r="G223" s="60">
        <v>0.95276496428571433</v>
      </c>
      <c r="H223" s="60">
        <v>0.9375</v>
      </c>
      <c r="I223" s="60">
        <v>0.97268907142857142</v>
      </c>
      <c r="K223" s="64">
        <v>489</v>
      </c>
      <c r="M223" s="65">
        <v>2.5000000000000001E-2</v>
      </c>
      <c r="N223" s="63">
        <v>509</v>
      </c>
    </row>
    <row r="224" spans="1:14" x14ac:dyDescent="0.25">
      <c r="A224" s="55" t="s">
        <v>72</v>
      </c>
      <c r="B224" s="55" t="s">
        <v>120</v>
      </c>
      <c r="C224" s="55" t="s">
        <v>10</v>
      </c>
      <c r="D224" s="60">
        <v>0.96875</v>
      </c>
      <c r="E224" s="55" t="s">
        <v>12</v>
      </c>
      <c r="F224" s="54" t="s">
        <v>264</v>
      </c>
      <c r="G224" s="60">
        <v>0.89336916666666666</v>
      </c>
      <c r="H224" s="60">
        <v>0.86805555555555558</v>
      </c>
      <c r="I224" s="60">
        <v>0.97222222222222221</v>
      </c>
      <c r="K224" s="64">
        <v>449</v>
      </c>
      <c r="M224" s="65">
        <v>2.5000000000000001E-2</v>
      </c>
      <c r="N224" s="63">
        <v>469</v>
      </c>
    </row>
    <row r="225" spans="1:14" x14ac:dyDescent="0.25">
      <c r="A225" s="55" t="s">
        <v>72</v>
      </c>
      <c r="B225" s="55" t="s">
        <v>120</v>
      </c>
      <c r="C225" s="55" t="s">
        <v>18</v>
      </c>
      <c r="D225" s="60">
        <v>0.72727272727272729</v>
      </c>
      <c r="E225" s="55" t="s">
        <v>14</v>
      </c>
      <c r="F225" s="54" t="s">
        <v>267</v>
      </c>
      <c r="G225" s="60">
        <v>0.88888888888888884</v>
      </c>
      <c r="H225" s="60">
        <v>0.76190466666666667</v>
      </c>
      <c r="I225" s="60">
        <v>0.66666666666666663</v>
      </c>
      <c r="K225" s="64">
        <v>7999</v>
      </c>
      <c r="M225" s="62"/>
      <c r="N225" s="63">
        <v>7999</v>
      </c>
    </row>
    <row r="226" spans="1:14" x14ac:dyDescent="0.25">
      <c r="A226" s="55" t="s">
        <v>72</v>
      </c>
      <c r="B226" s="55" t="s">
        <v>120</v>
      </c>
      <c r="C226" s="55" t="s">
        <v>18</v>
      </c>
      <c r="D226" s="60">
        <v>0.72727272727272729</v>
      </c>
      <c r="E226" s="55" t="s">
        <v>15</v>
      </c>
      <c r="F226" s="54" t="s">
        <v>267</v>
      </c>
      <c r="G226" s="60">
        <v>1</v>
      </c>
      <c r="H226" s="60">
        <v>1</v>
      </c>
      <c r="I226" s="60">
        <v>1</v>
      </c>
      <c r="K226" s="64">
        <v>8199</v>
      </c>
      <c r="M226" s="65"/>
      <c r="N226" s="63">
        <v>8199</v>
      </c>
    </row>
    <row r="227" spans="1:14" x14ac:dyDescent="0.25">
      <c r="A227" s="55" t="s">
        <v>72</v>
      </c>
      <c r="B227" s="55" t="s">
        <v>120</v>
      </c>
      <c r="C227" s="55" t="s">
        <v>16</v>
      </c>
      <c r="D227" s="60">
        <v>0.90909090909090906</v>
      </c>
      <c r="E227" s="55" t="s">
        <v>17</v>
      </c>
      <c r="F227" s="54" t="s">
        <v>266</v>
      </c>
      <c r="G227" s="60">
        <v>0.72580644444444442</v>
      </c>
      <c r="H227" s="60">
        <v>0.8392856666666666</v>
      </c>
      <c r="I227" s="60">
        <v>0.91176466666666678</v>
      </c>
      <c r="K227" s="64">
        <v>5999</v>
      </c>
      <c r="M227" s="62"/>
      <c r="N227" s="63">
        <v>5999</v>
      </c>
    </row>
    <row r="228" spans="1:14" x14ac:dyDescent="0.25">
      <c r="A228" s="55" t="s">
        <v>72</v>
      </c>
      <c r="B228" s="55" t="s">
        <v>120</v>
      </c>
      <c r="C228" s="55" t="s">
        <v>16</v>
      </c>
      <c r="D228" s="60">
        <v>0.90909090909090906</v>
      </c>
      <c r="E228" s="55" t="s">
        <v>12</v>
      </c>
      <c r="F228" s="54" t="s">
        <v>266</v>
      </c>
      <c r="G228" s="60">
        <v>0.5</v>
      </c>
      <c r="H228" s="60">
        <v>0.65178550000000002</v>
      </c>
      <c r="I228" s="60">
        <v>0.75</v>
      </c>
      <c r="K228" s="64">
        <v>6999</v>
      </c>
      <c r="M228" s="62"/>
      <c r="N228" s="63">
        <v>6999</v>
      </c>
    </row>
    <row r="229" spans="1:14" x14ac:dyDescent="0.25">
      <c r="A229" s="55" t="s">
        <v>72</v>
      </c>
      <c r="B229" s="55" t="s">
        <v>131</v>
      </c>
      <c r="C229" s="55" t="s">
        <v>10</v>
      </c>
      <c r="D229" s="60">
        <v>1</v>
      </c>
      <c r="E229" s="55" t="s">
        <v>11</v>
      </c>
      <c r="F229" s="54" t="s">
        <v>264</v>
      </c>
      <c r="G229" s="60">
        <v>0.96854837499999991</v>
      </c>
      <c r="H229" s="60">
        <v>0.97232142499999996</v>
      </c>
      <c r="I229" s="60">
        <v>0.977941175</v>
      </c>
      <c r="K229" s="64">
        <v>519</v>
      </c>
      <c r="M229" s="65">
        <v>2.5000000000000001E-2</v>
      </c>
      <c r="N229" s="63">
        <v>539</v>
      </c>
    </row>
    <row r="230" spans="1:14" x14ac:dyDescent="0.25">
      <c r="A230" s="55" t="s">
        <v>72</v>
      </c>
      <c r="B230" s="55" t="s">
        <v>131</v>
      </c>
      <c r="C230" s="55" t="s">
        <v>10</v>
      </c>
      <c r="D230" s="60">
        <v>1</v>
      </c>
      <c r="E230" s="55" t="s">
        <v>12</v>
      </c>
      <c r="F230" s="54" t="s">
        <v>264</v>
      </c>
      <c r="G230" s="60">
        <v>0.99596768749999998</v>
      </c>
      <c r="H230" s="60">
        <v>0.99107137499999998</v>
      </c>
      <c r="I230" s="60">
        <v>0.96323524999999999</v>
      </c>
      <c r="K230" s="64">
        <v>419</v>
      </c>
      <c r="M230" s="65">
        <v>2.5000000000000001E-2</v>
      </c>
      <c r="N230" s="63">
        <v>429</v>
      </c>
    </row>
    <row r="231" spans="1:14" x14ac:dyDescent="0.25">
      <c r="A231" s="55" t="s">
        <v>72</v>
      </c>
      <c r="B231" s="55" t="s">
        <v>131</v>
      </c>
      <c r="C231" s="55" t="s">
        <v>16</v>
      </c>
      <c r="D231" s="60">
        <v>1</v>
      </c>
      <c r="E231" s="55" t="s">
        <v>17</v>
      </c>
      <c r="F231" s="54" t="s">
        <v>266</v>
      </c>
      <c r="G231" s="60">
        <v>1</v>
      </c>
      <c r="H231" s="60">
        <v>0.99338622222222228</v>
      </c>
      <c r="I231" s="60">
        <v>1</v>
      </c>
      <c r="K231" s="64">
        <v>6279</v>
      </c>
      <c r="M231" s="65">
        <v>2.5000000000000001E-2</v>
      </c>
      <c r="N231" s="63">
        <v>6439</v>
      </c>
    </row>
    <row r="232" spans="1:14" x14ac:dyDescent="0.25">
      <c r="A232" s="55" t="s">
        <v>72</v>
      </c>
      <c r="B232" s="55" t="s">
        <v>131</v>
      </c>
      <c r="C232" s="55" t="s">
        <v>16</v>
      </c>
      <c r="D232" s="60">
        <v>1</v>
      </c>
      <c r="E232" s="55" t="s">
        <v>12</v>
      </c>
      <c r="F232" s="54" t="s">
        <v>266</v>
      </c>
      <c r="G232" s="60">
        <v>1</v>
      </c>
      <c r="H232" s="60">
        <v>0.92857140000000005</v>
      </c>
      <c r="I232" s="60">
        <v>1</v>
      </c>
      <c r="K232" s="64">
        <v>7319</v>
      </c>
      <c r="M232" s="62"/>
      <c r="N232" s="63">
        <v>7319</v>
      </c>
    </row>
    <row r="233" spans="1:14" s="66" customFormat="1" x14ac:dyDescent="0.25">
      <c r="A233" s="55" t="s">
        <v>72</v>
      </c>
      <c r="B233" s="55" t="s">
        <v>131</v>
      </c>
      <c r="C233" s="55" t="s">
        <v>16</v>
      </c>
      <c r="D233" s="60">
        <v>1</v>
      </c>
      <c r="E233" s="55" t="s">
        <v>26</v>
      </c>
      <c r="F233" s="54" t="s">
        <v>266</v>
      </c>
      <c r="G233" s="60">
        <v>1</v>
      </c>
      <c r="H233" s="60">
        <v>1</v>
      </c>
      <c r="I233" s="60">
        <v>1</v>
      </c>
      <c r="J233" s="55"/>
      <c r="K233" s="64">
        <v>7349</v>
      </c>
      <c r="L233" s="55"/>
      <c r="M233" s="62"/>
      <c r="N233" s="63">
        <v>7349</v>
      </c>
    </row>
    <row r="234" spans="1:14" x14ac:dyDescent="0.25">
      <c r="A234" s="55" t="s">
        <v>72</v>
      </c>
      <c r="B234" s="55" t="s">
        <v>131</v>
      </c>
      <c r="C234" s="55" t="s">
        <v>18</v>
      </c>
      <c r="D234" s="60">
        <v>0.96551724137931039</v>
      </c>
      <c r="E234" s="55" t="s">
        <v>32</v>
      </c>
      <c r="F234" s="54" t="s">
        <v>267</v>
      </c>
      <c r="G234" s="60">
        <v>0.97800581818181831</v>
      </c>
      <c r="H234" s="60">
        <v>0.96400624010031266</v>
      </c>
      <c r="I234" s="60">
        <v>0.98209717391304352</v>
      </c>
      <c r="K234" s="64">
        <v>7684.217391304348</v>
      </c>
      <c r="M234" s="62"/>
      <c r="N234" s="63">
        <v>7689</v>
      </c>
    </row>
    <row r="235" spans="1:14" x14ac:dyDescent="0.25">
      <c r="A235" s="55" t="s">
        <v>72</v>
      </c>
      <c r="B235" s="55" t="s">
        <v>131</v>
      </c>
      <c r="C235" s="55" t="s">
        <v>18</v>
      </c>
      <c r="D235" s="60">
        <v>0.96551724137931039</v>
      </c>
      <c r="E235" s="55" t="s">
        <v>45</v>
      </c>
      <c r="F235" s="54" t="s">
        <v>267</v>
      </c>
      <c r="G235" s="60">
        <v>1</v>
      </c>
      <c r="H235" s="60">
        <v>0.86309516666666664</v>
      </c>
      <c r="I235" s="60">
        <v>0.94117633333333328</v>
      </c>
      <c r="K235" s="64">
        <v>8014</v>
      </c>
      <c r="M235" s="62"/>
      <c r="N235" s="63">
        <v>8019</v>
      </c>
    </row>
    <row r="236" spans="1:14" x14ac:dyDescent="0.25">
      <c r="A236" s="55" t="s">
        <v>72</v>
      </c>
      <c r="B236" s="55" t="s">
        <v>149</v>
      </c>
      <c r="C236" s="55" t="s">
        <v>10</v>
      </c>
      <c r="D236" s="60">
        <v>0.86250000000000004</v>
      </c>
      <c r="E236" s="55" t="s">
        <v>11</v>
      </c>
      <c r="F236" s="54" t="s">
        <v>264</v>
      </c>
      <c r="G236" s="60">
        <v>0.96774193478260873</v>
      </c>
      <c r="H236" s="60">
        <v>0.94565217391304346</v>
      </c>
      <c r="I236" s="60">
        <v>0.8976981956521739</v>
      </c>
      <c r="K236" s="64">
        <v>389</v>
      </c>
      <c r="M236" s="62"/>
      <c r="N236" s="63">
        <v>389</v>
      </c>
    </row>
    <row r="237" spans="1:14" x14ac:dyDescent="0.25">
      <c r="A237" s="55" t="s">
        <v>72</v>
      </c>
      <c r="B237" s="55" t="s">
        <v>149</v>
      </c>
      <c r="C237" s="55" t="s">
        <v>10</v>
      </c>
      <c r="D237" s="60">
        <v>0.86250000000000004</v>
      </c>
      <c r="E237" s="55" t="s">
        <v>12</v>
      </c>
      <c r="F237" s="54" t="s">
        <v>264</v>
      </c>
      <c r="G237" s="60">
        <v>0.91745729411764709</v>
      </c>
      <c r="H237" s="60">
        <v>0.98109241176470596</v>
      </c>
      <c r="I237" s="60">
        <v>0.96193770588235306</v>
      </c>
      <c r="K237" s="64">
        <v>359</v>
      </c>
      <c r="M237" s="62"/>
      <c r="N237" s="63">
        <v>359</v>
      </c>
    </row>
    <row r="238" spans="1:14" x14ac:dyDescent="0.25">
      <c r="A238" s="55" t="s">
        <v>72</v>
      </c>
      <c r="B238" s="55" t="s">
        <v>149</v>
      </c>
      <c r="C238" s="55" t="s">
        <v>18</v>
      </c>
      <c r="D238" s="60">
        <v>0.63636363636363635</v>
      </c>
      <c r="E238" s="55" t="s">
        <v>14</v>
      </c>
      <c r="F238" s="54" t="s">
        <v>267</v>
      </c>
      <c r="G238" s="60">
        <v>0.59856622222222222</v>
      </c>
      <c r="H238" s="60">
        <v>0.55555555555555558</v>
      </c>
      <c r="I238" s="60">
        <v>0.55555555555555558</v>
      </c>
      <c r="K238" s="64">
        <v>6799</v>
      </c>
      <c r="M238" s="62"/>
      <c r="N238" s="63">
        <v>6799</v>
      </c>
    </row>
    <row r="239" spans="1:14" x14ac:dyDescent="0.25">
      <c r="A239" s="55" t="s">
        <v>72</v>
      </c>
      <c r="B239" s="55" t="s">
        <v>149</v>
      </c>
      <c r="C239" s="55" t="s">
        <v>18</v>
      </c>
      <c r="D239" s="60">
        <v>0.63636363636363635</v>
      </c>
      <c r="E239" s="55" t="s">
        <v>15</v>
      </c>
      <c r="F239" s="54" t="s">
        <v>267</v>
      </c>
      <c r="G239" s="60">
        <v>0.93548350000000002</v>
      </c>
      <c r="H239" s="60">
        <v>1</v>
      </c>
      <c r="I239" s="60">
        <v>1</v>
      </c>
      <c r="K239" s="64">
        <v>7999</v>
      </c>
      <c r="M239" s="62"/>
      <c r="N239" s="63">
        <v>7999</v>
      </c>
    </row>
    <row r="240" spans="1:14" x14ac:dyDescent="0.25">
      <c r="A240" s="55" t="s">
        <v>72</v>
      </c>
      <c r="B240" s="55" t="s">
        <v>149</v>
      </c>
      <c r="C240" s="55" t="s">
        <v>16</v>
      </c>
      <c r="D240" s="60">
        <v>0.95454545454545459</v>
      </c>
      <c r="E240" s="55" t="s">
        <v>17</v>
      </c>
      <c r="F240" s="54" t="s">
        <v>266</v>
      </c>
      <c r="G240" s="60">
        <v>0.86559138888888887</v>
      </c>
      <c r="H240" s="60">
        <v>0.84126983333333327</v>
      </c>
      <c r="I240" s="60">
        <v>0.91176466666666678</v>
      </c>
      <c r="K240" s="64">
        <v>6309</v>
      </c>
      <c r="M240" s="62"/>
      <c r="N240" s="63">
        <v>6309</v>
      </c>
    </row>
    <row r="241" spans="1:14" x14ac:dyDescent="0.25">
      <c r="A241" s="55" t="s">
        <v>72</v>
      </c>
      <c r="B241" s="55" t="s">
        <v>149</v>
      </c>
      <c r="C241" s="55" t="s">
        <v>16</v>
      </c>
      <c r="D241" s="60">
        <v>0.95454545454545459</v>
      </c>
      <c r="E241" s="55" t="s">
        <v>12</v>
      </c>
      <c r="F241" s="54" t="s">
        <v>266</v>
      </c>
      <c r="G241" s="60">
        <v>0.78225800000000001</v>
      </c>
      <c r="H241" s="60">
        <v>0.76785700000000001</v>
      </c>
      <c r="I241" s="60">
        <v>1</v>
      </c>
      <c r="K241" s="64">
        <v>7459</v>
      </c>
      <c r="M241" s="62"/>
      <c r="N241" s="63">
        <v>7459</v>
      </c>
    </row>
    <row r="242" spans="1:14" x14ac:dyDescent="0.25">
      <c r="A242" s="55" t="s">
        <v>72</v>
      </c>
      <c r="B242" s="55" t="s">
        <v>182</v>
      </c>
      <c r="C242" s="55" t="s">
        <v>10</v>
      </c>
      <c r="D242" s="60">
        <v>1</v>
      </c>
      <c r="E242" s="55" t="s">
        <v>11</v>
      </c>
      <c r="F242" s="54" t="s">
        <v>264</v>
      </c>
      <c r="G242" s="60">
        <v>0.9912023333333333</v>
      </c>
      <c r="H242" s="60">
        <v>0.99025972727272726</v>
      </c>
      <c r="I242" s="60">
        <v>0.9786096060606061</v>
      </c>
      <c r="K242" s="64">
        <v>529</v>
      </c>
      <c r="M242" s="65">
        <v>2.5000000000000001E-2</v>
      </c>
      <c r="N242" s="63">
        <v>549</v>
      </c>
    </row>
    <row r="243" spans="1:14" x14ac:dyDescent="0.25">
      <c r="A243" s="55" t="s">
        <v>72</v>
      </c>
      <c r="B243" s="55" t="s">
        <v>182</v>
      </c>
      <c r="C243" s="55" t="s">
        <v>10</v>
      </c>
      <c r="D243" s="60">
        <v>1</v>
      </c>
      <c r="E243" s="55" t="s">
        <v>12</v>
      </c>
      <c r="F243" s="54" t="s">
        <v>264</v>
      </c>
      <c r="G243" s="60">
        <v>0.98387095833333327</v>
      </c>
      <c r="H243" s="60">
        <v>0.95089283333333341</v>
      </c>
      <c r="I243" s="60">
        <v>0.97303920833333335</v>
      </c>
      <c r="K243" s="64">
        <v>439</v>
      </c>
      <c r="M243" s="65">
        <v>2.5000000000000001E-2</v>
      </c>
      <c r="N243" s="63">
        <v>449</v>
      </c>
    </row>
    <row r="244" spans="1:14" x14ac:dyDescent="0.25">
      <c r="A244" s="55" t="s">
        <v>72</v>
      </c>
      <c r="B244" s="55" t="s">
        <v>182</v>
      </c>
      <c r="C244" s="55" t="s">
        <v>16</v>
      </c>
      <c r="D244" s="60">
        <v>0.88235294117647056</v>
      </c>
      <c r="E244" s="55" t="s">
        <v>17</v>
      </c>
      <c r="F244" s="54" t="s">
        <v>266</v>
      </c>
      <c r="G244" s="60">
        <v>0.79493085714285716</v>
      </c>
      <c r="H244" s="60">
        <v>0.79209182142857149</v>
      </c>
      <c r="I244" s="60">
        <v>0.84663864285714285</v>
      </c>
      <c r="K244" s="64">
        <v>7299</v>
      </c>
      <c r="M244" s="62"/>
      <c r="N244" s="63">
        <v>7299</v>
      </c>
    </row>
    <row r="245" spans="1:14" x14ac:dyDescent="0.25">
      <c r="A245" s="55" t="s">
        <v>72</v>
      </c>
      <c r="B245" s="55" t="s">
        <v>182</v>
      </c>
      <c r="C245" s="55" t="s">
        <v>16</v>
      </c>
      <c r="D245" s="60">
        <v>0.88235294117647056</v>
      </c>
      <c r="E245" s="55" t="s">
        <v>12</v>
      </c>
      <c r="F245" s="54" t="s">
        <v>266</v>
      </c>
      <c r="G245" s="60">
        <v>1</v>
      </c>
      <c r="H245" s="60">
        <v>1</v>
      </c>
      <c r="I245" s="60">
        <v>1</v>
      </c>
      <c r="K245" s="64">
        <v>9429</v>
      </c>
      <c r="M245" s="65"/>
      <c r="N245" s="63">
        <v>9429</v>
      </c>
    </row>
    <row r="246" spans="1:14" x14ac:dyDescent="0.25">
      <c r="A246" s="55" t="s">
        <v>72</v>
      </c>
      <c r="B246" s="55" t="s">
        <v>182</v>
      </c>
      <c r="C246" s="55" t="s">
        <v>18</v>
      </c>
      <c r="D246" s="60">
        <v>0.93103448275862066</v>
      </c>
      <c r="E246" s="55" t="s">
        <v>19</v>
      </c>
      <c r="F246" s="54" t="s">
        <v>267</v>
      </c>
      <c r="G246" s="60">
        <v>0.97896213043478253</v>
      </c>
      <c r="H246" s="60">
        <v>0.96273291304347819</v>
      </c>
      <c r="I246" s="60">
        <v>0.95652173913043481</v>
      </c>
      <c r="K246" s="64">
        <v>8069</v>
      </c>
      <c r="M246" s="62"/>
      <c r="N246" s="63">
        <v>8069</v>
      </c>
    </row>
    <row r="247" spans="1:14" x14ac:dyDescent="0.25">
      <c r="A247" s="55" t="s">
        <v>72</v>
      </c>
      <c r="B247" s="55" t="s">
        <v>182</v>
      </c>
      <c r="C247" s="55" t="s">
        <v>18</v>
      </c>
      <c r="D247" s="60">
        <v>0.93103448275862066</v>
      </c>
      <c r="E247" s="55" t="s">
        <v>20</v>
      </c>
      <c r="F247" s="54" t="s">
        <v>267</v>
      </c>
      <c r="G247" s="60">
        <v>0.99462349999999999</v>
      </c>
      <c r="H247" s="60">
        <v>0.95833333333333337</v>
      </c>
      <c r="I247" s="60">
        <v>0.83333333333333337</v>
      </c>
      <c r="K247" s="64">
        <v>8369</v>
      </c>
      <c r="M247" s="62"/>
      <c r="N247" s="63">
        <v>8369</v>
      </c>
    </row>
    <row r="248" spans="1:14" x14ac:dyDescent="0.25">
      <c r="A248" s="55" t="s">
        <v>72</v>
      </c>
      <c r="B248" s="55" t="s">
        <v>203</v>
      </c>
      <c r="C248" s="55" t="s">
        <v>10</v>
      </c>
      <c r="D248" s="60">
        <v>0.94444444444444442</v>
      </c>
      <c r="E248" s="55" t="s">
        <v>11</v>
      </c>
      <c r="F248" s="54" t="s">
        <v>264</v>
      </c>
      <c r="G248" s="60">
        <v>0.94856145945945958</v>
      </c>
      <c r="H248" s="60">
        <v>0.96235518918918928</v>
      </c>
      <c r="I248" s="60">
        <v>0.94753575675675672</v>
      </c>
      <c r="K248" s="64">
        <v>529</v>
      </c>
      <c r="M248" s="65">
        <v>2.5000000000000001E-2</v>
      </c>
      <c r="N248" s="63">
        <v>549</v>
      </c>
    </row>
    <row r="249" spans="1:14" x14ac:dyDescent="0.25">
      <c r="A249" s="55" t="s">
        <v>72</v>
      </c>
      <c r="B249" s="55" t="s">
        <v>203</v>
      </c>
      <c r="C249" s="55" t="s">
        <v>10</v>
      </c>
      <c r="D249" s="60">
        <v>0.94444444444444442</v>
      </c>
      <c r="E249" s="55" t="s">
        <v>12</v>
      </c>
      <c r="F249" s="54" t="s">
        <v>264</v>
      </c>
      <c r="G249" s="60">
        <v>0.92943543750000002</v>
      </c>
      <c r="H249" s="60">
        <v>0.95535712500000003</v>
      </c>
      <c r="I249" s="60">
        <v>0.88602937500000001</v>
      </c>
      <c r="K249" s="64">
        <v>419</v>
      </c>
      <c r="M249" s="62"/>
      <c r="N249" s="63">
        <v>419</v>
      </c>
    </row>
    <row r="250" spans="1:14" s="66" customFormat="1" x14ac:dyDescent="0.25">
      <c r="A250" s="55" t="s">
        <v>72</v>
      </c>
      <c r="B250" s="55" t="s">
        <v>203</v>
      </c>
      <c r="C250" s="55" t="s">
        <v>10</v>
      </c>
      <c r="D250" s="60">
        <v>0.94444444444444442</v>
      </c>
      <c r="E250" s="55" t="s">
        <v>74</v>
      </c>
      <c r="F250" s="54" t="s">
        <v>264</v>
      </c>
      <c r="G250" s="60">
        <v>0.90322499999999994</v>
      </c>
      <c r="H250" s="60">
        <v>0.85714199999999996</v>
      </c>
      <c r="I250" s="60">
        <v>1</v>
      </c>
      <c r="J250" s="55"/>
      <c r="K250" s="64">
        <v>549</v>
      </c>
      <c r="L250" s="55"/>
      <c r="M250" s="65">
        <v>2.5000000000000001E-2</v>
      </c>
      <c r="N250" s="63">
        <v>569</v>
      </c>
    </row>
    <row r="251" spans="1:14" x14ac:dyDescent="0.25">
      <c r="A251" s="55" t="s">
        <v>72</v>
      </c>
      <c r="B251" s="55" t="s">
        <v>203</v>
      </c>
      <c r="C251" s="55" t="s">
        <v>16</v>
      </c>
      <c r="D251" s="60">
        <v>0.74193548387096775</v>
      </c>
      <c r="E251" s="55" t="s">
        <v>17</v>
      </c>
      <c r="F251" s="54" t="s">
        <v>266</v>
      </c>
      <c r="G251" s="60">
        <v>0.64650537499999994</v>
      </c>
      <c r="H251" s="60">
        <v>0.68601187500000005</v>
      </c>
      <c r="I251" s="60">
        <v>0.70833333333333337</v>
      </c>
      <c r="K251" s="64">
        <v>6499</v>
      </c>
      <c r="M251" s="62"/>
      <c r="N251" s="63">
        <v>6499</v>
      </c>
    </row>
    <row r="252" spans="1:14" s="66" customFormat="1" x14ac:dyDescent="0.25">
      <c r="A252" s="55" t="s">
        <v>72</v>
      </c>
      <c r="B252" s="55" t="s">
        <v>203</v>
      </c>
      <c r="C252" s="55" t="s">
        <v>16</v>
      </c>
      <c r="D252" s="60">
        <v>0.74193548387096775</v>
      </c>
      <c r="E252" s="55" t="s">
        <v>12</v>
      </c>
      <c r="F252" s="54" t="s">
        <v>266</v>
      </c>
      <c r="G252" s="60">
        <v>0.97235014285714283</v>
      </c>
      <c r="H252" s="60">
        <v>0.75510199999999994</v>
      </c>
      <c r="I252" s="60">
        <v>0.90756300000000001</v>
      </c>
      <c r="J252" s="55"/>
      <c r="K252" s="64">
        <v>6999</v>
      </c>
      <c r="L252" s="55"/>
      <c r="M252" s="62"/>
      <c r="N252" s="63">
        <v>6999</v>
      </c>
    </row>
    <row r="253" spans="1:14" x14ac:dyDescent="0.25">
      <c r="A253" s="55" t="s">
        <v>72</v>
      </c>
      <c r="B253" s="55" t="s">
        <v>204</v>
      </c>
      <c r="C253" s="55" t="s">
        <v>10</v>
      </c>
      <c r="D253" s="60">
        <v>0.98529411764705888</v>
      </c>
      <c r="E253" s="55" t="s">
        <v>11</v>
      </c>
      <c r="F253" s="54" t="s">
        <v>264</v>
      </c>
      <c r="G253" s="60">
        <v>0.91129031250000003</v>
      </c>
      <c r="H253" s="60">
        <v>0.85825890625000001</v>
      </c>
      <c r="I253" s="60">
        <v>0.93014703124999998</v>
      </c>
      <c r="K253" s="64">
        <v>479</v>
      </c>
      <c r="M253" s="62"/>
      <c r="N253" s="63">
        <v>479</v>
      </c>
    </row>
    <row r="254" spans="1:14" x14ac:dyDescent="0.25">
      <c r="A254" s="55" t="s">
        <v>72</v>
      </c>
      <c r="B254" s="55" t="s">
        <v>204</v>
      </c>
      <c r="C254" s="55" t="s">
        <v>10</v>
      </c>
      <c r="D254" s="60">
        <v>0.98529411764705888</v>
      </c>
      <c r="E254" s="55" t="s">
        <v>12</v>
      </c>
      <c r="F254" s="54" t="s">
        <v>264</v>
      </c>
      <c r="G254" s="60">
        <v>0.8669354583333333</v>
      </c>
      <c r="H254" s="60">
        <v>0.87351187500000005</v>
      </c>
      <c r="I254" s="60">
        <v>0.96813724999999995</v>
      </c>
      <c r="K254" s="64">
        <v>439</v>
      </c>
      <c r="M254" s="62"/>
      <c r="N254" s="63">
        <v>439</v>
      </c>
    </row>
    <row r="255" spans="1:14" x14ac:dyDescent="0.25">
      <c r="A255" s="55" t="s">
        <v>72</v>
      </c>
      <c r="B255" s="55" t="s">
        <v>204</v>
      </c>
      <c r="C255" s="55" t="s">
        <v>10</v>
      </c>
      <c r="D255" s="60">
        <v>0.98529411764705888</v>
      </c>
      <c r="E255" s="55" t="s">
        <v>51</v>
      </c>
      <c r="F255" s="54" t="s">
        <v>264</v>
      </c>
      <c r="G255" s="60">
        <v>0.91397833333333323</v>
      </c>
      <c r="H255" s="60">
        <v>0.91071416666666671</v>
      </c>
      <c r="I255" s="60">
        <v>0.77450966666666676</v>
      </c>
      <c r="K255" s="64">
        <v>479</v>
      </c>
      <c r="M255" s="62"/>
      <c r="N255" s="63">
        <v>479</v>
      </c>
    </row>
    <row r="256" spans="1:14" x14ac:dyDescent="0.25">
      <c r="A256" s="55" t="s">
        <v>72</v>
      </c>
      <c r="B256" s="55" t="s">
        <v>204</v>
      </c>
      <c r="C256" s="55" t="s">
        <v>10</v>
      </c>
      <c r="D256" s="60">
        <v>0.98529411764705888</v>
      </c>
      <c r="E256" s="55" t="s">
        <v>50</v>
      </c>
      <c r="F256" s="54" t="s">
        <v>264</v>
      </c>
      <c r="G256" s="60">
        <v>1</v>
      </c>
      <c r="H256" s="60">
        <v>1</v>
      </c>
      <c r="I256" s="60">
        <v>1</v>
      </c>
      <c r="K256" s="64">
        <v>439</v>
      </c>
      <c r="M256" s="62"/>
      <c r="N256" s="63">
        <v>439</v>
      </c>
    </row>
    <row r="257" spans="1:14" x14ac:dyDescent="0.25">
      <c r="A257" s="55" t="s">
        <v>72</v>
      </c>
      <c r="B257" s="55" t="s">
        <v>204</v>
      </c>
      <c r="C257" s="55" t="s">
        <v>16</v>
      </c>
      <c r="D257" s="60">
        <v>1</v>
      </c>
      <c r="E257" s="55" t="s">
        <v>17</v>
      </c>
      <c r="F257" s="54" t="s">
        <v>266</v>
      </c>
      <c r="G257" s="60">
        <v>1</v>
      </c>
      <c r="H257" s="60">
        <v>0.99107137499999998</v>
      </c>
      <c r="I257" s="60">
        <v>0.96691174999999996</v>
      </c>
      <c r="K257" s="64">
        <v>7639</v>
      </c>
      <c r="M257" s="65">
        <v>0.05</v>
      </c>
      <c r="N257" s="63">
        <v>8029</v>
      </c>
    </row>
    <row r="258" spans="1:14" x14ac:dyDescent="0.25">
      <c r="A258" s="55" t="s">
        <v>72</v>
      </c>
      <c r="B258" s="55" t="s">
        <v>204</v>
      </c>
      <c r="C258" s="55" t="s">
        <v>16</v>
      </c>
      <c r="D258" s="60">
        <v>1</v>
      </c>
      <c r="E258" s="55" t="s">
        <v>12</v>
      </c>
      <c r="F258" s="54" t="s">
        <v>266</v>
      </c>
      <c r="G258" s="60">
        <v>1</v>
      </c>
      <c r="H258" s="60">
        <v>1</v>
      </c>
      <c r="I258" s="60">
        <v>1</v>
      </c>
      <c r="K258" s="64">
        <v>8749</v>
      </c>
      <c r="M258" s="65">
        <v>2.5000000000000001E-2</v>
      </c>
      <c r="N258" s="63">
        <v>8969</v>
      </c>
    </row>
    <row r="259" spans="1:14" x14ac:dyDescent="0.25">
      <c r="A259" s="55" t="s">
        <v>72</v>
      </c>
      <c r="B259" s="55" t="s">
        <v>215</v>
      </c>
      <c r="C259" s="55" t="s">
        <v>10</v>
      </c>
      <c r="D259" s="60">
        <v>0.96363636363636362</v>
      </c>
      <c r="E259" s="55" t="s">
        <v>11</v>
      </c>
      <c r="F259" s="54" t="s">
        <v>264</v>
      </c>
      <c r="G259" s="60">
        <v>0.96599824324324324</v>
      </c>
      <c r="H259" s="60">
        <v>0.95366794594594595</v>
      </c>
      <c r="I259" s="60">
        <v>0.97297297297297303</v>
      </c>
      <c r="K259" s="64">
        <v>539</v>
      </c>
      <c r="M259" s="65">
        <v>2.5000000000000001E-2</v>
      </c>
      <c r="N259" s="63">
        <v>559</v>
      </c>
    </row>
    <row r="260" spans="1:14" x14ac:dyDescent="0.25">
      <c r="A260" s="55" t="s">
        <v>72</v>
      </c>
      <c r="B260" s="55" t="s">
        <v>215</v>
      </c>
      <c r="C260" s="55" t="s">
        <v>10</v>
      </c>
      <c r="D260" s="60">
        <v>0.96363636363636362</v>
      </c>
      <c r="E260" s="55" t="s">
        <v>12</v>
      </c>
      <c r="F260" s="54" t="s">
        <v>264</v>
      </c>
      <c r="G260" s="60">
        <v>0.98028672222222235</v>
      </c>
      <c r="H260" s="60">
        <v>0.98214283333333341</v>
      </c>
      <c r="I260" s="60">
        <v>0.96078427777777775</v>
      </c>
      <c r="K260" s="64">
        <v>419</v>
      </c>
      <c r="M260" s="65">
        <v>2.5000000000000001E-2</v>
      </c>
      <c r="N260" s="63">
        <v>429</v>
      </c>
    </row>
    <row r="261" spans="1:14" x14ac:dyDescent="0.25">
      <c r="A261" s="55" t="s">
        <v>72</v>
      </c>
      <c r="B261" s="55" t="s">
        <v>215</v>
      </c>
      <c r="C261" s="55" t="s">
        <v>16</v>
      </c>
      <c r="D261" s="60">
        <v>0.90322580645161288</v>
      </c>
      <c r="E261" s="55" t="s">
        <v>17</v>
      </c>
      <c r="F261" s="54" t="s">
        <v>266</v>
      </c>
      <c r="G261" s="60">
        <v>0.97194947826086964</v>
      </c>
      <c r="H261" s="60">
        <v>0.90062108695652177</v>
      </c>
      <c r="I261" s="60">
        <v>0.8465473043478261</v>
      </c>
      <c r="K261" s="64">
        <v>7749</v>
      </c>
      <c r="M261" s="62"/>
      <c r="N261" s="63">
        <v>7749</v>
      </c>
    </row>
    <row r="262" spans="1:14" x14ac:dyDescent="0.25">
      <c r="A262" s="55" t="s">
        <v>72</v>
      </c>
      <c r="B262" s="55" t="s">
        <v>215</v>
      </c>
      <c r="C262" s="55" t="s">
        <v>16</v>
      </c>
      <c r="D262" s="60">
        <v>0.90322580645161288</v>
      </c>
      <c r="E262" s="55" t="s">
        <v>12</v>
      </c>
      <c r="F262" s="54" t="s">
        <v>266</v>
      </c>
      <c r="G262" s="60">
        <v>0.97695842857142856</v>
      </c>
      <c r="H262" s="60">
        <v>0.98979585714285712</v>
      </c>
      <c r="I262" s="60">
        <v>0.92436971428571435</v>
      </c>
      <c r="K262" s="64">
        <v>8429</v>
      </c>
      <c r="M262" s="62"/>
      <c r="N262" s="63">
        <v>8429</v>
      </c>
    </row>
    <row r="263" spans="1:14" x14ac:dyDescent="0.25">
      <c r="A263" s="55" t="s">
        <v>72</v>
      </c>
      <c r="B263" s="55" t="s">
        <v>215</v>
      </c>
      <c r="C263" s="55" t="s">
        <v>16</v>
      </c>
      <c r="D263" s="60">
        <v>0.90322580645161288</v>
      </c>
      <c r="E263" s="55" t="s">
        <v>26</v>
      </c>
      <c r="F263" s="54" t="s">
        <v>266</v>
      </c>
      <c r="G263" s="60">
        <v>1</v>
      </c>
      <c r="H263" s="60">
        <v>1</v>
      </c>
      <c r="I263" s="60">
        <v>1</v>
      </c>
      <c r="K263" s="64">
        <v>8429</v>
      </c>
      <c r="M263" s="65"/>
      <c r="N263" s="63">
        <v>8429</v>
      </c>
    </row>
    <row r="264" spans="1:14" x14ac:dyDescent="0.25">
      <c r="A264" s="55" t="s">
        <v>72</v>
      </c>
      <c r="B264" s="55" t="s">
        <v>215</v>
      </c>
      <c r="C264" s="55" t="s">
        <v>18</v>
      </c>
      <c r="D264" s="60">
        <v>1</v>
      </c>
      <c r="E264" s="55" t="s">
        <v>14</v>
      </c>
      <c r="F264" s="54" t="s">
        <v>267</v>
      </c>
      <c r="G264" s="60">
        <v>0.992987347826087</v>
      </c>
      <c r="H264" s="60">
        <v>0.98136643478260877</v>
      </c>
      <c r="I264" s="60">
        <v>0.97186700000000004</v>
      </c>
      <c r="K264" s="64">
        <v>8389</v>
      </c>
      <c r="M264" s="62"/>
      <c r="N264" s="63">
        <v>8389</v>
      </c>
    </row>
    <row r="265" spans="1:14" x14ac:dyDescent="0.25">
      <c r="A265" s="55" t="s">
        <v>72</v>
      </c>
      <c r="B265" s="55" t="s">
        <v>215</v>
      </c>
      <c r="C265" s="55" t="s">
        <v>18</v>
      </c>
      <c r="D265" s="60">
        <v>1</v>
      </c>
      <c r="E265" s="55" t="s">
        <v>15</v>
      </c>
      <c r="F265" s="54" t="s">
        <v>267</v>
      </c>
      <c r="G265" s="60">
        <v>1</v>
      </c>
      <c r="H265" s="60">
        <v>1</v>
      </c>
      <c r="I265" s="60">
        <v>1</v>
      </c>
      <c r="K265" s="64">
        <v>8519</v>
      </c>
      <c r="M265" s="65">
        <v>2.5000000000000001E-2</v>
      </c>
      <c r="N265" s="63">
        <v>8739</v>
      </c>
    </row>
    <row r="266" spans="1:14" x14ac:dyDescent="0.25">
      <c r="A266" s="55" t="s">
        <v>72</v>
      </c>
      <c r="B266" s="55" t="s">
        <v>216</v>
      </c>
      <c r="C266" s="55" t="s">
        <v>46</v>
      </c>
      <c r="D266" s="60">
        <v>1</v>
      </c>
      <c r="E266" s="55" t="s">
        <v>17</v>
      </c>
      <c r="F266" s="54" t="s">
        <v>269</v>
      </c>
      <c r="G266" s="60">
        <v>1</v>
      </c>
      <c r="H266" s="60">
        <v>1</v>
      </c>
      <c r="I266" s="60">
        <v>1</v>
      </c>
      <c r="K266" s="64">
        <v>2979.8333333333335</v>
      </c>
      <c r="M266" s="65">
        <v>2.5000000000000001E-2</v>
      </c>
      <c r="N266" s="63">
        <v>3059</v>
      </c>
    </row>
    <row r="267" spans="1:14" x14ac:dyDescent="0.25">
      <c r="A267" s="55" t="s">
        <v>72</v>
      </c>
      <c r="B267" s="55" t="s">
        <v>216</v>
      </c>
      <c r="C267" s="55" t="s">
        <v>46</v>
      </c>
      <c r="D267" s="60">
        <v>1</v>
      </c>
      <c r="E267" s="55" t="s">
        <v>29</v>
      </c>
      <c r="F267" s="54" t="s">
        <v>269</v>
      </c>
      <c r="G267" s="60">
        <v>0.98924729824561408</v>
      </c>
      <c r="H267" s="60">
        <v>1</v>
      </c>
      <c r="I267" s="60">
        <v>1</v>
      </c>
      <c r="K267" s="64">
        <v>4684.0877192982452</v>
      </c>
      <c r="M267" s="65">
        <v>2.5000000000000001E-2</v>
      </c>
      <c r="N267" s="63">
        <v>4809</v>
      </c>
    </row>
    <row r="268" spans="1:14" x14ac:dyDescent="0.25">
      <c r="A268" s="55" t="s">
        <v>72</v>
      </c>
      <c r="B268" s="55" t="s">
        <v>216</v>
      </c>
      <c r="C268" s="55" t="s">
        <v>46</v>
      </c>
      <c r="D268" s="60">
        <v>1</v>
      </c>
      <c r="E268" s="55" t="s">
        <v>30</v>
      </c>
      <c r="F268" s="54" t="s">
        <v>269</v>
      </c>
      <c r="G268" s="60">
        <v>0.95391700000000001</v>
      </c>
      <c r="H268" s="60">
        <v>1</v>
      </c>
      <c r="I268" s="60">
        <v>1</v>
      </c>
      <c r="K268" s="64">
        <v>3600.4285714285716</v>
      </c>
      <c r="M268" s="65">
        <v>2.5000000000000001E-2</v>
      </c>
      <c r="N268" s="63">
        <v>3699</v>
      </c>
    </row>
    <row r="269" spans="1:14" x14ac:dyDescent="0.25">
      <c r="A269" s="55" t="s">
        <v>72</v>
      </c>
      <c r="B269" s="55" t="s">
        <v>216</v>
      </c>
      <c r="C269" s="55" t="s">
        <v>46</v>
      </c>
      <c r="D269" s="60">
        <v>1</v>
      </c>
      <c r="E269" s="55" t="s">
        <v>31</v>
      </c>
      <c r="F269" s="54" t="s">
        <v>269</v>
      </c>
      <c r="G269" s="60">
        <v>1</v>
      </c>
      <c r="H269" s="60">
        <v>1</v>
      </c>
      <c r="I269" s="60">
        <v>1</v>
      </c>
      <c r="K269" s="64">
        <v>5879</v>
      </c>
      <c r="M269" s="62"/>
      <c r="N269" s="63">
        <v>5879</v>
      </c>
    </row>
    <row r="270" spans="1:14" x14ac:dyDescent="0.25">
      <c r="A270" s="55" t="s">
        <v>8</v>
      </c>
      <c r="B270" s="55" t="s">
        <v>9</v>
      </c>
      <c r="C270" s="55" t="s">
        <v>10</v>
      </c>
      <c r="D270" s="60">
        <v>0.96666666666666667</v>
      </c>
      <c r="E270" s="55" t="s">
        <v>11</v>
      </c>
      <c r="F270" s="54" t="s">
        <v>264</v>
      </c>
      <c r="G270" s="60">
        <v>0.90067910526315786</v>
      </c>
      <c r="H270" s="60">
        <v>0.88140702618216715</v>
      </c>
      <c r="I270" s="60">
        <v>0.86218485714285709</v>
      </c>
      <c r="K270" s="61">
        <v>379</v>
      </c>
      <c r="M270" s="62"/>
      <c r="N270" s="63">
        <v>379</v>
      </c>
    </row>
    <row r="271" spans="1:14" x14ac:dyDescent="0.25">
      <c r="A271" s="55" t="s">
        <v>8</v>
      </c>
      <c r="B271" s="55" t="s">
        <v>9</v>
      </c>
      <c r="C271" s="55" t="s">
        <v>10</v>
      </c>
      <c r="D271" s="60">
        <v>0.96666666666666667</v>
      </c>
      <c r="E271" s="55" t="s">
        <v>12</v>
      </c>
      <c r="F271" s="54" t="s">
        <v>264</v>
      </c>
      <c r="G271" s="60">
        <v>0.86709676000000002</v>
      </c>
      <c r="H271" s="60">
        <v>0.97285712000000002</v>
      </c>
      <c r="I271" s="60">
        <v>0.90823527999999998</v>
      </c>
      <c r="K271" s="64">
        <v>309</v>
      </c>
      <c r="M271" s="65">
        <v>2.5000000000000001E-2</v>
      </c>
      <c r="N271" s="63">
        <v>319</v>
      </c>
    </row>
    <row r="272" spans="1:14" x14ac:dyDescent="0.25">
      <c r="A272" s="55" t="s">
        <v>8</v>
      </c>
      <c r="B272" s="55" t="s">
        <v>9</v>
      </c>
      <c r="C272" s="55" t="s">
        <v>13</v>
      </c>
      <c r="D272" s="60">
        <v>1</v>
      </c>
      <c r="E272" s="55" t="s">
        <v>14</v>
      </c>
      <c r="F272" s="54" t="s">
        <v>265</v>
      </c>
      <c r="G272" s="60">
        <v>0.89247299999999996</v>
      </c>
      <c r="H272" s="60">
        <v>0.88095233333333323</v>
      </c>
      <c r="I272" s="60">
        <v>1</v>
      </c>
      <c r="K272" s="64">
        <v>379</v>
      </c>
      <c r="M272" s="65">
        <v>2.5000000000000001E-2</v>
      </c>
      <c r="N272" s="63">
        <v>389</v>
      </c>
    </row>
    <row r="273" spans="1:14" x14ac:dyDescent="0.25">
      <c r="A273" s="55" t="s">
        <v>8</v>
      </c>
      <c r="B273" s="55" t="s">
        <v>9</v>
      </c>
      <c r="C273" s="55" t="s">
        <v>13</v>
      </c>
      <c r="D273" s="60">
        <v>1</v>
      </c>
      <c r="E273" s="55" t="s">
        <v>15</v>
      </c>
      <c r="F273" s="54" t="s">
        <v>265</v>
      </c>
      <c r="G273" s="60">
        <v>0.78225800000000001</v>
      </c>
      <c r="H273" s="60">
        <v>1</v>
      </c>
      <c r="I273" s="60">
        <v>1</v>
      </c>
      <c r="K273" s="64">
        <v>309</v>
      </c>
      <c r="M273" s="65">
        <v>2.5000000000000001E-2</v>
      </c>
      <c r="N273" s="63">
        <v>319</v>
      </c>
    </row>
    <row r="274" spans="1:14" x14ac:dyDescent="0.25">
      <c r="A274" s="55" t="s">
        <v>8</v>
      </c>
      <c r="B274" s="55" t="s">
        <v>9</v>
      </c>
      <c r="C274" s="55" t="s">
        <v>16</v>
      </c>
      <c r="D274" s="60">
        <v>0.85185185185185186</v>
      </c>
      <c r="E274" s="55" t="s">
        <v>17</v>
      </c>
      <c r="F274" s="54" t="s">
        <v>266</v>
      </c>
      <c r="G274" s="60">
        <v>0.9599999199999999</v>
      </c>
      <c r="H274" s="60">
        <v>0.88714280000000001</v>
      </c>
      <c r="I274" s="60">
        <v>0.84705876000000002</v>
      </c>
      <c r="K274" s="64">
        <v>5179</v>
      </c>
      <c r="M274" s="62"/>
      <c r="N274" s="63">
        <v>5179</v>
      </c>
    </row>
    <row r="275" spans="1:14" x14ac:dyDescent="0.25">
      <c r="A275" s="55" t="s">
        <v>8</v>
      </c>
      <c r="B275" s="55" t="s">
        <v>9</v>
      </c>
      <c r="C275" s="55" t="s">
        <v>16</v>
      </c>
      <c r="D275" s="60">
        <v>0.85185185185185186</v>
      </c>
      <c r="E275" s="55" t="s">
        <v>12</v>
      </c>
      <c r="F275" s="54" t="s">
        <v>266</v>
      </c>
      <c r="G275" s="60">
        <v>1</v>
      </c>
      <c r="H275" s="60">
        <v>1</v>
      </c>
      <c r="I275" s="60">
        <v>1</v>
      </c>
      <c r="K275" s="64">
        <v>6879</v>
      </c>
      <c r="M275" s="65">
        <v>1.7000000000000001E-2</v>
      </c>
      <c r="N275" s="63">
        <v>6999</v>
      </c>
    </row>
    <row r="276" spans="1:14" x14ac:dyDescent="0.25">
      <c r="A276" s="55" t="s">
        <v>8</v>
      </c>
      <c r="B276" s="55" t="s">
        <v>9</v>
      </c>
      <c r="C276" s="55" t="s">
        <v>18</v>
      </c>
      <c r="D276" s="60">
        <v>0.80952380952380953</v>
      </c>
      <c r="E276" s="55" t="s">
        <v>19</v>
      </c>
      <c r="F276" s="54" t="s">
        <v>267</v>
      </c>
      <c r="G276" s="60">
        <v>0.76280829411764706</v>
      </c>
      <c r="H276" s="60">
        <v>0.86764705882352944</v>
      </c>
      <c r="I276" s="60">
        <v>0.93771623529411763</v>
      </c>
      <c r="K276" s="64">
        <v>6669</v>
      </c>
      <c r="M276" s="62"/>
      <c r="N276" s="63">
        <v>6669</v>
      </c>
    </row>
    <row r="277" spans="1:14" x14ac:dyDescent="0.25">
      <c r="A277" s="55" t="s">
        <v>8</v>
      </c>
      <c r="B277" s="55" t="s">
        <v>9</v>
      </c>
      <c r="C277" s="55" t="s">
        <v>18</v>
      </c>
      <c r="D277" s="60">
        <v>0.80952380952380953</v>
      </c>
      <c r="E277" s="55" t="s">
        <v>20</v>
      </c>
      <c r="F277" s="54" t="s">
        <v>267</v>
      </c>
      <c r="G277" s="60">
        <v>0.5887095</v>
      </c>
      <c r="H277" s="60">
        <v>0.57142850000000001</v>
      </c>
      <c r="I277" s="60">
        <v>0.33823524999999999</v>
      </c>
      <c r="K277" s="64">
        <v>7549</v>
      </c>
      <c r="M277" s="65">
        <v>-0.05</v>
      </c>
      <c r="N277" s="63">
        <v>7179</v>
      </c>
    </row>
    <row r="278" spans="1:14" x14ac:dyDescent="0.25">
      <c r="A278" s="55" t="s">
        <v>8</v>
      </c>
      <c r="B278" s="55" t="s">
        <v>9</v>
      </c>
      <c r="C278" s="55" t="s">
        <v>21</v>
      </c>
      <c r="D278" s="60">
        <v>0.875</v>
      </c>
      <c r="E278" s="55" t="s">
        <v>22</v>
      </c>
      <c r="F278" s="54" t="s">
        <v>268</v>
      </c>
      <c r="G278" s="60">
        <v>0.87468980769230775</v>
      </c>
      <c r="H278" s="60">
        <v>0.83664772066277115</v>
      </c>
      <c r="I278" s="60">
        <v>0.875</v>
      </c>
      <c r="K278" s="64">
        <v>2959</v>
      </c>
      <c r="M278" s="62"/>
      <c r="N278" s="63">
        <v>2959</v>
      </c>
    </row>
    <row r="279" spans="1:14" x14ac:dyDescent="0.25">
      <c r="A279" s="55" t="s">
        <v>8</v>
      </c>
      <c r="B279" s="55" t="s">
        <v>81</v>
      </c>
      <c r="C279" s="55" t="s">
        <v>10</v>
      </c>
      <c r="D279" s="60">
        <v>0.89830508474576276</v>
      </c>
      <c r="E279" s="55" t="s">
        <v>11</v>
      </c>
      <c r="F279" s="54" t="s">
        <v>264</v>
      </c>
      <c r="G279" s="60">
        <v>0.93461202702702695</v>
      </c>
      <c r="H279" s="60">
        <v>0.91409264864864859</v>
      </c>
      <c r="I279" s="60">
        <v>0.92368837837837847</v>
      </c>
      <c r="K279" s="64">
        <v>319</v>
      </c>
      <c r="M279" s="62"/>
      <c r="N279" s="63">
        <v>319</v>
      </c>
    </row>
    <row r="280" spans="1:14" x14ac:dyDescent="0.25">
      <c r="A280" s="55" t="s">
        <v>8</v>
      </c>
      <c r="B280" s="55" t="s">
        <v>81</v>
      </c>
      <c r="C280" s="55" t="s">
        <v>10</v>
      </c>
      <c r="D280" s="60">
        <v>0.89830508474576276</v>
      </c>
      <c r="E280" s="55" t="s">
        <v>12</v>
      </c>
      <c r="F280" s="54" t="s">
        <v>264</v>
      </c>
      <c r="G280" s="60">
        <v>0.93548386363636371</v>
      </c>
      <c r="H280" s="60">
        <v>0.92207790909090903</v>
      </c>
      <c r="I280" s="60">
        <v>0.95454545454545459</v>
      </c>
      <c r="K280" s="64">
        <v>309</v>
      </c>
      <c r="M280" s="62"/>
      <c r="N280" s="63">
        <v>309</v>
      </c>
    </row>
    <row r="281" spans="1:14" x14ac:dyDescent="0.25">
      <c r="A281" s="55" t="s">
        <v>8</v>
      </c>
      <c r="B281" s="55" t="s">
        <v>81</v>
      </c>
      <c r="C281" s="55" t="s">
        <v>16</v>
      </c>
      <c r="D281" s="60">
        <v>0.96666666666666667</v>
      </c>
      <c r="E281" s="55" t="s">
        <v>82</v>
      </c>
      <c r="F281" s="54" t="s">
        <v>266</v>
      </c>
      <c r="G281" s="60">
        <v>1</v>
      </c>
      <c r="H281" s="60">
        <v>1</v>
      </c>
      <c r="I281" s="60">
        <v>1</v>
      </c>
      <c r="K281" s="64">
        <v>6669</v>
      </c>
      <c r="M281" s="62"/>
      <c r="N281" s="63">
        <v>6669</v>
      </c>
    </row>
    <row r="282" spans="1:14" x14ac:dyDescent="0.25">
      <c r="A282" s="55" t="s">
        <v>8</v>
      </c>
      <c r="B282" s="55" t="s">
        <v>81</v>
      </c>
      <c r="C282" s="55" t="s">
        <v>16</v>
      </c>
      <c r="D282" s="60">
        <v>0.96666666666666667</v>
      </c>
      <c r="E282" s="55" t="s">
        <v>17</v>
      </c>
      <c r="F282" s="54" t="s">
        <v>266</v>
      </c>
      <c r="G282" s="60">
        <v>0.96774183333333341</v>
      </c>
      <c r="H282" s="60">
        <v>0.97420633333333329</v>
      </c>
      <c r="I282" s="60">
        <v>0.9575163333333333</v>
      </c>
      <c r="K282" s="64">
        <v>5819</v>
      </c>
      <c r="M282" s="62"/>
      <c r="N282" s="63">
        <v>5819</v>
      </c>
    </row>
    <row r="283" spans="1:14" x14ac:dyDescent="0.25">
      <c r="A283" s="55" t="s">
        <v>8</v>
      </c>
      <c r="B283" s="55" t="s">
        <v>81</v>
      </c>
      <c r="C283" s="55" t="s">
        <v>16</v>
      </c>
      <c r="D283" s="60">
        <v>0.96666666666666667</v>
      </c>
      <c r="E283" s="55" t="s">
        <v>26</v>
      </c>
      <c r="F283" s="54" t="s">
        <v>266</v>
      </c>
      <c r="G283" s="60">
        <v>1</v>
      </c>
      <c r="H283" s="60">
        <v>1</v>
      </c>
      <c r="I283" s="60">
        <v>1</v>
      </c>
      <c r="K283" s="64">
        <v>6579</v>
      </c>
      <c r="M283" s="62"/>
      <c r="N283" s="63">
        <v>6579</v>
      </c>
    </row>
    <row r="284" spans="1:14" x14ac:dyDescent="0.25">
      <c r="A284" s="55" t="s">
        <v>8</v>
      </c>
      <c r="B284" s="55" t="s">
        <v>81</v>
      </c>
      <c r="C284" s="55" t="s">
        <v>18</v>
      </c>
      <c r="D284" s="60">
        <v>1</v>
      </c>
      <c r="E284" s="55" t="s">
        <v>33</v>
      </c>
      <c r="F284" s="54" t="s">
        <v>267</v>
      </c>
      <c r="G284" s="60">
        <v>1</v>
      </c>
      <c r="H284" s="60">
        <v>0.98571426666666673</v>
      </c>
      <c r="I284" s="60">
        <v>0.96470586666666658</v>
      </c>
      <c r="K284" s="64">
        <v>8359</v>
      </c>
      <c r="M284" s="62"/>
      <c r="N284" s="63">
        <v>8359</v>
      </c>
    </row>
    <row r="285" spans="1:14" x14ac:dyDescent="0.25">
      <c r="A285" s="55" t="s">
        <v>8</v>
      </c>
      <c r="B285" s="55" t="s">
        <v>81</v>
      </c>
      <c r="C285" s="55" t="s">
        <v>18</v>
      </c>
      <c r="D285" s="60">
        <v>1</v>
      </c>
      <c r="E285" s="55" t="s">
        <v>83</v>
      </c>
      <c r="F285" s="54" t="s">
        <v>267</v>
      </c>
      <c r="G285" s="60">
        <v>1</v>
      </c>
      <c r="H285" s="60">
        <v>1</v>
      </c>
      <c r="I285" s="60">
        <v>1</v>
      </c>
      <c r="K285" s="64">
        <v>9099</v>
      </c>
      <c r="M285" s="62"/>
      <c r="N285" s="63">
        <v>9099</v>
      </c>
    </row>
    <row r="286" spans="1:14" x14ac:dyDescent="0.25">
      <c r="A286" s="55" t="s">
        <v>8</v>
      </c>
      <c r="B286" s="55" t="s">
        <v>87</v>
      </c>
      <c r="C286" s="55" t="s">
        <v>10</v>
      </c>
      <c r="D286" s="60">
        <v>0.85483870967741937</v>
      </c>
      <c r="E286" s="55" t="s">
        <v>51</v>
      </c>
      <c r="F286" s="54" t="s">
        <v>264</v>
      </c>
      <c r="G286" s="60">
        <v>0.4976957142857143</v>
      </c>
      <c r="H286" s="60">
        <v>0.63775500000000007</v>
      </c>
      <c r="I286" s="60">
        <v>0.73949571428571426</v>
      </c>
      <c r="K286" s="64">
        <v>449</v>
      </c>
      <c r="M286" s="65"/>
      <c r="N286" s="63">
        <v>449</v>
      </c>
    </row>
    <row r="287" spans="1:14" x14ac:dyDescent="0.25">
      <c r="A287" s="55" t="s">
        <v>8</v>
      </c>
      <c r="B287" s="55" t="s">
        <v>87</v>
      </c>
      <c r="C287" s="55" t="s">
        <v>10</v>
      </c>
      <c r="D287" s="60">
        <v>0.85483870967741937</v>
      </c>
      <c r="E287" s="55" t="s">
        <v>12</v>
      </c>
      <c r="F287" s="54" t="s">
        <v>264</v>
      </c>
      <c r="G287" s="60">
        <v>0.97518610256410254</v>
      </c>
      <c r="H287" s="60">
        <v>0.96611720512820509</v>
      </c>
      <c r="I287" s="60">
        <v>0.98642533333333327</v>
      </c>
      <c r="K287" s="64">
        <v>329</v>
      </c>
      <c r="M287" s="62"/>
      <c r="N287" s="63">
        <v>329</v>
      </c>
    </row>
    <row r="288" spans="1:14" x14ac:dyDescent="0.25">
      <c r="A288" s="55" t="s">
        <v>8</v>
      </c>
      <c r="B288" s="55" t="s">
        <v>87</v>
      </c>
      <c r="C288" s="55" t="s">
        <v>10</v>
      </c>
      <c r="D288" s="60">
        <v>0.85483870967741937</v>
      </c>
      <c r="E288" s="55" t="s">
        <v>11</v>
      </c>
      <c r="F288" s="54" t="s">
        <v>264</v>
      </c>
      <c r="G288" s="60">
        <v>0.79354829999999998</v>
      </c>
      <c r="H288" s="60">
        <v>0.67500000000000004</v>
      </c>
      <c r="I288" s="60">
        <v>0.61176469999999994</v>
      </c>
      <c r="K288" s="64">
        <v>339</v>
      </c>
      <c r="M288" s="65"/>
      <c r="N288" s="63">
        <v>339</v>
      </c>
    </row>
    <row r="289" spans="1:14" x14ac:dyDescent="0.25">
      <c r="A289" s="55" t="s">
        <v>8</v>
      </c>
      <c r="B289" s="55" t="s">
        <v>87</v>
      </c>
      <c r="C289" s="55" t="s">
        <v>10</v>
      </c>
      <c r="D289" s="60">
        <v>0.85483870967741937</v>
      </c>
      <c r="E289" s="55" t="s">
        <v>40</v>
      </c>
      <c r="F289" s="54" t="s">
        <v>264</v>
      </c>
      <c r="G289" s="60">
        <v>0.63978483333333336</v>
      </c>
      <c r="H289" s="60">
        <v>0.54166666666666663</v>
      </c>
      <c r="I289" s="60">
        <v>0.59803916666666668</v>
      </c>
      <c r="K289" s="64">
        <v>339</v>
      </c>
      <c r="M289" s="65"/>
      <c r="N289" s="63">
        <v>339</v>
      </c>
    </row>
    <row r="290" spans="1:14" x14ac:dyDescent="0.25">
      <c r="A290" s="55" t="s">
        <v>8</v>
      </c>
      <c r="B290" s="55" t="s">
        <v>87</v>
      </c>
      <c r="C290" s="55" t="s">
        <v>16</v>
      </c>
      <c r="D290" s="60">
        <v>0.88461538461538458</v>
      </c>
      <c r="E290" s="55" t="s">
        <v>17</v>
      </c>
      <c r="F290" s="54" t="s">
        <v>266</v>
      </c>
      <c r="G290" s="60">
        <v>0.83870955000000014</v>
      </c>
      <c r="H290" s="60">
        <v>0.74999994999999997</v>
      </c>
      <c r="I290" s="60">
        <v>0.78529404999999997</v>
      </c>
      <c r="K290" s="64">
        <v>5466.5</v>
      </c>
      <c r="M290" s="62"/>
      <c r="N290" s="63">
        <v>5469</v>
      </c>
    </row>
    <row r="291" spans="1:14" x14ac:dyDescent="0.25">
      <c r="A291" s="55" t="s">
        <v>8</v>
      </c>
      <c r="B291" s="55" t="s">
        <v>87</v>
      </c>
      <c r="C291" s="55" t="s">
        <v>16</v>
      </c>
      <c r="D291" s="60">
        <v>0.88461538461538458</v>
      </c>
      <c r="E291" s="55" t="s">
        <v>44</v>
      </c>
      <c r="F291" s="54" t="s">
        <v>266</v>
      </c>
      <c r="G291" s="60">
        <v>1</v>
      </c>
      <c r="H291" s="60">
        <v>1</v>
      </c>
      <c r="I291" s="60">
        <v>1</v>
      </c>
      <c r="K291" s="64">
        <v>7039</v>
      </c>
      <c r="M291" s="62"/>
      <c r="N291" s="63">
        <v>7039</v>
      </c>
    </row>
    <row r="292" spans="1:14" x14ac:dyDescent="0.25">
      <c r="A292" s="55" t="s">
        <v>8</v>
      </c>
      <c r="B292" s="55" t="s">
        <v>138</v>
      </c>
      <c r="C292" s="55" t="s">
        <v>10</v>
      </c>
      <c r="D292" s="60">
        <v>0.94285714285714284</v>
      </c>
      <c r="E292" s="55" t="s">
        <v>11</v>
      </c>
      <c r="F292" s="54" t="s">
        <v>264</v>
      </c>
      <c r="G292" s="60">
        <v>0.7887616935483871</v>
      </c>
      <c r="H292" s="60">
        <v>0.79608293548387099</v>
      </c>
      <c r="I292" s="60">
        <v>0.90227703225806455</v>
      </c>
      <c r="K292" s="64">
        <v>389</v>
      </c>
      <c r="M292" s="65">
        <v>2.5000000000000001E-2</v>
      </c>
      <c r="N292" s="63">
        <v>399</v>
      </c>
    </row>
    <row r="293" spans="1:14" x14ac:dyDescent="0.25">
      <c r="A293" s="55" t="s">
        <v>8</v>
      </c>
      <c r="B293" s="55" t="s">
        <v>138</v>
      </c>
      <c r="C293" s="55" t="s">
        <v>10</v>
      </c>
      <c r="D293" s="60">
        <v>0.94285714285714284</v>
      </c>
      <c r="E293" s="55" t="s">
        <v>12</v>
      </c>
      <c r="F293" s="54" t="s">
        <v>264</v>
      </c>
      <c r="G293" s="60">
        <v>0.93548374999999995</v>
      </c>
      <c r="H293" s="60">
        <v>1</v>
      </c>
      <c r="I293" s="60">
        <v>0.93382350000000003</v>
      </c>
      <c r="K293" s="64">
        <v>339</v>
      </c>
      <c r="M293" s="65">
        <v>2.5000000000000001E-2</v>
      </c>
      <c r="N293" s="63">
        <v>349</v>
      </c>
    </row>
    <row r="294" spans="1:14" x14ac:dyDescent="0.25">
      <c r="A294" s="55" t="s">
        <v>8</v>
      </c>
      <c r="B294" s="55" t="s">
        <v>138</v>
      </c>
      <c r="C294" s="55" t="s">
        <v>16</v>
      </c>
      <c r="D294" s="60">
        <v>1</v>
      </c>
      <c r="E294" s="55" t="s">
        <v>82</v>
      </c>
      <c r="F294" s="54" t="s">
        <v>266</v>
      </c>
      <c r="G294" s="60">
        <v>1</v>
      </c>
      <c r="H294" s="60">
        <v>1</v>
      </c>
      <c r="I294" s="60">
        <v>1</v>
      </c>
      <c r="K294" s="64">
        <v>6249</v>
      </c>
      <c r="M294" s="65">
        <v>0.05</v>
      </c>
      <c r="N294" s="63">
        <v>6569</v>
      </c>
    </row>
    <row r="295" spans="1:14" x14ac:dyDescent="0.25">
      <c r="A295" s="55" t="s">
        <v>8</v>
      </c>
      <c r="B295" s="55" t="s">
        <v>138</v>
      </c>
      <c r="C295" s="55" t="s">
        <v>16</v>
      </c>
      <c r="D295" s="60">
        <v>1</v>
      </c>
      <c r="E295" s="55" t="s">
        <v>17</v>
      </c>
      <c r="F295" s="54" t="s">
        <v>266</v>
      </c>
      <c r="G295" s="60">
        <v>0.99283149999999998</v>
      </c>
      <c r="H295" s="60">
        <v>0.97619044444444447</v>
      </c>
      <c r="I295" s="60">
        <v>0.93464049999999999</v>
      </c>
      <c r="K295" s="64">
        <v>5819</v>
      </c>
      <c r="M295" s="65">
        <v>2.5000000000000001E-2</v>
      </c>
      <c r="N295" s="63">
        <v>5969</v>
      </c>
    </row>
    <row r="296" spans="1:14" x14ac:dyDescent="0.25">
      <c r="A296" s="55" t="s">
        <v>8</v>
      </c>
      <c r="B296" s="55" t="s">
        <v>138</v>
      </c>
      <c r="C296" s="55" t="s">
        <v>16</v>
      </c>
      <c r="D296" s="60">
        <v>1</v>
      </c>
      <c r="E296" s="55" t="s">
        <v>26</v>
      </c>
      <c r="F296" s="54" t="s">
        <v>266</v>
      </c>
      <c r="G296" s="60">
        <v>1</v>
      </c>
      <c r="H296" s="60">
        <v>1</v>
      </c>
      <c r="I296" s="60">
        <v>1</v>
      </c>
      <c r="K296" s="64">
        <v>5979</v>
      </c>
      <c r="M296" s="65">
        <v>2.5000000000000001E-2</v>
      </c>
      <c r="N296" s="63">
        <v>6129</v>
      </c>
    </row>
    <row r="297" spans="1:14" x14ac:dyDescent="0.25">
      <c r="A297" s="55" t="s">
        <v>8</v>
      </c>
      <c r="B297" s="55" t="s">
        <v>139</v>
      </c>
      <c r="C297" s="55" t="s">
        <v>10</v>
      </c>
      <c r="D297" s="60">
        <v>0.90909090909090906</v>
      </c>
      <c r="E297" s="55" t="s">
        <v>74</v>
      </c>
      <c r="F297" s="54" t="s">
        <v>264</v>
      </c>
      <c r="G297" s="60">
        <v>1</v>
      </c>
      <c r="H297" s="60">
        <v>1</v>
      </c>
      <c r="I297" s="60">
        <v>1</v>
      </c>
      <c r="K297" s="64">
        <v>399</v>
      </c>
      <c r="M297" s="62"/>
      <c r="N297" s="63">
        <v>399</v>
      </c>
    </row>
    <row r="298" spans="1:14" x14ac:dyDescent="0.25">
      <c r="A298" s="55" t="s">
        <v>8</v>
      </c>
      <c r="B298" s="55" t="s">
        <v>139</v>
      </c>
      <c r="C298" s="55" t="s">
        <v>10</v>
      </c>
      <c r="D298" s="60">
        <v>0.90909090909090906</v>
      </c>
      <c r="E298" s="55" t="s">
        <v>12</v>
      </c>
      <c r="F298" s="54" t="s">
        <v>264</v>
      </c>
      <c r="G298" s="60">
        <v>0.84649610344827597</v>
      </c>
      <c r="H298" s="60">
        <v>0.87561575862068963</v>
      </c>
      <c r="I298" s="60">
        <v>0.85699796551724139</v>
      </c>
      <c r="K298" s="64">
        <v>319</v>
      </c>
      <c r="M298" s="62"/>
      <c r="N298" s="63">
        <v>319</v>
      </c>
    </row>
    <row r="299" spans="1:14" x14ac:dyDescent="0.25">
      <c r="A299" s="55" t="s">
        <v>8</v>
      </c>
      <c r="B299" s="55" t="s">
        <v>139</v>
      </c>
      <c r="C299" s="55" t="s">
        <v>10</v>
      </c>
      <c r="D299" s="60">
        <v>0.90909090909090906</v>
      </c>
      <c r="E299" s="55" t="s">
        <v>11</v>
      </c>
      <c r="F299" s="54" t="s">
        <v>264</v>
      </c>
      <c r="G299" s="60">
        <v>0.800759</v>
      </c>
      <c r="H299" s="60">
        <v>0.89075629411764701</v>
      </c>
      <c r="I299" s="60">
        <v>0.95847747058823529</v>
      </c>
      <c r="K299" s="64">
        <v>389</v>
      </c>
      <c r="M299" s="62"/>
      <c r="N299" s="63">
        <v>389</v>
      </c>
    </row>
    <row r="300" spans="1:14" x14ac:dyDescent="0.25">
      <c r="A300" s="55" t="s">
        <v>8</v>
      </c>
      <c r="B300" s="55" t="s">
        <v>139</v>
      </c>
      <c r="C300" s="55" t="s">
        <v>13</v>
      </c>
      <c r="D300" s="60">
        <v>0.9</v>
      </c>
      <c r="E300" s="55" t="s">
        <v>14</v>
      </c>
      <c r="F300" s="54" t="s">
        <v>265</v>
      </c>
      <c r="G300" s="60">
        <v>1</v>
      </c>
      <c r="H300" s="60">
        <v>1</v>
      </c>
      <c r="I300" s="60">
        <v>1</v>
      </c>
      <c r="K300" s="64">
        <v>479</v>
      </c>
      <c r="M300" s="62"/>
      <c r="N300" s="63">
        <v>479</v>
      </c>
    </row>
    <row r="301" spans="1:14" x14ac:dyDescent="0.25">
      <c r="A301" s="55" t="s">
        <v>8</v>
      </c>
      <c r="B301" s="55" t="s">
        <v>139</v>
      </c>
      <c r="C301" s="55" t="s">
        <v>13</v>
      </c>
      <c r="D301" s="60">
        <v>0.9</v>
      </c>
      <c r="E301" s="55" t="s">
        <v>15</v>
      </c>
      <c r="F301" s="54" t="s">
        <v>265</v>
      </c>
      <c r="G301" s="60">
        <v>1</v>
      </c>
      <c r="H301" s="60">
        <v>0.75</v>
      </c>
      <c r="I301" s="60">
        <v>0.85294099999999995</v>
      </c>
      <c r="K301" s="64">
        <v>429</v>
      </c>
      <c r="M301" s="62"/>
      <c r="N301" s="63">
        <v>429</v>
      </c>
    </row>
    <row r="302" spans="1:14" x14ac:dyDescent="0.25">
      <c r="A302" s="55" t="s">
        <v>8</v>
      </c>
      <c r="B302" s="55" t="s">
        <v>139</v>
      </c>
      <c r="C302" s="55" t="s">
        <v>16</v>
      </c>
      <c r="D302" s="60">
        <v>0.95454545454545459</v>
      </c>
      <c r="E302" s="55" t="s">
        <v>17</v>
      </c>
      <c r="F302" s="54" t="s">
        <v>266</v>
      </c>
      <c r="G302" s="60">
        <v>0.95161289999999998</v>
      </c>
      <c r="H302" s="60">
        <v>0.96785710000000003</v>
      </c>
      <c r="I302" s="60">
        <v>0.93823520000000005</v>
      </c>
      <c r="K302" s="64">
        <v>5369</v>
      </c>
      <c r="M302" s="65">
        <v>2.5000000000000001E-2</v>
      </c>
      <c r="N302" s="63">
        <v>5509</v>
      </c>
    </row>
    <row r="303" spans="1:14" x14ac:dyDescent="0.25">
      <c r="A303" s="55" t="s">
        <v>8</v>
      </c>
      <c r="B303" s="55" t="s">
        <v>139</v>
      </c>
      <c r="C303" s="55" t="s">
        <v>16</v>
      </c>
      <c r="D303" s="60">
        <v>0.95454545454545459</v>
      </c>
      <c r="E303" s="55" t="s">
        <v>12</v>
      </c>
      <c r="F303" s="54" t="s">
        <v>266</v>
      </c>
      <c r="G303" s="60">
        <v>1</v>
      </c>
      <c r="H303" s="60">
        <v>0.94642850000000001</v>
      </c>
      <c r="I303" s="60">
        <v>1</v>
      </c>
      <c r="K303" s="64">
        <v>5659</v>
      </c>
      <c r="M303" s="65">
        <v>2.5000000000000001E-2</v>
      </c>
      <c r="N303" s="63">
        <v>5809</v>
      </c>
    </row>
    <row r="304" spans="1:14" x14ac:dyDescent="0.25">
      <c r="A304" s="55" t="s">
        <v>8</v>
      </c>
      <c r="B304" s="55" t="s">
        <v>139</v>
      </c>
      <c r="C304" s="55" t="s">
        <v>18</v>
      </c>
      <c r="D304" s="60">
        <v>1</v>
      </c>
      <c r="E304" s="55" t="s">
        <v>19</v>
      </c>
      <c r="F304" s="54" t="s">
        <v>267</v>
      </c>
      <c r="G304" s="60">
        <v>0.97311827777777771</v>
      </c>
      <c r="H304" s="60">
        <v>0.92261899999999997</v>
      </c>
      <c r="I304" s="60">
        <v>0.9640522777777778</v>
      </c>
      <c r="K304" s="64">
        <v>7669</v>
      </c>
      <c r="M304" s="62"/>
      <c r="N304" s="63">
        <v>7669</v>
      </c>
    </row>
    <row r="305" spans="1:14" x14ac:dyDescent="0.25">
      <c r="A305" s="55" t="s">
        <v>8</v>
      </c>
      <c r="B305" s="55" t="s">
        <v>139</v>
      </c>
      <c r="C305" s="55" t="s">
        <v>18</v>
      </c>
      <c r="D305" s="60">
        <v>1</v>
      </c>
      <c r="E305" s="55" t="s">
        <v>20</v>
      </c>
      <c r="F305" s="54" t="s">
        <v>267</v>
      </c>
      <c r="G305" s="60">
        <v>0.66666666666666663</v>
      </c>
      <c r="H305" s="60">
        <v>0.488095</v>
      </c>
      <c r="I305" s="60">
        <v>1</v>
      </c>
      <c r="K305" s="64">
        <v>9689</v>
      </c>
      <c r="M305" s="62"/>
      <c r="N305" s="63">
        <v>9689</v>
      </c>
    </row>
    <row r="306" spans="1:14" x14ac:dyDescent="0.25">
      <c r="A306" s="55" t="s">
        <v>8</v>
      </c>
      <c r="B306" s="55" t="s">
        <v>139</v>
      </c>
      <c r="C306" s="55" t="s">
        <v>21</v>
      </c>
      <c r="D306" s="60">
        <v>0.81818181818181823</v>
      </c>
      <c r="E306" s="55" t="s">
        <v>75</v>
      </c>
      <c r="F306" s="54" t="s">
        <v>268</v>
      </c>
      <c r="G306" s="60">
        <v>0.71114368181818177</v>
      </c>
      <c r="H306" s="60">
        <v>0.72240259090909087</v>
      </c>
      <c r="I306" s="60">
        <v>0.72727272727272729</v>
      </c>
      <c r="K306" s="64">
        <v>2959</v>
      </c>
      <c r="M306" s="65"/>
      <c r="N306" s="63">
        <v>2959</v>
      </c>
    </row>
    <row r="307" spans="1:14" x14ac:dyDescent="0.25">
      <c r="A307" s="55" t="s">
        <v>8</v>
      </c>
      <c r="B307" s="55" t="s">
        <v>139</v>
      </c>
      <c r="C307" s="55" t="s">
        <v>21</v>
      </c>
      <c r="D307" s="60">
        <v>0.81818181818181823</v>
      </c>
      <c r="E307" s="55" t="s">
        <v>140</v>
      </c>
      <c r="F307" s="54" t="s">
        <v>268</v>
      </c>
      <c r="G307" s="60">
        <v>0.54193540000000007</v>
      </c>
      <c r="H307" s="60">
        <v>0.60357139999999998</v>
      </c>
      <c r="I307" s="60">
        <v>0.77058819999999995</v>
      </c>
      <c r="K307" s="64">
        <v>3059</v>
      </c>
      <c r="M307" s="62"/>
      <c r="N307" s="63">
        <v>3059</v>
      </c>
    </row>
    <row r="308" spans="1:14" x14ac:dyDescent="0.25">
      <c r="A308" s="55" t="s">
        <v>8</v>
      </c>
      <c r="B308" s="55" t="s">
        <v>139</v>
      </c>
      <c r="C308" s="55" t="s">
        <v>21</v>
      </c>
      <c r="D308" s="60">
        <v>0.81818181818181823</v>
      </c>
      <c r="E308" s="55" t="s">
        <v>141</v>
      </c>
      <c r="F308" s="54" t="s">
        <v>268</v>
      </c>
      <c r="G308" s="60">
        <v>0.83333333333333337</v>
      </c>
      <c r="H308" s="60">
        <v>0.89583333333333337</v>
      </c>
      <c r="I308" s="60">
        <v>0.95588233333333328</v>
      </c>
      <c r="K308" s="64">
        <v>3219</v>
      </c>
      <c r="M308" s="62"/>
      <c r="N308" s="63">
        <v>3219</v>
      </c>
    </row>
    <row r="309" spans="1:14" x14ac:dyDescent="0.25">
      <c r="A309" s="55" t="s">
        <v>8</v>
      </c>
      <c r="B309" s="55" t="s">
        <v>143</v>
      </c>
      <c r="C309" s="55" t="s">
        <v>10</v>
      </c>
      <c r="D309" s="60">
        <v>0.90163934426229508</v>
      </c>
      <c r="E309" s="55" t="s">
        <v>12</v>
      </c>
      <c r="F309" s="54" t="s">
        <v>264</v>
      </c>
      <c r="G309" s="60">
        <v>0.98263026923076935</v>
      </c>
      <c r="H309" s="60">
        <v>0.9629120769230769</v>
      </c>
      <c r="I309" s="60">
        <v>0.96832576923076918</v>
      </c>
      <c r="K309" s="64">
        <v>359</v>
      </c>
      <c r="M309" s="62"/>
      <c r="N309" s="63">
        <v>359</v>
      </c>
    </row>
    <row r="310" spans="1:14" x14ac:dyDescent="0.25">
      <c r="A310" s="55" t="s">
        <v>8</v>
      </c>
      <c r="B310" s="55" t="s">
        <v>143</v>
      </c>
      <c r="C310" s="55" t="s">
        <v>10</v>
      </c>
      <c r="D310" s="60">
        <v>0.90163934426229508</v>
      </c>
      <c r="E310" s="55" t="s">
        <v>11</v>
      </c>
      <c r="F310" s="54" t="s">
        <v>264</v>
      </c>
      <c r="G310" s="60">
        <v>0.91889399999999999</v>
      </c>
      <c r="H310" s="60">
        <v>0.85612242857142862</v>
      </c>
      <c r="I310" s="60">
        <v>0.84369745714285715</v>
      </c>
      <c r="K310" s="64">
        <v>449</v>
      </c>
      <c r="M310" s="62"/>
      <c r="N310" s="63">
        <v>449</v>
      </c>
    </row>
    <row r="311" spans="1:14" x14ac:dyDescent="0.25">
      <c r="A311" s="55" t="s">
        <v>8</v>
      </c>
      <c r="B311" s="55" t="s">
        <v>143</v>
      </c>
      <c r="C311" s="55" t="s">
        <v>13</v>
      </c>
      <c r="D311" s="60">
        <v>1</v>
      </c>
      <c r="E311" s="55" t="s">
        <v>14</v>
      </c>
      <c r="F311" s="54" t="s">
        <v>265</v>
      </c>
      <c r="G311" s="60">
        <v>0.95698916666666667</v>
      </c>
      <c r="H311" s="60">
        <v>1</v>
      </c>
      <c r="I311" s="60">
        <v>0.93137250000000005</v>
      </c>
      <c r="K311" s="64">
        <v>449</v>
      </c>
      <c r="M311" s="65">
        <v>2.5000000000000001E-2</v>
      </c>
      <c r="N311" s="63">
        <v>469</v>
      </c>
    </row>
    <row r="312" spans="1:14" x14ac:dyDescent="0.25">
      <c r="A312" s="55" t="s">
        <v>8</v>
      </c>
      <c r="B312" s="55" t="s">
        <v>143</v>
      </c>
      <c r="C312" s="55" t="s">
        <v>13</v>
      </c>
      <c r="D312" s="60">
        <v>1</v>
      </c>
      <c r="E312" s="55" t="s">
        <v>15</v>
      </c>
      <c r="F312" s="54" t="s">
        <v>265</v>
      </c>
      <c r="G312" s="60">
        <v>0.89516125000000002</v>
      </c>
      <c r="H312" s="60">
        <v>0.84821424999999995</v>
      </c>
      <c r="I312" s="60">
        <v>0.97058800000000001</v>
      </c>
      <c r="K312" s="64">
        <v>349</v>
      </c>
      <c r="M312" s="65">
        <v>2.5000000000000001E-2</v>
      </c>
      <c r="N312" s="63">
        <v>359</v>
      </c>
    </row>
    <row r="313" spans="1:14" x14ac:dyDescent="0.25">
      <c r="A313" s="55" t="s">
        <v>8</v>
      </c>
      <c r="B313" s="55" t="s">
        <v>143</v>
      </c>
      <c r="C313" s="55" t="s">
        <v>16</v>
      </c>
      <c r="D313" s="60">
        <v>0.94117647058823528</v>
      </c>
      <c r="E313" s="55" t="s">
        <v>17</v>
      </c>
      <c r="F313" s="54" t="s">
        <v>266</v>
      </c>
      <c r="G313" s="60">
        <v>0.89976957142857139</v>
      </c>
      <c r="H313" s="60">
        <v>0.97576528571428578</v>
      </c>
      <c r="I313" s="60">
        <v>0.96638653571428568</v>
      </c>
      <c r="K313" s="64">
        <v>5519</v>
      </c>
      <c r="M313" s="62"/>
      <c r="N313" s="63">
        <v>5519</v>
      </c>
    </row>
    <row r="314" spans="1:14" s="66" customFormat="1" x14ac:dyDescent="0.25">
      <c r="A314" s="55" t="s">
        <v>8</v>
      </c>
      <c r="B314" s="55" t="s">
        <v>143</v>
      </c>
      <c r="C314" s="55" t="s">
        <v>16</v>
      </c>
      <c r="D314" s="60">
        <v>0.94117647058823528</v>
      </c>
      <c r="E314" s="55" t="s">
        <v>12</v>
      </c>
      <c r="F314" s="54" t="s">
        <v>266</v>
      </c>
      <c r="G314" s="60">
        <v>0.67741933333333337</v>
      </c>
      <c r="H314" s="60">
        <v>0.98214283333333341</v>
      </c>
      <c r="I314" s="60">
        <v>1</v>
      </c>
      <c r="J314" s="55"/>
      <c r="K314" s="64">
        <v>6059</v>
      </c>
      <c r="L314" s="55"/>
      <c r="M314" s="62"/>
      <c r="N314" s="63">
        <v>6059</v>
      </c>
    </row>
    <row r="315" spans="1:14" x14ac:dyDescent="0.25">
      <c r="A315" s="55" t="s">
        <v>8</v>
      </c>
      <c r="B315" s="55" t="s">
        <v>143</v>
      </c>
      <c r="C315" s="55" t="s">
        <v>18</v>
      </c>
      <c r="D315" s="60">
        <v>0.95238095238095233</v>
      </c>
      <c r="E315" s="55" t="s">
        <v>19</v>
      </c>
      <c r="F315" s="54" t="s">
        <v>267</v>
      </c>
      <c r="G315" s="60">
        <v>0.93225800000000003</v>
      </c>
      <c r="H315" s="60">
        <v>0.98928569999999993</v>
      </c>
      <c r="I315" s="60">
        <v>0.92352939999999994</v>
      </c>
      <c r="K315" s="64">
        <v>8189</v>
      </c>
      <c r="M315" s="62"/>
      <c r="N315" s="63">
        <v>8189</v>
      </c>
    </row>
    <row r="316" spans="1:14" x14ac:dyDescent="0.25">
      <c r="A316" s="55" t="s">
        <v>8</v>
      </c>
      <c r="B316" s="55" t="s">
        <v>143</v>
      </c>
      <c r="C316" s="55" t="s">
        <v>18</v>
      </c>
      <c r="D316" s="60">
        <v>0.95238095238095233</v>
      </c>
      <c r="E316" s="55" t="s">
        <v>20</v>
      </c>
      <c r="F316" s="54" t="s">
        <v>267</v>
      </c>
      <c r="G316" s="60">
        <v>0.58064499999999997</v>
      </c>
      <c r="H316" s="60">
        <v>0.35714200000000002</v>
      </c>
      <c r="I316" s="60">
        <v>1</v>
      </c>
      <c r="K316" s="64">
        <v>9349</v>
      </c>
      <c r="M316" s="62"/>
      <c r="N316" s="63">
        <v>9349</v>
      </c>
    </row>
    <row r="317" spans="1:14" x14ac:dyDescent="0.25">
      <c r="A317" s="55" t="s">
        <v>8</v>
      </c>
      <c r="B317" s="55" t="s">
        <v>143</v>
      </c>
      <c r="C317" s="55" t="s">
        <v>21</v>
      </c>
      <c r="D317" s="60">
        <v>1</v>
      </c>
      <c r="E317" s="55" t="s">
        <v>79</v>
      </c>
      <c r="F317" s="54" t="s">
        <v>268</v>
      </c>
      <c r="G317" s="60">
        <v>0.99462362500000001</v>
      </c>
      <c r="H317" s="60">
        <v>1</v>
      </c>
      <c r="I317" s="60">
        <v>1</v>
      </c>
      <c r="K317" s="64">
        <v>3599</v>
      </c>
      <c r="M317" s="65">
        <v>0.05</v>
      </c>
      <c r="N317" s="63">
        <v>3779</v>
      </c>
    </row>
    <row r="318" spans="1:14" x14ac:dyDescent="0.25">
      <c r="A318" s="55" t="s">
        <v>8</v>
      </c>
      <c r="B318" s="55" t="s">
        <v>144</v>
      </c>
      <c r="C318" s="55" t="s">
        <v>10</v>
      </c>
      <c r="D318" s="60">
        <v>0.76666666666666672</v>
      </c>
      <c r="E318" s="55" t="s">
        <v>11</v>
      </c>
      <c r="F318" s="54" t="s">
        <v>264</v>
      </c>
      <c r="G318" s="60">
        <v>0.85931897222222231</v>
      </c>
      <c r="H318" s="60">
        <v>0.80654761111111106</v>
      </c>
      <c r="I318" s="60">
        <v>0.67973855555555551</v>
      </c>
      <c r="K318" s="64">
        <v>419</v>
      </c>
      <c r="M318" s="62"/>
      <c r="N318" s="63">
        <v>419</v>
      </c>
    </row>
    <row r="319" spans="1:14" x14ac:dyDescent="0.25">
      <c r="A319" s="55" t="s">
        <v>8</v>
      </c>
      <c r="B319" s="55" t="s">
        <v>144</v>
      </c>
      <c r="C319" s="55" t="s">
        <v>10</v>
      </c>
      <c r="D319" s="60">
        <v>0.76666666666666672</v>
      </c>
      <c r="E319" s="55" t="s">
        <v>74</v>
      </c>
      <c r="F319" s="54" t="s">
        <v>264</v>
      </c>
      <c r="G319" s="60">
        <v>0.85483866666666664</v>
      </c>
      <c r="H319" s="60">
        <v>0.78571416666666671</v>
      </c>
      <c r="I319" s="60">
        <v>0.59803916666666668</v>
      </c>
      <c r="K319" s="64">
        <v>419</v>
      </c>
      <c r="M319" s="62"/>
      <c r="N319" s="63">
        <v>419</v>
      </c>
    </row>
    <row r="320" spans="1:14" x14ac:dyDescent="0.25">
      <c r="A320" s="55" t="s">
        <v>8</v>
      </c>
      <c r="B320" s="55" t="s">
        <v>144</v>
      </c>
      <c r="C320" s="55" t="s">
        <v>10</v>
      </c>
      <c r="D320" s="60">
        <v>0.76666666666666672</v>
      </c>
      <c r="E320" s="55" t="s">
        <v>12</v>
      </c>
      <c r="F320" s="54" t="s">
        <v>264</v>
      </c>
      <c r="G320" s="60">
        <v>0.94444444444444442</v>
      </c>
      <c r="H320" s="60">
        <v>0.94047616666666678</v>
      </c>
      <c r="I320" s="60">
        <v>0.94771238888888887</v>
      </c>
      <c r="K320" s="64">
        <v>339</v>
      </c>
      <c r="M320" s="62"/>
      <c r="N320" s="63">
        <v>339</v>
      </c>
    </row>
    <row r="321" spans="1:14" x14ac:dyDescent="0.25">
      <c r="A321" s="55" t="s">
        <v>8</v>
      </c>
      <c r="B321" s="55" t="s">
        <v>144</v>
      </c>
      <c r="C321" s="55" t="s">
        <v>16</v>
      </c>
      <c r="D321" s="60">
        <v>1</v>
      </c>
      <c r="E321" s="55" t="s">
        <v>25</v>
      </c>
      <c r="F321" s="54" t="s">
        <v>266</v>
      </c>
      <c r="G321" s="60">
        <v>0.99596762500000002</v>
      </c>
      <c r="H321" s="60">
        <v>1</v>
      </c>
      <c r="I321" s="60">
        <v>1</v>
      </c>
      <c r="K321" s="64">
        <v>6889</v>
      </c>
      <c r="M321" s="65">
        <v>2.5000000000000001E-2</v>
      </c>
      <c r="N321" s="63">
        <v>7069</v>
      </c>
    </row>
    <row r="322" spans="1:14" x14ac:dyDescent="0.25">
      <c r="A322" s="55" t="s">
        <v>8</v>
      </c>
      <c r="B322" s="55" t="s">
        <v>144</v>
      </c>
      <c r="C322" s="55" t="s">
        <v>16</v>
      </c>
      <c r="D322" s="60">
        <v>1</v>
      </c>
      <c r="E322" s="55" t="s">
        <v>17</v>
      </c>
      <c r="F322" s="54" t="s">
        <v>266</v>
      </c>
      <c r="G322" s="60">
        <v>0.95161278571428565</v>
      </c>
      <c r="H322" s="60">
        <v>0.99744892857142864</v>
      </c>
      <c r="I322" s="60">
        <v>1</v>
      </c>
      <c r="K322" s="64">
        <v>5699</v>
      </c>
      <c r="M322" s="65">
        <v>2.5000000000000001E-2</v>
      </c>
      <c r="N322" s="63">
        <v>5849</v>
      </c>
    </row>
    <row r="323" spans="1:14" x14ac:dyDescent="0.25">
      <c r="A323" s="55" t="s">
        <v>8</v>
      </c>
      <c r="B323" s="55" t="s">
        <v>144</v>
      </c>
      <c r="C323" s="55" t="s">
        <v>16</v>
      </c>
      <c r="D323" s="60">
        <v>1</v>
      </c>
      <c r="E323" s="55" t="s">
        <v>145</v>
      </c>
      <c r="F323" s="54" t="s">
        <v>266</v>
      </c>
      <c r="G323" s="60">
        <v>1</v>
      </c>
      <c r="H323" s="60">
        <v>1</v>
      </c>
      <c r="I323" s="60">
        <v>1</v>
      </c>
      <c r="K323" s="64">
        <v>6989</v>
      </c>
      <c r="M323" s="67">
        <v>2.5000000000000001E-2</v>
      </c>
      <c r="N323" s="63">
        <v>7169</v>
      </c>
    </row>
    <row r="324" spans="1:14" x14ac:dyDescent="0.25">
      <c r="A324" s="55" t="s">
        <v>8</v>
      </c>
      <c r="B324" s="55" t="s">
        <v>144</v>
      </c>
      <c r="C324" s="55" t="s">
        <v>16</v>
      </c>
      <c r="D324" s="60">
        <v>1</v>
      </c>
      <c r="E324" s="55" t="s">
        <v>26</v>
      </c>
      <c r="F324" s="54" t="s">
        <v>266</v>
      </c>
      <c r="G324" s="60">
        <v>0.86290299999999998</v>
      </c>
      <c r="H324" s="60">
        <v>0.95535700000000001</v>
      </c>
      <c r="I324" s="60">
        <v>1</v>
      </c>
      <c r="K324" s="64">
        <v>5689</v>
      </c>
      <c r="M324" s="67">
        <v>2.5000000000000001E-2</v>
      </c>
      <c r="N324" s="63">
        <v>5839</v>
      </c>
    </row>
    <row r="325" spans="1:14" x14ac:dyDescent="0.25">
      <c r="A325" s="55" t="s">
        <v>8</v>
      </c>
      <c r="B325" s="55" t="s">
        <v>144</v>
      </c>
      <c r="C325" s="55" t="s">
        <v>18</v>
      </c>
      <c r="D325" s="60">
        <v>1</v>
      </c>
      <c r="E325" s="55" t="s">
        <v>33</v>
      </c>
      <c r="F325" s="54" t="s">
        <v>267</v>
      </c>
      <c r="G325" s="60">
        <v>0.97311825000000007</v>
      </c>
      <c r="H325" s="60">
        <v>0.98511899999999997</v>
      </c>
      <c r="I325" s="60">
        <v>1</v>
      </c>
      <c r="K325" s="64">
        <v>7699</v>
      </c>
      <c r="M325" s="65">
        <v>2.5000000000000001E-2</v>
      </c>
      <c r="N325" s="63">
        <v>7899</v>
      </c>
    </row>
    <row r="326" spans="1:14" x14ac:dyDescent="0.25">
      <c r="A326" s="55" t="s">
        <v>8</v>
      </c>
      <c r="B326" s="55" t="s">
        <v>144</v>
      </c>
      <c r="C326" s="55" t="s">
        <v>18</v>
      </c>
      <c r="D326" s="60">
        <v>1</v>
      </c>
      <c r="E326" s="55" t="s">
        <v>83</v>
      </c>
      <c r="F326" s="54" t="s">
        <v>267</v>
      </c>
      <c r="G326" s="60">
        <v>1</v>
      </c>
      <c r="H326" s="60">
        <v>1</v>
      </c>
      <c r="I326" s="60">
        <v>1</v>
      </c>
      <c r="K326" s="64">
        <v>8669</v>
      </c>
      <c r="M326" s="62"/>
      <c r="N326" s="63">
        <v>8669</v>
      </c>
    </row>
    <row r="327" spans="1:14" x14ac:dyDescent="0.25">
      <c r="A327" s="55" t="s">
        <v>8</v>
      </c>
      <c r="B327" s="55" t="s">
        <v>146</v>
      </c>
      <c r="C327" s="55" t="s">
        <v>10</v>
      </c>
      <c r="D327" s="60">
        <v>0.90243902439024393</v>
      </c>
      <c r="E327" s="55" t="s">
        <v>11</v>
      </c>
      <c r="F327" s="54" t="s">
        <v>264</v>
      </c>
      <c r="G327" s="60">
        <v>0.71827953333333339</v>
      </c>
      <c r="H327" s="60">
        <v>0.8785714</v>
      </c>
      <c r="I327" s="60">
        <v>0.83137253333333327</v>
      </c>
      <c r="K327" s="64">
        <v>399</v>
      </c>
      <c r="M327" s="62"/>
      <c r="N327" s="63">
        <v>399</v>
      </c>
    </row>
    <row r="328" spans="1:14" x14ac:dyDescent="0.25">
      <c r="A328" s="55" t="s">
        <v>8</v>
      </c>
      <c r="B328" s="55" t="s">
        <v>146</v>
      </c>
      <c r="C328" s="55" t="s">
        <v>13</v>
      </c>
      <c r="D328" s="60">
        <v>1</v>
      </c>
      <c r="E328" s="55" t="s">
        <v>15</v>
      </c>
      <c r="F328" s="54" t="s">
        <v>265</v>
      </c>
      <c r="G328" s="60">
        <v>0.94913150000000002</v>
      </c>
      <c r="H328" s="60">
        <v>0.9931318461538462</v>
      </c>
      <c r="I328" s="60">
        <v>0.97737553846153857</v>
      </c>
      <c r="K328" s="64">
        <v>369</v>
      </c>
      <c r="M328" s="62"/>
      <c r="N328" s="63">
        <v>369</v>
      </c>
    </row>
    <row r="329" spans="1:14" x14ac:dyDescent="0.25">
      <c r="A329" s="55" t="s">
        <v>8</v>
      </c>
      <c r="B329" s="55" t="s">
        <v>146</v>
      </c>
      <c r="C329" s="55" t="s">
        <v>13</v>
      </c>
      <c r="D329" s="60">
        <v>1</v>
      </c>
      <c r="E329" s="55" t="s">
        <v>14</v>
      </c>
      <c r="F329" s="54" t="s">
        <v>265</v>
      </c>
      <c r="G329" s="60">
        <v>1</v>
      </c>
      <c r="H329" s="60">
        <v>1</v>
      </c>
      <c r="I329" s="60">
        <v>1</v>
      </c>
      <c r="K329" s="64">
        <v>439</v>
      </c>
      <c r="M329" s="62"/>
      <c r="N329" s="63">
        <v>439</v>
      </c>
    </row>
    <row r="330" spans="1:14" x14ac:dyDescent="0.25">
      <c r="A330" s="55" t="s">
        <v>8</v>
      </c>
      <c r="B330" s="55" t="s">
        <v>146</v>
      </c>
      <c r="C330" s="55" t="s">
        <v>10</v>
      </c>
      <c r="D330" s="60">
        <v>0.90243902439024393</v>
      </c>
      <c r="E330" s="55" t="s">
        <v>12</v>
      </c>
      <c r="F330" s="54" t="s">
        <v>264</v>
      </c>
      <c r="G330" s="60">
        <v>0.99131511538461536</v>
      </c>
      <c r="H330" s="60">
        <v>0.97802196153846155</v>
      </c>
      <c r="I330" s="60">
        <v>0.96153846153846156</v>
      </c>
      <c r="K330" s="64">
        <v>349</v>
      </c>
      <c r="M330" s="62"/>
      <c r="N330" s="63">
        <v>349</v>
      </c>
    </row>
    <row r="331" spans="1:14" x14ac:dyDescent="0.25">
      <c r="A331" s="55" t="s">
        <v>8</v>
      </c>
      <c r="B331" s="55" t="s">
        <v>151</v>
      </c>
      <c r="C331" s="55" t="s">
        <v>10</v>
      </c>
      <c r="D331" s="60">
        <v>0.83823529411764708</v>
      </c>
      <c r="E331" s="55" t="s">
        <v>11</v>
      </c>
      <c r="F331" s="54" t="s">
        <v>264</v>
      </c>
      <c r="G331" s="60">
        <v>0.68114142307692305</v>
      </c>
      <c r="H331" s="60">
        <v>0.75</v>
      </c>
      <c r="I331" s="60">
        <v>0.76470584615384618</v>
      </c>
      <c r="K331" s="64">
        <v>339</v>
      </c>
      <c r="M331" s="62"/>
      <c r="N331" s="63">
        <v>339</v>
      </c>
    </row>
    <row r="332" spans="1:14" x14ac:dyDescent="0.25">
      <c r="A332" s="55" t="s">
        <v>8</v>
      </c>
      <c r="B332" s="55" t="s">
        <v>151</v>
      </c>
      <c r="C332" s="55" t="s">
        <v>10</v>
      </c>
      <c r="D332" s="60">
        <v>0.83823529411764708</v>
      </c>
      <c r="E332" s="55" t="s">
        <v>12</v>
      </c>
      <c r="F332" s="54" t="s">
        <v>264</v>
      </c>
      <c r="G332" s="60">
        <v>0.82642088095238098</v>
      </c>
      <c r="H332" s="60">
        <v>0.875</v>
      </c>
      <c r="I332" s="60">
        <v>0.81372547619047619</v>
      </c>
      <c r="K332" s="64">
        <v>289</v>
      </c>
      <c r="M332" s="62"/>
      <c r="N332" s="63">
        <v>289</v>
      </c>
    </row>
    <row r="333" spans="1:14" x14ac:dyDescent="0.25">
      <c r="A333" s="55" t="s">
        <v>8</v>
      </c>
      <c r="B333" s="55" t="s">
        <v>151</v>
      </c>
      <c r="C333" s="55" t="s">
        <v>18</v>
      </c>
      <c r="D333" s="60">
        <v>0.90909090909090906</v>
      </c>
      <c r="E333" s="55" t="s">
        <v>14</v>
      </c>
      <c r="F333" s="54" t="s">
        <v>267</v>
      </c>
      <c r="G333" s="60">
        <v>0.89964155555555558</v>
      </c>
      <c r="H333" s="60">
        <v>1</v>
      </c>
      <c r="I333" s="60">
        <v>0.95424833333333325</v>
      </c>
      <c r="K333" s="64">
        <v>8679</v>
      </c>
      <c r="M333" s="62"/>
      <c r="N333" s="63">
        <v>8679</v>
      </c>
    </row>
    <row r="334" spans="1:14" x14ac:dyDescent="0.25">
      <c r="A334" s="55" t="s">
        <v>8</v>
      </c>
      <c r="B334" s="55" t="s">
        <v>151</v>
      </c>
      <c r="C334" s="55" t="s">
        <v>18</v>
      </c>
      <c r="D334" s="60">
        <v>0.90909090909090906</v>
      </c>
      <c r="E334" s="55" t="s">
        <v>15</v>
      </c>
      <c r="F334" s="54" t="s">
        <v>267</v>
      </c>
      <c r="G334" s="60">
        <v>1</v>
      </c>
      <c r="H334" s="60">
        <v>1</v>
      </c>
      <c r="I334" s="60">
        <v>1</v>
      </c>
      <c r="K334" s="64">
        <v>9759</v>
      </c>
      <c r="M334" s="65"/>
      <c r="N334" s="63">
        <v>9759</v>
      </c>
    </row>
    <row r="335" spans="1:14" x14ac:dyDescent="0.25">
      <c r="A335" s="55" t="s">
        <v>8</v>
      </c>
      <c r="B335" s="55" t="s">
        <v>151</v>
      </c>
      <c r="C335" s="55" t="s">
        <v>16</v>
      </c>
      <c r="D335" s="60">
        <v>1</v>
      </c>
      <c r="E335" s="55" t="s">
        <v>17</v>
      </c>
      <c r="F335" s="54" t="s">
        <v>266</v>
      </c>
      <c r="G335" s="60">
        <v>0.9050178333333333</v>
      </c>
      <c r="H335" s="60">
        <v>0.95634911111111109</v>
      </c>
      <c r="I335" s="60">
        <v>1</v>
      </c>
      <c r="K335" s="64">
        <v>5454.5555555555557</v>
      </c>
      <c r="M335" s="62"/>
      <c r="N335" s="63">
        <v>5459</v>
      </c>
    </row>
    <row r="336" spans="1:14" x14ac:dyDescent="0.25">
      <c r="A336" s="55" t="s">
        <v>8</v>
      </c>
      <c r="B336" s="55" t="s">
        <v>151</v>
      </c>
      <c r="C336" s="55" t="s">
        <v>16</v>
      </c>
      <c r="D336" s="60">
        <v>1</v>
      </c>
      <c r="E336" s="55" t="s">
        <v>12</v>
      </c>
      <c r="F336" s="54" t="s">
        <v>266</v>
      </c>
      <c r="G336" s="60">
        <v>1</v>
      </c>
      <c r="H336" s="60">
        <v>1</v>
      </c>
      <c r="I336" s="60">
        <v>1</v>
      </c>
      <c r="K336" s="64">
        <v>5999</v>
      </c>
      <c r="M336" s="62"/>
      <c r="N336" s="63">
        <v>5999</v>
      </c>
    </row>
    <row r="337" spans="1:14" x14ac:dyDescent="0.25">
      <c r="A337" s="55" t="s">
        <v>8</v>
      </c>
      <c r="B337" s="55" t="s">
        <v>190</v>
      </c>
      <c r="C337" s="55" t="s">
        <v>10</v>
      </c>
      <c r="D337" s="60">
        <v>0.87037037037037035</v>
      </c>
      <c r="E337" s="55" t="s">
        <v>11</v>
      </c>
      <c r="F337" s="54" t="s">
        <v>264</v>
      </c>
      <c r="G337" s="60">
        <v>0.88563045454545453</v>
      </c>
      <c r="H337" s="60">
        <v>0.95779218181818182</v>
      </c>
      <c r="I337" s="60">
        <v>0.92513363636363632</v>
      </c>
      <c r="K337" s="64">
        <v>349</v>
      </c>
      <c r="M337" s="62"/>
      <c r="N337" s="63">
        <v>349</v>
      </c>
    </row>
    <row r="338" spans="1:14" x14ac:dyDescent="0.25">
      <c r="A338" s="55" t="s">
        <v>8</v>
      </c>
      <c r="B338" s="55" t="s">
        <v>190</v>
      </c>
      <c r="C338" s="55" t="s">
        <v>10</v>
      </c>
      <c r="D338" s="60">
        <v>0.87037037037037035</v>
      </c>
      <c r="E338" s="55" t="s">
        <v>12</v>
      </c>
      <c r="F338" s="54" t="s">
        <v>264</v>
      </c>
      <c r="G338" s="60">
        <v>0.91935481249999995</v>
      </c>
      <c r="H338" s="60">
        <v>0.89620534375000005</v>
      </c>
      <c r="I338" s="60">
        <v>0.85110293749999999</v>
      </c>
      <c r="K338" s="64">
        <v>319</v>
      </c>
      <c r="M338" s="62"/>
      <c r="N338" s="63">
        <v>319</v>
      </c>
    </row>
    <row r="339" spans="1:14" x14ac:dyDescent="0.25">
      <c r="A339" s="55" t="s">
        <v>8</v>
      </c>
      <c r="B339" s="55" t="s">
        <v>190</v>
      </c>
      <c r="C339" s="55" t="s">
        <v>13</v>
      </c>
      <c r="D339" s="60">
        <v>1</v>
      </c>
      <c r="E339" s="55" t="s">
        <v>191</v>
      </c>
      <c r="F339" s="54" t="s">
        <v>265</v>
      </c>
      <c r="G339" s="60">
        <v>0.91532250000000004</v>
      </c>
      <c r="H339" s="60">
        <v>0.91964274999999995</v>
      </c>
      <c r="I339" s="60">
        <v>0.96323524999999999</v>
      </c>
      <c r="K339" s="64">
        <v>369</v>
      </c>
      <c r="M339" s="62"/>
      <c r="N339" s="63">
        <v>369</v>
      </c>
    </row>
    <row r="340" spans="1:14" x14ac:dyDescent="0.25">
      <c r="A340" s="55" t="s">
        <v>8</v>
      </c>
      <c r="B340" s="55" t="s">
        <v>190</v>
      </c>
      <c r="C340" s="55" t="s">
        <v>13</v>
      </c>
      <c r="D340" s="60">
        <v>1</v>
      </c>
      <c r="E340" s="55" t="s">
        <v>83</v>
      </c>
      <c r="F340" s="54" t="s">
        <v>265</v>
      </c>
      <c r="G340" s="60">
        <v>0.95161275000000001</v>
      </c>
      <c r="H340" s="60">
        <v>1</v>
      </c>
      <c r="I340" s="60">
        <v>1</v>
      </c>
      <c r="K340" s="64">
        <v>319</v>
      </c>
      <c r="M340" s="62"/>
      <c r="N340" s="63">
        <v>319</v>
      </c>
    </row>
    <row r="341" spans="1:14" x14ac:dyDescent="0.25">
      <c r="A341" s="55" t="s">
        <v>8</v>
      </c>
      <c r="B341" s="55" t="s">
        <v>190</v>
      </c>
      <c r="C341" s="55" t="s">
        <v>10</v>
      </c>
      <c r="D341" s="60">
        <v>0.87037037037037035</v>
      </c>
      <c r="E341" s="55" t="s">
        <v>51</v>
      </c>
      <c r="F341" s="54" t="s">
        <v>264</v>
      </c>
      <c r="G341" s="60">
        <v>0.90615827272727278</v>
      </c>
      <c r="H341" s="60">
        <v>0.87987009090909085</v>
      </c>
      <c r="I341" s="60">
        <v>0.89839563636363629</v>
      </c>
      <c r="K341" s="64">
        <v>549</v>
      </c>
      <c r="M341" s="62"/>
      <c r="N341" s="63">
        <v>549</v>
      </c>
    </row>
    <row r="342" spans="1:14" x14ac:dyDescent="0.25">
      <c r="A342" s="55" t="s">
        <v>8</v>
      </c>
      <c r="B342" s="55" t="s">
        <v>190</v>
      </c>
      <c r="C342" s="55" t="s">
        <v>16</v>
      </c>
      <c r="D342" s="60">
        <v>0.96969696969696972</v>
      </c>
      <c r="E342" s="55" t="s">
        <v>17</v>
      </c>
      <c r="F342" s="54" t="s">
        <v>266</v>
      </c>
      <c r="G342" s="60">
        <v>0.80791786363636364</v>
      </c>
      <c r="H342" s="60">
        <v>0.85714281818181814</v>
      </c>
      <c r="I342" s="60">
        <v>0.93315504545454542</v>
      </c>
      <c r="K342" s="64">
        <v>6916.727272727273</v>
      </c>
      <c r="M342" s="62"/>
      <c r="N342" s="63">
        <v>6919</v>
      </c>
    </row>
    <row r="343" spans="1:14" x14ac:dyDescent="0.25">
      <c r="A343" s="55" t="s">
        <v>8</v>
      </c>
      <c r="B343" s="55" t="s">
        <v>190</v>
      </c>
      <c r="C343" s="55" t="s">
        <v>16</v>
      </c>
      <c r="D343" s="60">
        <v>0.96969696969696972</v>
      </c>
      <c r="E343" s="55" t="s">
        <v>44</v>
      </c>
      <c r="F343" s="54" t="s">
        <v>266</v>
      </c>
      <c r="G343" s="60">
        <v>1</v>
      </c>
      <c r="H343" s="60">
        <v>1</v>
      </c>
      <c r="I343" s="60">
        <v>1</v>
      </c>
      <c r="K343" s="64">
        <v>7729</v>
      </c>
      <c r="M343" s="62"/>
      <c r="N343" s="63">
        <v>7729</v>
      </c>
    </row>
    <row r="344" spans="1:14" x14ac:dyDescent="0.25">
      <c r="A344" s="55" t="s">
        <v>8</v>
      </c>
      <c r="B344" s="55" t="s">
        <v>190</v>
      </c>
      <c r="C344" s="55" t="s">
        <v>16</v>
      </c>
      <c r="D344" s="60">
        <v>0.96969696969696972</v>
      </c>
      <c r="E344" s="55" t="s">
        <v>29</v>
      </c>
      <c r="F344" s="54" t="s">
        <v>266</v>
      </c>
      <c r="G344" s="60">
        <v>1</v>
      </c>
      <c r="H344" s="60">
        <v>0.83035700000000001</v>
      </c>
      <c r="I344" s="60">
        <v>0.985294</v>
      </c>
      <c r="K344" s="64">
        <v>8096.5</v>
      </c>
      <c r="M344" s="62"/>
      <c r="N344" s="63">
        <v>8099</v>
      </c>
    </row>
    <row r="345" spans="1:14" x14ac:dyDescent="0.25">
      <c r="A345" s="55" t="s">
        <v>8</v>
      </c>
      <c r="B345" s="55" t="s">
        <v>190</v>
      </c>
      <c r="C345" s="55" t="s">
        <v>16</v>
      </c>
      <c r="D345" s="60">
        <v>0.96969696969696972</v>
      </c>
      <c r="E345" s="55" t="s">
        <v>12</v>
      </c>
      <c r="F345" s="54" t="s">
        <v>266</v>
      </c>
      <c r="G345" s="60">
        <v>1</v>
      </c>
      <c r="H345" s="60">
        <v>1</v>
      </c>
      <c r="I345" s="60">
        <v>1</v>
      </c>
      <c r="K345" s="64">
        <v>7539</v>
      </c>
      <c r="M345" s="62"/>
      <c r="N345" s="63">
        <v>7539</v>
      </c>
    </row>
    <row r="346" spans="1:14" x14ac:dyDescent="0.25">
      <c r="A346" s="55" t="s">
        <v>8</v>
      </c>
      <c r="B346" s="55" t="s">
        <v>190</v>
      </c>
      <c r="C346" s="55" t="s">
        <v>18</v>
      </c>
      <c r="D346" s="60">
        <v>0.96551724137931039</v>
      </c>
      <c r="E346" s="55" t="s">
        <v>32</v>
      </c>
      <c r="F346" s="54" t="s">
        <v>267</v>
      </c>
      <c r="G346" s="60">
        <v>0.98877973913043482</v>
      </c>
      <c r="H346" s="60">
        <v>0.98136643478260877</v>
      </c>
      <c r="I346" s="60">
        <v>0.95140660869565219</v>
      </c>
      <c r="K346" s="64">
        <v>7730.304347826087</v>
      </c>
      <c r="M346" s="62"/>
      <c r="N346" s="63">
        <v>7739</v>
      </c>
    </row>
    <row r="347" spans="1:14" x14ac:dyDescent="0.25">
      <c r="A347" s="55" t="s">
        <v>8</v>
      </c>
      <c r="B347" s="55" t="s">
        <v>190</v>
      </c>
      <c r="C347" s="55" t="s">
        <v>18</v>
      </c>
      <c r="D347" s="60">
        <v>0.96551724137931039</v>
      </c>
      <c r="E347" s="55" t="s">
        <v>45</v>
      </c>
      <c r="F347" s="54" t="s">
        <v>267</v>
      </c>
      <c r="G347" s="60">
        <v>0.95698900000000009</v>
      </c>
      <c r="H347" s="60">
        <v>0.98809516666666664</v>
      </c>
      <c r="I347" s="60">
        <v>0.98039200000000004</v>
      </c>
      <c r="K347" s="64">
        <v>8024</v>
      </c>
      <c r="M347" s="62"/>
      <c r="N347" s="63">
        <v>8029</v>
      </c>
    </row>
    <row r="348" spans="1:14" x14ac:dyDescent="0.25">
      <c r="A348" s="55" t="s">
        <v>8</v>
      </c>
      <c r="B348" s="55" t="s">
        <v>190</v>
      </c>
      <c r="C348" s="55" t="s">
        <v>21</v>
      </c>
      <c r="D348" s="60">
        <v>0.96666666666666667</v>
      </c>
      <c r="E348" s="55" t="s">
        <v>192</v>
      </c>
      <c r="F348" s="54" t="s">
        <v>268</v>
      </c>
      <c r="G348" s="60">
        <v>0.96666666666666667</v>
      </c>
      <c r="H348" s="60">
        <v>0.97857139999999998</v>
      </c>
      <c r="I348" s="60">
        <v>0.96666666666666667</v>
      </c>
      <c r="K348" s="64">
        <v>3402.3333333333335</v>
      </c>
      <c r="M348" s="65">
        <v>0.05</v>
      </c>
      <c r="N348" s="63">
        <v>3579</v>
      </c>
    </row>
    <row r="349" spans="1:14" x14ac:dyDescent="0.25">
      <c r="A349" s="55" t="s">
        <v>8</v>
      </c>
      <c r="B349" s="55" t="s">
        <v>201</v>
      </c>
      <c r="C349" s="55" t="s">
        <v>10</v>
      </c>
      <c r="D349" s="60">
        <v>1</v>
      </c>
      <c r="E349" s="55" t="s">
        <v>11</v>
      </c>
      <c r="F349" s="54" t="s">
        <v>264</v>
      </c>
      <c r="G349" s="60">
        <v>0.98310290476190487</v>
      </c>
      <c r="H349" s="60">
        <v>0.97278909523809531</v>
      </c>
      <c r="I349" s="60">
        <v>0.9859943809523809</v>
      </c>
      <c r="K349" s="64">
        <v>359</v>
      </c>
      <c r="M349" s="65">
        <v>2.5000000000000001E-2</v>
      </c>
      <c r="N349" s="63">
        <v>369</v>
      </c>
    </row>
    <row r="350" spans="1:14" x14ac:dyDescent="0.25">
      <c r="A350" s="55" t="s">
        <v>8</v>
      </c>
      <c r="B350" s="55" t="s">
        <v>201</v>
      </c>
      <c r="C350" s="55" t="s">
        <v>10</v>
      </c>
      <c r="D350" s="60">
        <v>1</v>
      </c>
      <c r="E350" s="55" t="s">
        <v>12</v>
      </c>
      <c r="F350" s="54" t="s">
        <v>264</v>
      </c>
      <c r="G350" s="60">
        <v>0.99596770833333326</v>
      </c>
      <c r="H350" s="60">
        <v>0.99404758333333332</v>
      </c>
      <c r="I350" s="60">
        <v>1</v>
      </c>
      <c r="K350" s="64">
        <v>309</v>
      </c>
      <c r="M350" s="65">
        <v>2.5000000000000001E-2</v>
      </c>
      <c r="N350" s="63">
        <v>319</v>
      </c>
    </row>
    <row r="351" spans="1:14" x14ac:dyDescent="0.25">
      <c r="A351" s="55" t="s">
        <v>8</v>
      </c>
      <c r="B351" s="55" t="s">
        <v>201</v>
      </c>
      <c r="C351" s="55" t="s">
        <v>10</v>
      </c>
      <c r="D351" s="60">
        <v>1</v>
      </c>
      <c r="E351" s="55" t="s">
        <v>50</v>
      </c>
      <c r="F351" s="54" t="s">
        <v>264</v>
      </c>
      <c r="G351" s="60">
        <v>1</v>
      </c>
      <c r="H351" s="60">
        <v>1</v>
      </c>
      <c r="I351" s="60">
        <v>1</v>
      </c>
      <c r="K351" s="64">
        <v>439</v>
      </c>
      <c r="M351" s="65">
        <v>2.5000000000000001E-2</v>
      </c>
      <c r="N351" s="63">
        <v>449</v>
      </c>
    </row>
    <row r="352" spans="1:14" x14ac:dyDescent="0.25">
      <c r="A352" s="55" t="s">
        <v>8</v>
      </c>
      <c r="B352" s="55" t="s">
        <v>201</v>
      </c>
      <c r="C352" s="55" t="s">
        <v>10</v>
      </c>
      <c r="D352" s="60">
        <v>1</v>
      </c>
      <c r="E352" s="55" t="s">
        <v>51</v>
      </c>
      <c r="F352" s="54" t="s">
        <v>264</v>
      </c>
      <c r="G352" s="60">
        <v>0.93778800000000007</v>
      </c>
      <c r="H352" s="60">
        <v>0.95408157142857142</v>
      </c>
      <c r="I352" s="60">
        <v>0.9285714285714286</v>
      </c>
      <c r="K352" s="64">
        <v>539</v>
      </c>
      <c r="M352" s="65">
        <v>2.5000000000000001E-2</v>
      </c>
      <c r="N352" s="63">
        <v>559</v>
      </c>
    </row>
    <row r="353" spans="1:14" x14ac:dyDescent="0.25">
      <c r="A353" s="55" t="s">
        <v>8</v>
      </c>
      <c r="B353" s="55" t="s">
        <v>201</v>
      </c>
      <c r="C353" s="55" t="s">
        <v>16</v>
      </c>
      <c r="D353" s="60">
        <v>0.94117647058823528</v>
      </c>
      <c r="E353" s="55" t="s">
        <v>17</v>
      </c>
      <c r="F353" s="54" t="s">
        <v>266</v>
      </c>
      <c r="G353" s="60">
        <v>0.95221025925925928</v>
      </c>
      <c r="H353" s="60">
        <v>0.95899470370370365</v>
      </c>
      <c r="I353" s="60">
        <v>0.93681914814814815</v>
      </c>
      <c r="K353" s="64">
        <v>4839</v>
      </c>
      <c r="M353" s="62"/>
      <c r="N353" s="63">
        <v>4839</v>
      </c>
    </row>
    <row r="354" spans="1:14" x14ac:dyDescent="0.25">
      <c r="A354" s="55" t="s">
        <v>8</v>
      </c>
      <c r="B354" s="55" t="s">
        <v>201</v>
      </c>
      <c r="C354" s="55" t="s">
        <v>16</v>
      </c>
      <c r="D354" s="60">
        <v>0.94117647058823528</v>
      </c>
      <c r="E354" s="55" t="s">
        <v>12</v>
      </c>
      <c r="F354" s="54" t="s">
        <v>266</v>
      </c>
      <c r="G354" s="60">
        <v>1</v>
      </c>
      <c r="H354" s="60">
        <v>1</v>
      </c>
      <c r="I354" s="60">
        <v>1</v>
      </c>
      <c r="K354" s="64">
        <v>6609</v>
      </c>
      <c r="M354" s="65">
        <v>2.5000000000000001E-2</v>
      </c>
      <c r="N354" s="63">
        <v>6779</v>
      </c>
    </row>
    <row r="355" spans="1:14" x14ac:dyDescent="0.25">
      <c r="A355" s="55" t="s">
        <v>8</v>
      </c>
      <c r="B355" s="55" t="s">
        <v>201</v>
      </c>
      <c r="C355" s="55" t="s">
        <v>18</v>
      </c>
      <c r="D355" s="60">
        <v>0.93103448275862066</v>
      </c>
      <c r="E355" s="55" t="s">
        <v>19</v>
      </c>
      <c r="F355" s="54" t="s">
        <v>267</v>
      </c>
      <c r="G355" s="60">
        <v>0.94665011538461541</v>
      </c>
      <c r="H355" s="60">
        <v>0.9766483461538461</v>
      </c>
      <c r="I355" s="60">
        <v>0.97737553846153857</v>
      </c>
      <c r="K355" s="64">
        <v>7319</v>
      </c>
      <c r="M355" s="62">
        <v>0.05</v>
      </c>
      <c r="N355" s="63">
        <v>7689</v>
      </c>
    </row>
    <row r="356" spans="1:14" x14ac:dyDescent="0.25">
      <c r="A356" s="55" t="s">
        <v>8</v>
      </c>
      <c r="B356" s="55" t="s">
        <v>201</v>
      </c>
      <c r="C356" s="55" t="s">
        <v>18</v>
      </c>
      <c r="D356" s="60">
        <v>0.93103448275862066</v>
      </c>
      <c r="E356" s="55" t="s">
        <v>20</v>
      </c>
      <c r="F356" s="54" t="s">
        <v>267</v>
      </c>
      <c r="G356" s="60">
        <v>0.66666666666666663</v>
      </c>
      <c r="H356" s="60">
        <v>0.66666666666666663</v>
      </c>
      <c r="I356" s="60">
        <v>0.98039200000000004</v>
      </c>
      <c r="K356" s="64">
        <v>7889</v>
      </c>
      <c r="M356" s="62"/>
      <c r="N356" s="63">
        <v>7889</v>
      </c>
    </row>
    <row r="357" spans="1:14" x14ac:dyDescent="0.25">
      <c r="A357" s="55" t="s">
        <v>8</v>
      </c>
      <c r="B357" s="55" t="s">
        <v>245</v>
      </c>
      <c r="C357" s="55" t="s">
        <v>10</v>
      </c>
      <c r="D357" s="60">
        <v>0.80281690140845074</v>
      </c>
      <c r="E357" s="55" t="s">
        <v>12</v>
      </c>
      <c r="F357" s="54" t="s">
        <v>264</v>
      </c>
      <c r="G357" s="60">
        <v>0.83259175862068968</v>
      </c>
      <c r="H357" s="60">
        <v>0.85160098275862073</v>
      </c>
      <c r="I357" s="60">
        <v>0.83164300000000002</v>
      </c>
      <c r="K357" s="64">
        <v>329</v>
      </c>
      <c r="M357" s="62"/>
      <c r="N357" s="63">
        <v>329</v>
      </c>
    </row>
    <row r="358" spans="1:14" x14ac:dyDescent="0.25">
      <c r="A358" s="55" t="s">
        <v>8</v>
      </c>
      <c r="B358" s="55" t="s">
        <v>245</v>
      </c>
      <c r="C358" s="55" t="s">
        <v>10</v>
      </c>
      <c r="D358" s="60">
        <v>0.80281690140845074</v>
      </c>
      <c r="E358" s="55" t="s">
        <v>11</v>
      </c>
      <c r="F358" s="54" t="s">
        <v>264</v>
      </c>
      <c r="G358" s="60">
        <v>0.84863523076923086</v>
      </c>
      <c r="H358" s="60">
        <v>0.85164830769230759</v>
      </c>
      <c r="I358" s="60">
        <v>0.83710399999999996</v>
      </c>
      <c r="K358" s="64">
        <v>469</v>
      </c>
      <c r="M358" s="62"/>
      <c r="N358" s="63">
        <v>469</v>
      </c>
    </row>
    <row r="359" spans="1:14" x14ac:dyDescent="0.25">
      <c r="A359" s="55" t="s">
        <v>8</v>
      </c>
      <c r="B359" s="55" t="s">
        <v>245</v>
      </c>
      <c r="C359" s="55" t="s">
        <v>16</v>
      </c>
      <c r="D359" s="60">
        <v>0.88888888888888884</v>
      </c>
      <c r="E359" s="55" t="s">
        <v>108</v>
      </c>
      <c r="F359" s="54" t="s">
        <v>266</v>
      </c>
      <c r="G359" s="60">
        <v>1.0625</v>
      </c>
      <c r="H359" s="60">
        <v>1.0625</v>
      </c>
      <c r="I359" s="60">
        <v>1.0625</v>
      </c>
      <c r="K359" s="64">
        <v>6499</v>
      </c>
      <c r="M359" s="65">
        <v>0.05</v>
      </c>
      <c r="N359" s="63">
        <v>6829</v>
      </c>
    </row>
    <row r="360" spans="1:14" x14ac:dyDescent="0.25">
      <c r="A360" s="55" t="s">
        <v>8</v>
      </c>
      <c r="B360" s="55" t="s">
        <v>245</v>
      </c>
      <c r="C360" s="55" t="s">
        <v>16</v>
      </c>
      <c r="D360" s="60">
        <v>0.88888888888888884</v>
      </c>
      <c r="E360" s="55" t="s">
        <v>17</v>
      </c>
      <c r="F360" s="54" t="s">
        <v>266</v>
      </c>
      <c r="G360" s="60">
        <v>0.81474651428571432</v>
      </c>
      <c r="H360" s="60">
        <v>0.81734691428571427</v>
      </c>
      <c r="I360" s="60">
        <v>0.81848737142857142</v>
      </c>
      <c r="K360" s="64">
        <v>4504.7142857142853</v>
      </c>
      <c r="M360" s="62"/>
      <c r="N360" s="63">
        <v>4509</v>
      </c>
    </row>
    <row r="361" spans="1:14" x14ac:dyDescent="0.25">
      <c r="A361" s="55" t="s">
        <v>8</v>
      </c>
      <c r="B361" s="55" t="s">
        <v>245</v>
      </c>
      <c r="C361" s="55" t="s">
        <v>16</v>
      </c>
      <c r="D361" s="60">
        <v>0.88888888888888884</v>
      </c>
      <c r="E361" s="55" t="s">
        <v>12</v>
      </c>
      <c r="F361" s="54" t="s">
        <v>266</v>
      </c>
      <c r="G361" s="60">
        <v>0.6</v>
      </c>
      <c r="H361" s="60">
        <v>0.6</v>
      </c>
      <c r="I361" s="60">
        <v>0.6</v>
      </c>
      <c r="K361" s="64">
        <v>4639</v>
      </c>
      <c r="M361" s="65">
        <v>-0.05</v>
      </c>
      <c r="N361" s="63">
        <v>4409</v>
      </c>
    </row>
    <row r="362" spans="1:14" x14ac:dyDescent="0.25">
      <c r="A362" s="55" t="s">
        <v>8</v>
      </c>
      <c r="B362" s="55" t="s">
        <v>245</v>
      </c>
      <c r="C362" s="55" t="s">
        <v>16</v>
      </c>
      <c r="D362" s="60">
        <v>0.88888888888888884</v>
      </c>
      <c r="E362" s="55" t="s">
        <v>82</v>
      </c>
      <c r="F362" s="54" t="s">
        <v>266</v>
      </c>
      <c r="G362" s="60">
        <v>0.99078328571428564</v>
      </c>
      <c r="H362" s="60">
        <v>0.87755100000000008</v>
      </c>
      <c r="I362" s="60">
        <v>1</v>
      </c>
      <c r="K362" s="64">
        <v>6399</v>
      </c>
      <c r="M362" s="62"/>
      <c r="N362" s="63">
        <v>6399</v>
      </c>
    </row>
    <row r="363" spans="1:14" x14ac:dyDescent="0.25">
      <c r="A363" s="55" t="s">
        <v>92</v>
      </c>
      <c r="B363" s="55" t="s">
        <v>93</v>
      </c>
      <c r="C363" s="55" t="s">
        <v>10</v>
      </c>
      <c r="D363" s="60">
        <v>1</v>
      </c>
      <c r="E363" s="55" t="s">
        <v>11</v>
      </c>
      <c r="F363" s="54" t="s">
        <v>264</v>
      </c>
      <c r="G363" s="60">
        <v>0.9443548249999999</v>
      </c>
      <c r="H363" s="60">
        <v>0.94910712499999994</v>
      </c>
      <c r="I363" s="60">
        <v>0.96323527500000006</v>
      </c>
      <c r="K363" s="64">
        <v>409</v>
      </c>
      <c r="M363" s="65">
        <v>2.5000000000000001E-2</v>
      </c>
      <c r="N363" s="63">
        <v>419</v>
      </c>
    </row>
    <row r="364" spans="1:14" x14ac:dyDescent="0.25">
      <c r="A364" s="55" t="s">
        <v>92</v>
      </c>
      <c r="B364" s="55" t="s">
        <v>93</v>
      </c>
      <c r="C364" s="55" t="s">
        <v>10</v>
      </c>
      <c r="D364" s="60">
        <v>1</v>
      </c>
      <c r="E364" s="55" t="s">
        <v>12</v>
      </c>
      <c r="F364" s="54" t="s">
        <v>264</v>
      </c>
      <c r="G364" s="60">
        <v>0.95483870000000004</v>
      </c>
      <c r="H364" s="60">
        <v>0.98214285000000001</v>
      </c>
      <c r="I364" s="60">
        <v>1</v>
      </c>
      <c r="K364" s="64">
        <v>389</v>
      </c>
      <c r="M364" s="65">
        <v>2.5000000000000001E-2</v>
      </c>
      <c r="N364" s="63">
        <v>399</v>
      </c>
    </row>
    <row r="365" spans="1:14" x14ac:dyDescent="0.25">
      <c r="A365" s="55" t="s">
        <v>92</v>
      </c>
      <c r="B365" s="55" t="s">
        <v>93</v>
      </c>
      <c r="C365" s="55" t="s">
        <v>16</v>
      </c>
      <c r="D365" s="60">
        <v>0.94444444444444442</v>
      </c>
      <c r="E365" s="55" t="s">
        <v>17</v>
      </c>
      <c r="F365" s="54" t="s">
        <v>266</v>
      </c>
      <c r="G365" s="60">
        <v>0.93108499999999994</v>
      </c>
      <c r="H365" s="60">
        <v>0.89935059090909097</v>
      </c>
      <c r="I365" s="60">
        <v>0.88235290909090913</v>
      </c>
      <c r="K365" s="64">
        <v>3658.090909090909</v>
      </c>
      <c r="M365" s="62"/>
      <c r="N365" s="63">
        <v>3659</v>
      </c>
    </row>
    <row r="366" spans="1:14" s="66" customFormat="1" x14ac:dyDescent="0.25">
      <c r="A366" s="55" t="s">
        <v>92</v>
      </c>
      <c r="B366" s="55" t="s">
        <v>93</v>
      </c>
      <c r="C366" s="55" t="s">
        <v>16</v>
      </c>
      <c r="D366" s="60">
        <v>0.94444444444444442</v>
      </c>
      <c r="E366" s="55" t="s">
        <v>82</v>
      </c>
      <c r="F366" s="54" t="s">
        <v>266</v>
      </c>
      <c r="G366" s="60">
        <v>0.98617507142857141</v>
      </c>
      <c r="H366" s="60">
        <v>1</v>
      </c>
      <c r="I366" s="60">
        <v>1</v>
      </c>
      <c r="J366" s="55"/>
      <c r="K366" s="64">
        <v>5279</v>
      </c>
      <c r="L366" s="55"/>
      <c r="M366" s="65">
        <v>2.5000000000000001E-2</v>
      </c>
      <c r="N366" s="63">
        <v>5419</v>
      </c>
    </row>
    <row r="367" spans="1:14" x14ac:dyDescent="0.25">
      <c r="A367" s="55" t="s">
        <v>92</v>
      </c>
      <c r="B367" s="55" t="s">
        <v>93</v>
      </c>
      <c r="C367" s="55" t="s">
        <v>18</v>
      </c>
      <c r="D367" s="60">
        <v>0.9285714285714286</v>
      </c>
      <c r="E367" s="55" t="s">
        <v>14</v>
      </c>
      <c r="F367" s="54" t="s">
        <v>267</v>
      </c>
      <c r="G367" s="60">
        <v>0.95967741666666662</v>
      </c>
      <c r="H367" s="60">
        <v>0.89880950000000004</v>
      </c>
      <c r="I367" s="60">
        <v>0.91666666666666663</v>
      </c>
      <c r="K367" s="64">
        <v>6869</v>
      </c>
      <c r="M367" s="62"/>
      <c r="N367" s="63">
        <v>6869</v>
      </c>
    </row>
    <row r="368" spans="1:14" x14ac:dyDescent="0.25">
      <c r="A368" s="55" t="s">
        <v>92</v>
      </c>
      <c r="B368" s="55" t="s">
        <v>93</v>
      </c>
      <c r="C368" s="55" t="s">
        <v>18</v>
      </c>
      <c r="D368" s="60">
        <v>0.9285714285714286</v>
      </c>
      <c r="E368" s="55" t="s">
        <v>15</v>
      </c>
      <c r="F368" s="54" t="s">
        <v>267</v>
      </c>
      <c r="G368" s="60">
        <v>0.709677</v>
      </c>
      <c r="H368" s="60">
        <v>1</v>
      </c>
      <c r="I368" s="60">
        <v>1</v>
      </c>
      <c r="K368" s="64">
        <v>7549</v>
      </c>
      <c r="M368" s="62"/>
      <c r="N368" s="63">
        <v>7549</v>
      </c>
    </row>
    <row r="369" spans="1:14" x14ac:dyDescent="0.25">
      <c r="A369" s="55" t="s">
        <v>92</v>
      </c>
      <c r="B369" s="55" t="s">
        <v>116</v>
      </c>
      <c r="C369" s="55" t="s">
        <v>10</v>
      </c>
      <c r="D369" s="60">
        <v>0.98571428571428577</v>
      </c>
      <c r="E369" s="55" t="s">
        <v>51</v>
      </c>
      <c r="F369" s="54" t="s">
        <v>264</v>
      </c>
      <c r="G369" s="60">
        <v>0.96129026666666673</v>
      </c>
      <c r="H369" s="60">
        <v>0.90714280000000003</v>
      </c>
      <c r="I369" s="60">
        <v>0.90588233333333323</v>
      </c>
      <c r="K369" s="64">
        <v>809</v>
      </c>
      <c r="M369" s="65"/>
      <c r="N369" s="63">
        <v>809</v>
      </c>
    </row>
    <row r="370" spans="1:14" x14ac:dyDescent="0.25">
      <c r="A370" s="55" t="s">
        <v>92</v>
      </c>
      <c r="B370" s="55" t="s">
        <v>116</v>
      </c>
      <c r="C370" s="55" t="s">
        <v>10</v>
      </c>
      <c r="D370" s="60">
        <v>0.98571428571428577</v>
      </c>
      <c r="E370" s="55" t="s">
        <v>50</v>
      </c>
      <c r="F370" s="54" t="s">
        <v>264</v>
      </c>
      <c r="G370" s="60">
        <v>0.83870900000000004</v>
      </c>
      <c r="H370" s="60">
        <v>0.96428499999999995</v>
      </c>
      <c r="I370" s="60">
        <v>1</v>
      </c>
      <c r="K370" s="64">
        <v>399</v>
      </c>
      <c r="M370" s="65"/>
      <c r="N370" s="63">
        <v>399</v>
      </c>
    </row>
    <row r="371" spans="1:14" x14ac:dyDescent="0.25">
      <c r="A371" s="55" t="s">
        <v>92</v>
      </c>
      <c r="B371" s="55" t="s">
        <v>116</v>
      </c>
      <c r="C371" s="55" t="s">
        <v>10</v>
      </c>
      <c r="D371" s="60">
        <v>0.98571428571428577</v>
      </c>
      <c r="E371" s="55" t="s">
        <v>11</v>
      </c>
      <c r="F371" s="54" t="s">
        <v>264</v>
      </c>
      <c r="G371" s="60">
        <v>0.9569892000000001</v>
      </c>
      <c r="H371" s="60">
        <v>0.96666666666666667</v>
      </c>
      <c r="I371" s="60">
        <v>0.94901959999999996</v>
      </c>
      <c r="K371" s="64">
        <v>459</v>
      </c>
      <c r="M371" s="65"/>
      <c r="N371" s="63">
        <v>459</v>
      </c>
    </row>
    <row r="372" spans="1:14" x14ac:dyDescent="0.25">
      <c r="A372" s="55" t="s">
        <v>92</v>
      </c>
      <c r="B372" s="55" t="s">
        <v>116</v>
      </c>
      <c r="C372" s="55" t="s">
        <v>10</v>
      </c>
      <c r="D372" s="60">
        <v>0.98571428571428577</v>
      </c>
      <c r="E372" s="55" t="s">
        <v>12</v>
      </c>
      <c r="F372" s="54" t="s">
        <v>264</v>
      </c>
      <c r="G372" s="60">
        <v>0.98511164102564097</v>
      </c>
      <c r="H372" s="60">
        <v>0.96520146153846154</v>
      </c>
      <c r="I372" s="60">
        <v>0.96530917948717954</v>
      </c>
      <c r="K372" s="64">
        <v>399</v>
      </c>
      <c r="M372" s="65"/>
      <c r="N372" s="63">
        <v>399</v>
      </c>
    </row>
    <row r="373" spans="1:14" x14ac:dyDescent="0.25">
      <c r="A373" s="55" t="s">
        <v>92</v>
      </c>
      <c r="B373" s="55" t="s">
        <v>116</v>
      </c>
      <c r="C373" s="55" t="s">
        <v>13</v>
      </c>
      <c r="D373" s="60">
        <v>1</v>
      </c>
      <c r="E373" s="55" t="s">
        <v>33</v>
      </c>
      <c r="F373" s="54" t="s">
        <v>265</v>
      </c>
      <c r="G373" s="60">
        <v>1</v>
      </c>
      <c r="H373" s="60">
        <v>0.94642850000000001</v>
      </c>
      <c r="I373" s="60">
        <v>1</v>
      </c>
      <c r="K373" s="64">
        <v>469</v>
      </c>
      <c r="M373" s="65">
        <v>2.5000000000000001E-2</v>
      </c>
      <c r="N373" s="63">
        <v>489</v>
      </c>
    </row>
    <row r="374" spans="1:14" x14ac:dyDescent="0.25">
      <c r="A374" s="55" t="s">
        <v>92</v>
      </c>
      <c r="B374" s="55" t="s">
        <v>116</v>
      </c>
      <c r="C374" s="55" t="s">
        <v>13</v>
      </c>
      <c r="D374" s="60">
        <v>1</v>
      </c>
      <c r="E374" s="55" t="s">
        <v>83</v>
      </c>
      <c r="F374" s="54" t="s">
        <v>265</v>
      </c>
      <c r="G374" s="60">
        <v>0.95161287500000002</v>
      </c>
      <c r="H374" s="60">
        <v>0.83928562500000004</v>
      </c>
      <c r="I374" s="60">
        <v>0.97058812500000002</v>
      </c>
      <c r="K374" s="64">
        <v>409</v>
      </c>
      <c r="M374" s="65">
        <v>2.5000000000000001E-2</v>
      </c>
      <c r="N374" s="63">
        <v>419</v>
      </c>
    </row>
    <row r="375" spans="1:14" x14ac:dyDescent="0.25">
      <c r="A375" s="55" t="s">
        <v>92</v>
      </c>
      <c r="B375" s="55" t="s">
        <v>117</v>
      </c>
      <c r="C375" s="55" t="s">
        <v>16</v>
      </c>
      <c r="D375" s="60">
        <v>0.95652173913043481</v>
      </c>
      <c r="E375" s="55" t="s">
        <v>25</v>
      </c>
      <c r="F375" s="54" t="s">
        <v>266</v>
      </c>
      <c r="G375" s="60">
        <v>1</v>
      </c>
      <c r="H375" s="60">
        <v>0.98809521212121199</v>
      </c>
      <c r="I375" s="60">
        <v>1</v>
      </c>
      <c r="K375" s="64">
        <v>149.59375</v>
      </c>
      <c r="M375" s="65"/>
      <c r="N375" s="63">
        <v>149</v>
      </c>
    </row>
    <row r="376" spans="1:14" x14ac:dyDescent="0.25">
      <c r="A376" s="55" t="s">
        <v>92</v>
      </c>
      <c r="B376" s="55" t="s">
        <v>117</v>
      </c>
      <c r="C376" s="55" t="s">
        <v>16</v>
      </c>
      <c r="D376" s="60">
        <v>0.95652173913043481</v>
      </c>
      <c r="E376" s="55" t="s">
        <v>118</v>
      </c>
      <c r="F376" s="54" t="s">
        <v>266</v>
      </c>
      <c r="G376" s="60">
        <v>1</v>
      </c>
      <c r="H376" s="60">
        <v>1</v>
      </c>
      <c r="I376" s="60">
        <v>1</v>
      </c>
      <c r="K376" s="64">
        <v>192.55555555555554</v>
      </c>
      <c r="M376" s="65"/>
      <c r="N376" s="63">
        <v>199</v>
      </c>
    </row>
    <row r="377" spans="1:14" x14ac:dyDescent="0.25">
      <c r="A377" s="55" t="s">
        <v>92</v>
      </c>
      <c r="B377" s="55" t="s">
        <v>117</v>
      </c>
      <c r="C377" s="55" t="s">
        <v>16</v>
      </c>
      <c r="D377" s="60">
        <v>0.95652173913043481</v>
      </c>
      <c r="E377" s="55" t="s">
        <v>17</v>
      </c>
      <c r="F377" s="54" t="s">
        <v>266</v>
      </c>
      <c r="G377" s="60">
        <v>0.98093840909090912</v>
      </c>
      <c r="H377" s="60">
        <v>0.93344150000000004</v>
      </c>
      <c r="I377" s="60">
        <v>0.92245986363636367</v>
      </c>
      <c r="K377" s="64">
        <v>105.40909090909091</v>
      </c>
      <c r="M377" s="62"/>
      <c r="N377" s="63">
        <v>109</v>
      </c>
    </row>
    <row r="378" spans="1:14" x14ac:dyDescent="0.25">
      <c r="A378" s="55" t="s">
        <v>92</v>
      </c>
      <c r="B378" s="55" t="s">
        <v>117</v>
      </c>
      <c r="C378" s="55" t="s">
        <v>16</v>
      </c>
      <c r="D378" s="60">
        <v>0.95652173913043481</v>
      </c>
      <c r="E378" s="55" t="s">
        <v>52</v>
      </c>
      <c r="F378" s="54" t="s">
        <v>266</v>
      </c>
      <c r="G378" s="60">
        <v>1</v>
      </c>
      <c r="H378" s="60">
        <v>1</v>
      </c>
      <c r="I378" s="60">
        <v>1</v>
      </c>
      <c r="K378" s="64">
        <v>161</v>
      </c>
      <c r="M378" s="65"/>
      <c r="N378" s="63">
        <v>169</v>
      </c>
    </row>
    <row r="379" spans="1:14" x14ac:dyDescent="0.25">
      <c r="A379" s="55" t="s">
        <v>92</v>
      </c>
      <c r="B379" s="55" t="s">
        <v>117</v>
      </c>
      <c r="C379" s="55" t="s">
        <v>18</v>
      </c>
      <c r="D379" s="60">
        <v>1</v>
      </c>
      <c r="E379" s="55" t="s">
        <v>119</v>
      </c>
      <c r="F379" s="54" t="s">
        <v>267</v>
      </c>
      <c r="G379" s="60">
        <v>0.99120227272727268</v>
      </c>
      <c r="H379" s="60">
        <v>1</v>
      </c>
      <c r="I379" s="60">
        <v>1</v>
      </c>
      <c r="K379" s="64">
        <v>88.272727272727266</v>
      </c>
      <c r="M379" s="65">
        <v>0.05</v>
      </c>
      <c r="N379" s="63">
        <v>99</v>
      </c>
    </row>
    <row r="380" spans="1:14" x14ac:dyDescent="0.25">
      <c r="A380" s="55" t="s">
        <v>92</v>
      </c>
      <c r="B380" s="55" t="s">
        <v>137</v>
      </c>
      <c r="C380" s="55" t="s">
        <v>10</v>
      </c>
      <c r="D380" s="60">
        <v>0.98275862068965514</v>
      </c>
      <c r="E380" s="55" t="s">
        <v>11</v>
      </c>
      <c r="F380" s="54" t="s">
        <v>264</v>
      </c>
      <c r="G380" s="60">
        <v>0.85673623529411758</v>
      </c>
      <c r="H380" s="60">
        <v>0.87079829411764709</v>
      </c>
      <c r="I380" s="60">
        <v>0.94809688235294132</v>
      </c>
      <c r="K380" s="64">
        <v>349</v>
      </c>
      <c r="M380" s="65">
        <v>2.5000000000000001E-2</v>
      </c>
      <c r="N380" s="63">
        <v>359</v>
      </c>
    </row>
    <row r="381" spans="1:14" x14ac:dyDescent="0.25">
      <c r="A381" s="55" t="s">
        <v>92</v>
      </c>
      <c r="B381" s="55" t="s">
        <v>137</v>
      </c>
      <c r="C381" s="55" t="s">
        <v>10</v>
      </c>
      <c r="D381" s="60">
        <v>0.98275862068965514</v>
      </c>
      <c r="E381" s="55" t="s">
        <v>12</v>
      </c>
      <c r="F381" s="54" t="s">
        <v>264</v>
      </c>
      <c r="G381" s="60">
        <v>0.97311825000000007</v>
      </c>
      <c r="H381" s="60">
        <v>0.93898808333333328</v>
      </c>
      <c r="I381" s="60">
        <v>0.98039212499999995</v>
      </c>
      <c r="K381" s="64">
        <v>299</v>
      </c>
      <c r="M381" s="65">
        <v>2.5000000000000001E-2</v>
      </c>
      <c r="N381" s="63">
        <v>309</v>
      </c>
    </row>
    <row r="382" spans="1:14" x14ac:dyDescent="0.25">
      <c r="A382" s="55" t="s">
        <v>92</v>
      </c>
      <c r="B382" s="55" t="s">
        <v>137</v>
      </c>
      <c r="C382" s="55" t="s">
        <v>18</v>
      </c>
      <c r="D382" s="60">
        <v>1</v>
      </c>
      <c r="E382" s="55" t="s">
        <v>14</v>
      </c>
      <c r="F382" s="54" t="s">
        <v>267</v>
      </c>
      <c r="G382" s="60">
        <v>1</v>
      </c>
      <c r="H382" s="60">
        <v>1</v>
      </c>
      <c r="I382" s="60">
        <v>1</v>
      </c>
      <c r="K382" s="64">
        <v>7899</v>
      </c>
      <c r="M382" s="65">
        <v>2.5000000000000001E-2</v>
      </c>
      <c r="N382" s="63">
        <v>8099</v>
      </c>
    </row>
    <row r="383" spans="1:14" x14ac:dyDescent="0.25">
      <c r="A383" s="55" t="s">
        <v>92</v>
      </c>
      <c r="B383" s="55" t="s">
        <v>137</v>
      </c>
      <c r="C383" s="55" t="s">
        <v>18</v>
      </c>
      <c r="D383" s="60">
        <v>1</v>
      </c>
      <c r="E383" s="55" t="s">
        <v>15</v>
      </c>
      <c r="F383" s="54" t="s">
        <v>267</v>
      </c>
      <c r="G383" s="60">
        <v>1</v>
      </c>
      <c r="H383" s="60">
        <v>1</v>
      </c>
      <c r="I383" s="60">
        <v>1</v>
      </c>
      <c r="K383" s="64">
        <v>8989</v>
      </c>
      <c r="M383" s="62"/>
      <c r="N383" s="63">
        <v>8989</v>
      </c>
    </row>
    <row r="384" spans="1:14" x14ac:dyDescent="0.25">
      <c r="A384" s="55" t="s">
        <v>92</v>
      </c>
      <c r="B384" s="55" t="s">
        <v>137</v>
      </c>
      <c r="C384" s="55" t="s">
        <v>16</v>
      </c>
      <c r="D384" s="60">
        <v>0.94736842105263153</v>
      </c>
      <c r="E384" s="55" t="s">
        <v>17</v>
      </c>
      <c r="F384" s="54" t="s">
        <v>266</v>
      </c>
      <c r="G384" s="60">
        <v>0.8666666666666667</v>
      </c>
      <c r="H384" s="60">
        <v>0.99761900000000003</v>
      </c>
      <c r="I384" s="60">
        <v>0.93333333333333335</v>
      </c>
      <c r="K384" s="64">
        <v>5299</v>
      </c>
      <c r="M384" s="62"/>
      <c r="N384" s="63">
        <v>5299</v>
      </c>
    </row>
    <row r="385" spans="1:14" x14ac:dyDescent="0.25">
      <c r="A385" s="55" t="s">
        <v>92</v>
      </c>
      <c r="B385" s="55" t="s">
        <v>137</v>
      </c>
      <c r="C385" s="55" t="s">
        <v>16</v>
      </c>
      <c r="D385" s="60">
        <v>0.94736842105263153</v>
      </c>
      <c r="E385" s="55" t="s">
        <v>12</v>
      </c>
      <c r="F385" s="54" t="s">
        <v>266</v>
      </c>
      <c r="G385" s="60">
        <v>0.75</v>
      </c>
      <c r="H385" s="60">
        <v>0.90178550000000002</v>
      </c>
      <c r="I385" s="60">
        <v>1</v>
      </c>
      <c r="K385" s="64">
        <v>6499</v>
      </c>
      <c r="M385" s="62"/>
      <c r="N385" s="63">
        <v>6499</v>
      </c>
    </row>
    <row r="386" spans="1:14" x14ac:dyDescent="0.25">
      <c r="A386" s="55" t="s">
        <v>41</v>
      </c>
      <c r="B386" s="55" t="s">
        <v>42</v>
      </c>
      <c r="C386" s="55" t="s">
        <v>10</v>
      </c>
      <c r="D386" s="60">
        <v>1</v>
      </c>
      <c r="E386" s="55" t="s">
        <v>11</v>
      </c>
      <c r="F386" s="54" t="s">
        <v>264</v>
      </c>
      <c r="G386" s="60">
        <v>0.94227502631578952</v>
      </c>
      <c r="H386" s="60">
        <v>0.97180449999999996</v>
      </c>
      <c r="I386" s="60">
        <v>0.96594426315789483</v>
      </c>
      <c r="K386" s="64">
        <v>409</v>
      </c>
      <c r="M386" s="65">
        <v>2.5000000000000001E-2</v>
      </c>
      <c r="N386" s="63">
        <v>419</v>
      </c>
    </row>
    <row r="387" spans="1:14" x14ac:dyDescent="0.25">
      <c r="A387" s="55" t="s">
        <v>41</v>
      </c>
      <c r="B387" s="55" t="s">
        <v>42</v>
      </c>
      <c r="C387" s="55" t="s">
        <v>10</v>
      </c>
      <c r="D387" s="60">
        <v>1</v>
      </c>
      <c r="E387" s="55" t="s">
        <v>12</v>
      </c>
      <c r="F387" s="54" t="s">
        <v>264</v>
      </c>
      <c r="G387" s="60">
        <v>0.97360699999999989</v>
      </c>
      <c r="H387" s="60">
        <v>0.9935064545454545</v>
      </c>
      <c r="I387" s="60">
        <v>0.98395718181818193</v>
      </c>
      <c r="K387" s="64">
        <v>369</v>
      </c>
      <c r="M387" s="65">
        <v>2.5000000000000001E-2</v>
      </c>
      <c r="N387" s="63">
        <v>379</v>
      </c>
    </row>
    <row r="388" spans="1:14" x14ac:dyDescent="0.25">
      <c r="A388" s="55" t="s">
        <v>41</v>
      </c>
      <c r="B388" s="55" t="s">
        <v>42</v>
      </c>
      <c r="C388" s="55" t="s">
        <v>18</v>
      </c>
      <c r="D388" s="60">
        <v>0.81818181818181823</v>
      </c>
      <c r="E388" s="55" t="s">
        <v>14</v>
      </c>
      <c r="F388" s="54" t="s">
        <v>267</v>
      </c>
      <c r="G388" s="60">
        <v>0.93906800000000012</v>
      </c>
      <c r="H388" s="60">
        <v>0.94047611111111118</v>
      </c>
      <c r="I388" s="60">
        <v>0.88888888888888884</v>
      </c>
      <c r="K388" s="64">
        <v>8219</v>
      </c>
      <c r="M388" s="62"/>
      <c r="N388" s="63">
        <v>8219</v>
      </c>
    </row>
    <row r="389" spans="1:14" x14ac:dyDescent="0.25">
      <c r="A389" s="55" t="s">
        <v>41</v>
      </c>
      <c r="B389" s="55" t="s">
        <v>42</v>
      </c>
      <c r="C389" s="55" t="s">
        <v>18</v>
      </c>
      <c r="D389" s="60">
        <v>0.81818181818181823</v>
      </c>
      <c r="E389" s="55" t="s">
        <v>15</v>
      </c>
      <c r="F389" s="54" t="s">
        <v>267</v>
      </c>
      <c r="G389" s="60">
        <v>0.91935449999999996</v>
      </c>
      <c r="H389" s="60">
        <v>0.875</v>
      </c>
      <c r="I389" s="60">
        <v>0.735294</v>
      </c>
      <c r="K389" s="64">
        <v>10199</v>
      </c>
      <c r="M389" s="62"/>
      <c r="N389" s="63">
        <v>10199</v>
      </c>
    </row>
    <row r="390" spans="1:14" x14ac:dyDescent="0.25">
      <c r="A390" s="55" t="s">
        <v>41</v>
      </c>
      <c r="B390" s="55" t="s">
        <v>42</v>
      </c>
      <c r="C390" s="55" t="s">
        <v>16</v>
      </c>
      <c r="D390" s="60">
        <v>0.95454545454545459</v>
      </c>
      <c r="E390" s="55" t="s">
        <v>17</v>
      </c>
      <c r="F390" s="54" t="s">
        <v>266</v>
      </c>
      <c r="G390" s="60">
        <v>0.97491038888888903</v>
      </c>
      <c r="H390" s="60">
        <v>0.99404761111111106</v>
      </c>
      <c r="I390" s="60">
        <v>0.99346400000000001</v>
      </c>
      <c r="K390" s="64">
        <v>6859</v>
      </c>
      <c r="M390" s="62"/>
      <c r="N390" s="63">
        <v>6859</v>
      </c>
    </row>
    <row r="391" spans="1:14" x14ac:dyDescent="0.25">
      <c r="A391" s="55" t="s">
        <v>41</v>
      </c>
      <c r="B391" s="55" t="s">
        <v>42</v>
      </c>
      <c r="C391" s="55" t="s">
        <v>16</v>
      </c>
      <c r="D391" s="60">
        <v>0.95454545454545459</v>
      </c>
      <c r="E391" s="55" t="s">
        <v>12</v>
      </c>
      <c r="F391" s="54" t="s">
        <v>266</v>
      </c>
      <c r="G391" s="60">
        <v>0.98387075000000002</v>
      </c>
      <c r="H391" s="60">
        <v>1</v>
      </c>
      <c r="I391" s="60">
        <v>0.985294</v>
      </c>
      <c r="K391" s="64">
        <v>8649</v>
      </c>
      <c r="M391" s="62"/>
      <c r="N391" s="63">
        <v>8649</v>
      </c>
    </row>
    <row r="392" spans="1:14" x14ac:dyDescent="0.25">
      <c r="A392" s="55" t="s">
        <v>41</v>
      </c>
      <c r="B392" s="55" t="s">
        <v>42</v>
      </c>
      <c r="C392" s="55" t="s">
        <v>21</v>
      </c>
      <c r="D392" s="60">
        <v>1</v>
      </c>
      <c r="E392" s="55" t="s">
        <v>22</v>
      </c>
      <c r="F392" s="54" t="s">
        <v>268</v>
      </c>
      <c r="G392" s="60">
        <v>0.95833333333333337</v>
      </c>
      <c r="H392" s="60">
        <v>0.94047616666666667</v>
      </c>
      <c r="I392" s="60">
        <v>1</v>
      </c>
      <c r="K392" s="64">
        <v>2139</v>
      </c>
      <c r="M392" s="65">
        <v>2.5000000000000001E-2</v>
      </c>
      <c r="N392" s="63">
        <v>2199</v>
      </c>
    </row>
    <row r="393" spans="1:14" x14ac:dyDescent="0.25">
      <c r="A393" s="55" t="s">
        <v>41</v>
      </c>
      <c r="B393" s="55" t="s">
        <v>57</v>
      </c>
      <c r="C393" s="55" t="s">
        <v>10</v>
      </c>
      <c r="D393" s="60">
        <v>0.8</v>
      </c>
      <c r="E393" s="55" t="s">
        <v>30</v>
      </c>
      <c r="F393" s="54" t="s">
        <v>264</v>
      </c>
      <c r="G393" s="60">
        <v>1</v>
      </c>
      <c r="H393" s="60">
        <v>1</v>
      </c>
      <c r="I393" s="60">
        <v>1</v>
      </c>
      <c r="K393" s="64">
        <v>419</v>
      </c>
      <c r="M393" s="62"/>
      <c r="N393" s="63">
        <v>419</v>
      </c>
    </row>
    <row r="394" spans="1:14" x14ac:dyDescent="0.25">
      <c r="A394" s="55" t="s">
        <v>41</v>
      </c>
      <c r="B394" s="55" t="s">
        <v>57</v>
      </c>
      <c r="C394" s="55" t="s">
        <v>10</v>
      </c>
      <c r="D394" s="60">
        <v>0.8</v>
      </c>
      <c r="E394" s="55" t="s">
        <v>17</v>
      </c>
      <c r="F394" s="54" t="s">
        <v>264</v>
      </c>
      <c r="G394" s="60">
        <v>0.82222217777777773</v>
      </c>
      <c r="H394" s="60">
        <v>0.82698408888888886</v>
      </c>
      <c r="I394" s="60">
        <v>0.81176466666666669</v>
      </c>
      <c r="K394" s="64">
        <v>375.66666666666669</v>
      </c>
      <c r="M394" s="62"/>
      <c r="N394" s="63">
        <v>379</v>
      </c>
    </row>
    <row r="395" spans="1:14" x14ac:dyDescent="0.25">
      <c r="A395" s="55" t="s">
        <v>41</v>
      </c>
      <c r="B395" s="55" t="s">
        <v>57</v>
      </c>
      <c r="C395" s="55" t="s">
        <v>10</v>
      </c>
      <c r="D395" s="60">
        <v>0.8</v>
      </c>
      <c r="E395" s="55" t="s">
        <v>12</v>
      </c>
      <c r="F395" s="54" t="s">
        <v>264</v>
      </c>
      <c r="G395" s="60">
        <v>0.75</v>
      </c>
      <c r="H395" s="60">
        <v>0.75</v>
      </c>
      <c r="I395" s="60">
        <v>0.75</v>
      </c>
      <c r="K395" s="64">
        <v>349</v>
      </c>
      <c r="M395" s="62"/>
      <c r="N395" s="63">
        <v>349</v>
      </c>
    </row>
    <row r="396" spans="1:14" x14ac:dyDescent="0.25">
      <c r="A396" s="55" t="s">
        <v>41</v>
      </c>
      <c r="B396" s="55" t="s">
        <v>57</v>
      </c>
      <c r="C396" s="55" t="s">
        <v>16</v>
      </c>
      <c r="D396" s="60">
        <v>1</v>
      </c>
      <c r="E396" s="55" t="s">
        <v>17</v>
      </c>
      <c r="F396" s="54" t="s">
        <v>266</v>
      </c>
      <c r="G396" s="60">
        <v>0.86881713333333332</v>
      </c>
      <c r="H396" s="60">
        <v>0.93333333333333335</v>
      </c>
      <c r="I396" s="60">
        <v>0.99215679999999995</v>
      </c>
      <c r="K396" s="64">
        <v>5639.625</v>
      </c>
      <c r="M396" s="67">
        <v>2.5000000000000001E-2</v>
      </c>
      <c r="N396" s="63">
        <v>5789</v>
      </c>
    </row>
    <row r="397" spans="1:14" x14ac:dyDescent="0.25">
      <c r="A397" s="55" t="s">
        <v>41</v>
      </c>
      <c r="B397" s="55" t="s">
        <v>57</v>
      </c>
      <c r="C397" s="55" t="s">
        <v>16</v>
      </c>
      <c r="D397" s="60">
        <v>1</v>
      </c>
      <c r="E397" s="55" t="s">
        <v>44</v>
      </c>
      <c r="F397" s="54" t="s">
        <v>266</v>
      </c>
      <c r="G397" s="60">
        <v>1</v>
      </c>
      <c r="H397" s="60">
        <v>1</v>
      </c>
      <c r="I397" s="60">
        <v>1</v>
      </c>
      <c r="K397" s="64">
        <v>6309</v>
      </c>
      <c r="M397" s="62"/>
      <c r="N397" s="63">
        <v>6309</v>
      </c>
    </row>
    <row r="398" spans="1:14" x14ac:dyDescent="0.25">
      <c r="A398" s="55" t="s">
        <v>41</v>
      </c>
      <c r="B398" s="55" t="s">
        <v>57</v>
      </c>
      <c r="C398" s="55" t="s">
        <v>16</v>
      </c>
      <c r="D398" s="60">
        <v>1</v>
      </c>
      <c r="E398" s="55" t="s">
        <v>29</v>
      </c>
      <c r="F398" s="54" t="s">
        <v>266</v>
      </c>
      <c r="G398" s="60">
        <v>1</v>
      </c>
      <c r="H398" s="60">
        <v>1</v>
      </c>
      <c r="I398" s="60">
        <v>1</v>
      </c>
      <c r="K398" s="64">
        <v>6139</v>
      </c>
      <c r="M398" s="67">
        <v>2.5000000000000001E-2</v>
      </c>
      <c r="N398" s="63">
        <v>6299</v>
      </c>
    </row>
    <row r="399" spans="1:14" x14ac:dyDescent="0.25">
      <c r="A399" s="55" t="s">
        <v>41</v>
      </c>
      <c r="B399" s="55" t="s">
        <v>57</v>
      </c>
      <c r="C399" s="55" t="s">
        <v>18</v>
      </c>
      <c r="D399" s="60">
        <v>0.93333333333333335</v>
      </c>
      <c r="E399" s="55" t="s">
        <v>32</v>
      </c>
      <c r="F399" s="54" t="s">
        <v>267</v>
      </c>
      <c r="G399" s="60">
        <v>0.93548383333333318</v>
      </c>
      <c r="H399" s="60">
        <v>0.96428566666666671</v>
      </c>
      <c r="I399" s="60">
        <v>0.96078425000000001</v>
      </c>
      <c r="K399" s="64">
        <v>6634</v>
      </c>
      <c r="M399" s="67">
        <v>0.05</v>
      </c>
      <c r="N399" s="63">
        <v>6969</v>
      </c>
    </row>
    <row r="400" spans="1:14" x14ac:dyDescent="0.25">
      <c r="A400" s="55" t="s">
        <v>41</v>
      </c>
      <c r="B400" s="55" t="s">
        <v>57</v>
      </c>
      <c r="C400" s="55" t="s">
        <v>18</v>
      </c>
      <c r="D400" s="60">
        <v>0.93333333333333335</v>
      </c>
      <c r="E400" s="55" t="s">
        <v>45</v>
      </c>
      <c r="F400" s="54" t="s">
        <v>267</v>
      </c>
      <c r="G400" s="60">
        <v>0.76344066666666677</v>
      </c>
      <c r="H400" s="60">
        <v>0.86904733333333339</v>
      </c>
      <c r="I400" s="60">
        <v>1</v>
      </c>
      <c r="K400" s="64">
        <v>6999</v>
      </c>
      <c r="M400" s="67">
        <v>0.05</v>
      </c>
      <c r="N400" s="63">
        <v>7349</v>
      </c>
    </row>
    <row r="401" spans="1:14" x14ac:dyDescent="0.25">
      <c r="A401" s="55" t="s">
        <v>41</v>
      </c>
      <c r="B401" s="55" t="s">
        <v>57</v>
      </c>
      <c r="C401" s="55" t="s">
        <v>59</v>
      </c>
      <c r="D401" s="60">
        <v>0.91304347826086951</v>
      </c>
      <c r="E401" s="55" t="s">
        <v>58</v>
      </c>
      <c r="F401" s="54" t="s">
        <v>269</v>
      </c>
      <c r="G401" s="60">
        <v>0.92384110548879661</v>
      </c>
      <c r="H401" s="60">
        <v>0.94736842105263153</v>
      </c>
      <c r="I401" s="60">
        <v>1</v>
      </c>
      <c r="K401" s="64">
        <v>3511</v>
      </c>
      <c r="M401" s="65">
        <v>2.5000000000000001E-2</v>
      </c>
      <c r="N401" s="63">
        <v>3599</v>
      </c>
    </row>
    <row r="402" spans="1:14" x14ac:dyDescent="0.25">
      <c r="A402" s="55" t="s">
        <v>41</v>
      </c>
      <c r="B402" s="55" t="s">
        <v>57</v>
      </c>
      <c r="C402" s="55" t="s">
        <v>59</v>
      </c>
      <c r="D402" s="60">
        <v>0.91304347826086951</v>
      </c>
      <c r="E402" s="55" t="s">
        <v>60</v>
      </c>
      <c r="F402" s="54" t="s">
        <v>269</v>
      </c>
      <c r="G402" s="60">
        <v>0.63709674999999999</v>
      </c>
      <c r="H402" s="60">
        <v>0.57142850000000001</v>
      </c>
      <c r="I402" s="60">
        <v>0.5</v>
      </c>
      <c r="K402" s="64">
        <v>2877</v>
      </c>
      <c r="M402" s="65"/>
      <c r="N402" s="63">
        <v>2879</v>
      </c>
    </row>
    <row r="403" spans="1:14" x14ac:dyDescent="0.25">
      <c r="A403" s="55" t="s">
        <v>41</v>
      </c>
      <c r="B403" s="55" t="s">
        <v>104</v>
      </c>
      <c r="C403" s="55" t="s">
        <v>10</v>
      </c>
      <c r="D403" s="60">
        <v>0.93333333333333335</v>
      </c>
      <c r="E403" s="55" t="s">
        <v>74</v>
      </c>
      <c r="F403" s="54" t="s">
        <v>264</v>
      </c>
      <c r="G403" s="60">
        <v>0.93926245683955856</v>
      </c>
      <c r="H403" s="60">
        <v>0.95153057142857134</v>
      </c>
      <c r="I403" s="60">
        <v>0.92016799999999999</v>
      </c>
      <c r="K403" s="64">
        <v>419</v>
      </c>
      <c r="M403" s="62"/>
      <c r="N403" s="63">
        <v>419</v>
      </c>
    </row>
    <row r="404" spans="1:14" x14ac:dyDescent="0.25">
      <c r="A404" s="55" t="s">
        <v>41</v>
      </c>
      <c r="B404" s="55" t="s">
        <v>104</v>
      </c>
      <c r="C404" s="55" t="s">
        <v>10</v>
      </c>
      <c r="D404" s="60">
        <v>0.93333333333333335</v>
      </c>
      <c r="E404" s="55" t="s">
        <v>11</v>
      </c>
      <c r="F404" s="54" t="s">
        <v>264</v>
      </c>
      <c r="G404" s="60">
        <v>0.91112293367634933</v>
      </c>
      <c r="H404" s="60">
        <v>0.96182265517241372</v>
      </c>
      <c r="I404" s="60">
        <v>0.96450303448275865</v>
      </c>
      <c r="K404" s="64">
        <v>389</v>
      </c>
      <c r="M404" s="62"/>
      <c r="N404" s="63">
        <v>389</v>
      </c>
    </row>
    <row r="405" spans="1:14" x14ac:dyDescent="0.25">
      <c r="A405" s="55" t="s">
        <v>41</v>
      </c>
      <c r="B405" s="55" t="s">
        <v>104</v>
      </c>
      <c r="C405" s="55" t="s">
        <v>10</v>
      </c>
      <c r="D405" s="60">
        <v>0.93333333333333335</v>
      </c>
      <c r="E405" s="55" t="s">
        <v>12</v>
      </c>
      <c r="F405" s="54" t="s">
        <v>264</v>
      </c>
      <c r="G405" s="60">
        <v>0.61274510325355636</v>
      </c>
      <c r="H405" s="60">
        <v>0.71825394444444446</v>
      </c>
      <c r="I405" s="60">
        <v>0.76797383333333336</v>
      </c>
      <c r="K405" s="64">
        <v>319</v>
      </c>
      <c r="M405" s="65"/>
      <c r="N405" s="63">
        <v>319</v>
      </c>
    </row>
    <row r="406" spans="1:14" x14ac:dyDescent="0.25">
      <c r="A406" s="55" t="s">
        <v>41</v>
      </c>
      <c r="B406" s="55" t="s">
        <v>104</v>
      </c>
      <c r="C406" s="55" t="s">
        <v>16</v>
      </c>
      <c r="D406" s="60">
        <v>1</v>
      </c>
      <c r="E406" s="55" t="s">
        <v>82</v>
      </c>
      <c r="F406" s="54" t="s">
        <v>266</v>
      </c>
      <c r="G406" s="60">
        <v>0.91397848148148153</v>
      </c>
      <c r="H406" s="60">
        <v>0.99603174074074075</v>
      </c>
      <c r="I406" s="60">
        <v>1</v>
      </c>
      <c r="K406" s="64">
        <v>4879</v>
      </c>
      <c r="M406" s="65">
        <v>2.5000000000000001E-2</v>
      </c>
      <c r="N406" s="63">
        <v>5009</v>
      </c>
    </row>
    <row r="407" spans="1:14" x14ac:dyDescent="0.25">
      <c r="A407" s="55" t="s">
        <v>41</v>
      </c>
      <c r="B407" s="55" t="s">
        <v>104</v>
      </c>
      <c r="C407" s="55" t="s">
        <v>16</v>
      </c>
      <c r="D407" s="60">
        <v>1</v>
      </c>
      <c r="E407" s="55" t="s">
        <v>106</v>
      </c>
      <c r="F407" s="54" t="s">
        <v>266</v>
      </c>
      <c r="G407" s="60">
        <v>0.81395336542274155</v>
      </c>
      <c r="H407" s="60">
        <v>1</v>
      </c>
      <c r="I407" s="60">
        <v>1</v>
      </c>
      <c r="K407" s="64">
        <v>5709</v>
      </c>
      <c r="M407" s="65">
        <v>2.5000000000000001E-2</v>
      </c>
      <c r="N407" s="63">
        <v>5859</v>
      </c>
    </row>
    <row r="408" spans="1:14" x14ac:dyDescent="0.25">
      <c r="A408" s="55" t="s">
        <v>41</v>
      </c>
      <c r="B408" s="55" t="s">
        <v>104</v>
      </c>
      <c r="C408" s="55" t="s">
        <v>59</v>
      </c>
      <c r="D408" s="60">
        <v>1</v>
      </c>
      <c r="E408" s="55" t="s">
        <v>106</v>
      </c>
      <c r="F408" s="54" t="s">
        <v>269</v>
      </c>
      <c r="G408" s="60">
        <v>0.81395336542274155</v>
      </c>
      <c r="H408" s="60">
        <v>1</v>
      </c>
      <c r="I408" s="60">
        <v>1</v>
      </c>
      <c r="K408" s="64">
        <v>3749</v>
      </c>
      <c r="M408" s="62"/>
      <c r="N408" s="63">
        <v>3749</v>
      </c>
    </row>
    <row r="409" spans="1:14" x14ac:dyDescent="0.25">
      <c r="A409" s="55" t="s">
        <v>41</v>
      </c>
      <c r="B409" s="55" t="s">
        <v>104</v>
      </c>
      <c r="C409" s="55" t="s">
        <v>59</v>
      </c>
      <c r="D409" s="60">
        <v>1</v>
      </c>
      <c r="E409" s="55" t="s">
        <v>82</v>
      </c>
      <c r="F409" s="54" t="s">
        <v>269</v>
      </c>
      <c r="G409" s="60">
        <v>0.91397848148148153</v>
      </c>
      <c r="H409" s="60">
        <v>0.99603174074074075</v>
      </c>
      <c r="I409" s="60">
        <v>1</v>
      </c>
      <c r="K409" s="64">
        <v>3229</v>
      </c>
      <c r="M409" s="62"/>
      <c r="N409" s="63">
        <v>3229</v>
      </c>
    </row>
    <row r="410" spans="1:14" x14ac:dyDescent="0.25">
      <c r="A410" s="55" t="s">
        <v>41</v>
      </c>
      <c r="B410" s="55" t="s">
        <v>104</v>
      </c>
      <c r="C410" s="55" t="s">
        <v>16</v>
      </c>
      <c r="D410" s="60">
        <v>1</v>
      </c>
      <c r="E410" s="55" t="s">
        <v>107</v>
      </c>
      <c r="F410" s="54" t="s">
        <v>266</v>
      </c>
      <c r="G410" s="60">
        <v>1</v>
      </c>
      <c r="H410" s="60">
        <v>1</v>
      </c>
      <c r="I410" s="60">
        <v>1</v>
      </c>
      <c r="K410" s="64">
        <v>6249</v>
      </c>
      <c r="M410" s="65">
        <v>2.5000000000000001E-2</v>
      </c>
      <c r="N410" s="63">
        <v>6409</v>
      </c>
    </row>
    <row r="411" spans="1:14" x14ac:dyDescent="0.25">
      <c r="A411" s="55" t="s">
        <v>41</v>
      </c>
      <c r="B411" s="55" t="s">
        <v>104</v>
      </c>
      <c r="C411" s="55" t="s">
        <v>59</v>
      </c>
      <c r="D411" s="60">
        <v>1</v>
      </c>
      <c r="E411" s="55" t="s">
        <v>108</v>
      </c>
      <c r="F411" s="54" t="s">
        <v>269</v>
      </c>
      <c r="G411" s="60">
        <v>0.97695842857142856</v>
      </c>
      <c r="H411" s="60">
        <v>0.8571428571428571</v>
      </c>
      <c r="I411" s="60">
        <v>1</v>
      </c>
      <c r="K411" s="64">
        <v>3739</v>
      </c>
      <c r="M411" s="62"/>
      <c r="N411" s="63">
        <v>3739</v>
      </c>
    </row>
    <row r="412" spans="1:14" x14ac:dyDescent="0.25">
      <c r="A412" s="55" t="s">
        <v>41</v>
      </c>
      <c r="B412" s="55" t="s">
        <v>104</v>
      </c>
      <c r="C412" s="55" t="s">
        <v>16</v>
      </c>
      <c r="D412" s="60">
        <v>1</v>
      </c>
      <c r="E412" s="55" t="s">
        <v>108</v>
      </c>
      <c r="F412" s="54" t="s">
        <v>266</v>
      </c>
      <c r="G412" s="60">
        <v>0.97695842857142856</v>
      </c>
      <c r="H412" s="60">
        <v>0.8571428571428571</v>
      </c>
      <c r="I412" s="60">
        <v>1</v>
      </c>
      <c r="K412" s="64">
        <v>5419</v>
      </c>
      <c r="M412" s="62"/>
      <c r="N412" s="63">
        <v>5419</v>
      </c>
    </row>
    <row r="413" spans="1:14" x14ac:dyDescent="0.25">
      <c r="A413" s="55" t="s">
        <v>41</v>
      </c>
      <c r="B413" s="55" t="s">
        <v>104</v>
      </c>
      <c r="C413" s="55" t="s">
        <v>59</v>
      </c>
      <c r="D413" s="60">
        <v>1</v>
      </c>
      <c r="E413" s="55" t="s">
        <v>107</v>
      </c>
      <c r="F413" s="54" t="s">
        <v>269</v>
      </c>
      <c r="G413" s="60">
        <v>1</v>
      </c>
      <c r="H413" s="60">
        <v>1</v>
      </c>
      <c r="I413" s="60">
        <v>1</v>
      </c>
      <c r="K413" s="64">
        <v>4049</v>
      </c>
      <c r="M413" s="62"/>
      <c r="N413" s="63">
        <v>4049</v>
      </c>
    </row>
    <row r="414" spans="1:14" x14ac:dyDescent="0.25">
      <c r="A414" s="55" t="s">
        <v>41</v>
      </c>
      <c r="B414" s="55" t="s">
        <v>104</v>
      </c>
      <c r="C414" s="55" t="s">
        <v>18</v>
      </c>
      <c r="D414" s="60">
        <v>0.82758620689655171</v>
      </c>
      <c r="E414" s="55" t="s">
        <v>19</v>
      </c>
      <c r="F414" s="54" t="s">
        <v>267</v>
      </c>
      <c r="G414" s="60">
        <v>0.6676016521739131</v>
      </c>
      <c r="H414" s="60">
        <v>0.82298134782608701</v>
      </c>
      <c r="I414" s="60">
        <v>0.83887465217391299</v>
      </c>
      <c r="K414" s="64">
        <v>7139</v>
      </c>
      <c r="M414" s="62"/>
      <c r="N414" s="63">
        <v>7139</v>
      </c>
    </row>
    <row r="415" spans="1:14" x14ac:dyDescent="0.25">
      <c r="A415" s="55" t="s">
        <v>41</v>
      </c>
      <c r="B415" s="55" t="s">
        <v>104</v>
      </c>
      <c r="C415" s="55" t="s">
        <v>18</v>
      </c>
      <c r="D415" s="60">
        <v>0.82758620689655171</v>
      </c>
      <c r="E415" s="55" t="s">
        <v>95</v>
      </c>
      <c r="F415" s="54" t="s">
        <v>267</v>
      </c>
      <c r="G415" s="60">
        <v>1</v>
      </c>
      <c r="H415" s="60">
        <v>1</v>
      </c>
      <c r="I415" s="60">
        <v>1</v>
      </c>
      <c r="K415" s="64">
        <v>7569</v>
      </c>
      <c r="M415" s="65"/>
      <c r="N415" s="63">
        <v>7569</v>
      </c>
    </row>
    <row r="416" spans="1:14" x14ac:dyDescent="0.25">
      <c r="A416" s="55" t="s">
        <v>41</v>
      </c>
      <c r="B416" s="55" t="s">
        <v>104</v>
      </c>
      <c r="C416" s="55" t="s">
        <v>18</v>
      </c>
      <c r="D416" s="60">
        <v>0.82758620689655171</v>
      </c>
      <c r="E416" s="55" t="s">
        <v>20</v>
      </c>
      <c r="F416" s="54" t="s">
        <v>267</v>
      </c>
      <c r="G416" s="60">
        <v>0.87096700000000005</v>
      </c>
      <c r="H416" s="60">
        <v>0</v>
      </c>
      <c r="I416" s="60">
        <v>0</v>
      </c>
      <c r="K416" s="64">
        <v>8209</v>
      </c>
      <c r="M416" s="62"/>
      <c r="N416" s="63">
        <v>8209</v>
      </c>
    </row>
    <row r="417" spans="1:14" x14ac:dyDescent="0.25">
      <c r="A417" s="55" t="s">
        <v>41</v>
      </c>
      <c r="B417" s="55" t="s">
        <v>109</v>
      </c>
      <c r="C417" s="55" t="s">
        <v>10</v>
      </c>
      <c r="D417" s="60">
        <v>0.8833333333333333</v>
      </c>
      <c r="E417" s="55" t="s">
        <v>11</v>
      </c>
      <c r="F417" s="54" t="s">
        <v>264</v>
      </c>
      <c r="G417" s="60">
        <v>0.9709677333333333</v>
      </c>
      <c r="H417" s="60">
        <v>0.97976189999999996</v>
      </c>
      <c r="I417" s="60">
        <v>0.90784313333333333</v>
      </c>
      <c r="K417" s="64">
        <v>389</v>
      </c>
      <c r="M417" s="67">
        <v>0.04</v>
      </c>
      <c r="N417" s="63">
        <v>409</v>
      </c>
    </row>
    <row r="418" spans="1:14" x14ac:dyDescent="0.25">
      <c r="A418" s="55" t="s">
        <v>41</v>
      </c>
      <c r="B418" s="55" t="s">
        <v>109</v>
      </c>
      <c r="C418" s="55" t="s">
        <v>10</v>
      </c>
      <c r="D418" s="60">
        <v>0.8833333333333333</v>
      </c>
      <c r="E418" s="55" t="s">
        <v>12</v>
      </c>
      <c r="F418" s="54" t="s">
        <v>264</v>
      </c>
      <c r="G418" s="60">
        <v>0.9907833928571429</v>
      </c>
      <c r="H418" s="60">
        <v>1</v>
      </c>
      <c r="I418" s="60">
        <v>1</v>
      </c>
      <c r="K418" s="64">
        <v>349</v>
      </c>
      <c r="M418" s="62"/>
      <c r="N418" s="63">
        <v>349</v>
      </c>
    </row>
    <row r="419" spans="1:14" x14ac:dyDescent="0.25">
      <c r="A419" s="55" t="s">
        <v>41</v>
      </c>
      <c r="B419" s="55" t="s">
        <v>109</v>
      </c>
      <c r="C419" s="55" t="s">
        <v>10</v>
      </c>
      <c r="D419" s="60">
        <v>0.8833333333333333</v>
      </c>
      <c r="E419" s="55" t="s">
        <v>74</v>
      </c>
      <c r="F419" s="54" t="s">
        <v>264</v>
      </c>
      <c r="G419" s="60">
        <v>0.93548350000000002</v>
      </c>
      <c r="H419" s="60">
        <v>0.92857100000000004</v>
      </c>
      <c r="I419" s="60">
        <v>1</v>
      </c>
      <c r="K419" s="64">
        <v>489</v>
      </c>
      <c r="M419" s="67">
        <v>2.5000000000000001E-2</v>
      </c>
      <c r="N419" s="63">
        <v>509</v>
      </c>
    </row>
    <row r="420" spans="1:14" x14ac:dyDescent="0.25">
      <c r="A420" s="55" t="s">
        <v>41</v>
      </c>
      <c r="B420" s="55" t="s">
        <v>109</v>
      </c>
      <c r="C420" s="55" t="s">
        <v>18</v>
      </c>
      <c r="D420" s="60">
        <v>1</v>
      </c>
      <c r="E420" s="55" t="s">
        <v>110</v>
      </c>
      <c r="F420" s="54" t="s">
        <v>267</v>
      </c>
      <c r="G420" s="60">
        <v>1</v>
      </c>
      <c r="H420" s="60">
        <v>1</v>
      </c>
      <c r="I420" s="60">
        <v>1</v>
      </c>
      <c r="K420" s="64">
        <v>6759</v>
      </c>
      <c r="M420" s="65">
        <v>0.05</v>
      </c>
      <c r="N420" s="63">
        <v>7099</v>
      </c>
    </row>
    <row r="421" spans="1:14" x14ac:dyDescent="0.25">
      <c r="A421" s="55" t="s">
        <v>41</v>
      </c>
      <c r="B421" s="55" t="s">
        <v>109</v>
      </c>
      <c r="C421" s="55" t="s">
        <v>18</v>
      </c>
      <c r="D421" s="60">
        <v>1</v>
      </c>
      <c r="E421" s="55" t="s">
        <v>111</v>
      </c>
      <c r="F421" s="54" t="s">
        <v>267</v>
      </c>
      <c r="G421" s="60">
        <v>1</v>
      </c>
      <c r="H421" s="60">
        <v>1</v>
      </c>
      <c r="I421" s="60">
        <v>1</v>
      </c>
      <c r="K421" s="64">
        <v>7579</v>
      </c>
      <c r="M421" s="62"/>
      <c r="N421" s="63">
        <v>7579</v>
      </c>
    </row>
    <row r="422" spans="1:14" x14ac:dyDescent="0.25">
      <c r="A422" s="55" t="s">
        <v>41</v>
      </c>
      <c r="B422" s="55" t="s">
        <v>109</v>
      </c>
      <c r="C422" s="55" t="s">
        <v>18</v>
      </c>
      <c r="D422" s="60">
        <v>1</v>
      </c>
      <c r="E422" s="55" t="s">
        <v>112</v>
      </c>
      <c r="F422" s="54" t="s">
        <v>267</v>
      </c>
      <c r="G422" s="60">
        <v>1</v>
      </c>
      <c r="H422" s="60">
        <v>1</v>
      </c>
      <c r="I422" s="60">
        <v>1</v>
      </c>
      <c r="K422" s="64">
        <v>7209</v>
      </c>
      <c r="M422" s="62"/>
      <c r="N422" s="63">
        <v>7209</v>
      </c>
    </row>
    <row r="423" spans="1:14" x14ac:dyDescent="0.25">
      <c r="A423" s="55" t="s">
        <v>41</v>
      </c>
      <c r="B423" s="55" t="s">
        <v>109</v>
      </c>
      <c r="C423" s="55" t="s">
        <v>16</v>
      </c>
      <c r="D423" s="60">
        <v>1</v>
      </c>
      <c r="E423" s="55" t="s">
        <v>17</v>
      </c>
      <c r="F423" s="54" t="s">
        <v>266</v>
      </c>
      <c r="G423" s="60">
        <v>1</v>
      </c>
      <c r="H423" s="60">
        <v>1</v>
      </c>
      <c r="I423" s="60">
        <v>1</v>
      </c>
      <c r="K423" s="64">
        <v>5848.2307692307695</v>
      </c>
      <c r="M423" s="67">
        <v>2.5000000000000001E-2</v>
      </c>
      <c r="N423" s="63">
        <v>5999</v>
      </c>
    </row>
    <row r="424" spans="1:14" x14ac:dyDescent="0.25">
      <c r="A424" s="55" t="s">
        <v>41</v>
      </c>
      <c r="B424" s="55" t="s">
        <v>109</v>
      </c>
      <c r="C424" s="55" t="s">
        <v>59</v>
      </c>
      <c r="D424" s="60">
        <v>1</v>
      </c>
      <c r="E424" s="55" t="s">
        <v>12</v>
      </c>
      <c r="F424" s="54" t="s">
        <v>269</v>
      </c>
      <c r="G424" s="60">
        <v>1</v>
      </c>
      <c r="H424" s="60">
        <v>1</v>
      </c>
      <c r="I424" s="60">
        <v>1</v>
      </c>
      <c r="K424" s="64">
        <v>3579</v>
      </c>
      <c r="M424" s="67">
        <v>2.5000000000000001E-2</v>
      </c>
      <c r="N424" s="63">
        <v>3669</v>
      </c>
    </row>
    <row r="425" spans="1:14" x14ac:dyDescent="0.25">
      <c r="A425" s="55" t="s">
        <v>41</v>
      </c>
      <c r="B425" s="55" t="s">
        <v>109</v>
      </c>
      <c r="C425" s="55" t="s">
        <v>16</v>
      </c>
      <c r="D425" s="60">
        <v>1</v>
      </c>
      <c r="E425" s="55" t="s">
        <v>12</v>
      </c>
      <c r="F425" s="54" t="s">
        <v>266</v>
      </c>
      <c r="G425" s="60">
        <v>1</v>
      </c>
      <c r="H425" s="60">
        <v>1</v>
      </c>
      <c r="I425" s="60">
        <v>1</v>
      </c>
      <c r="K425" s="64">
        <v>6059</v>
      </c>
      <c r="M425" s="67">
        <v>2.5000000000000001E-2</v>
      </c>
      <c r="N425" s="63">
        <v>6219</v>
      </c>
    </row>
    <row r="426" spans="1:14" x14ac:dyDescent="0.25">
      <c r="A426" s="55" t="s">
        <v>41</v>
      </c>
      <c r="B426" s="55" t="s">
        <v>109</v>
      </c>
      <c r="C426" s="55" t="s">
        <v>59</v>
      </c>
      <c r="D426" s="60">
        <v>1</v>
      </c>
      <c r="E426" s="55" t="s">
        <v>17</v>
      </c>
      <c r="F426" s="54" t="s">
        <v>269</v>
      </c>
      <c r="G426" s="60">
        <v>1</v>
      </c>
      <c r="H426" s="60">
        <v>1</v>
      </c>
      <c r="I426" s="60">
        <v>1</v>
      </c>
      <c r="K426" s="64">
        <v>3159</v>
      </c>
      <c r="M426" s="67">
        <v>2.5000000000000001E-2</v>
      </c>
      <c r="N426" s="63">
        <v>3239</v>
      </c>
    </row>
    <row r="427" spans="1:14" x14ac:dyDescent="0.25">
      <c r="A427" s="55" t="s">
        <v>41</v>
      </c>
      <c r="B427" s="55" t="s">
        <v>114</v>
      </c>
      <c r="C427" s="55" t="s">
        <v>10</v>
      </c>
      <c r="D427" s="60">
        <v>0.8970588235294118</v>
      </c>
      <c r="E427" s="55" t="s">
        <v>12</v>
      </c>
      <c r="F427" s="54" t="s">
        <v>264</v>
      </c>
      <c r="G427" s="60">
        <v>0.96285433333333337</v>
      </c>
      <c r="H427" s="60">
        <v>0.94155842424242431</v>
      </c>
      <c r="I427" s="60">
        <v>0.94652406060606065</v>
      </c>
      <c r="K427" s="64">
        <v>369</v>
      </c>
      <c r="M427" s="62"/>
      <c r="N427" s="63">
        <v>369</v>
      </c>
    </row>
    <row r="428" spans="1:14" x14ac:dyDescent="0.25">
      <c r="A428" s="55" t="s">
        <v>41</v>
      </c>
      <c r="B428" s="55" t="s">
        <v>114</v>
      </c>
      <c r="C428" s="55" t="s">
        <v>10</v>
      </c>
      <c r="D428" s="60">
        <v>0.8970588235294118</v>
      </c>
      <c r="E428" s="55" t="s">
        <v>11</v>
      </c>
      <c r="F428" s="54" t="s">
        <v>264</v>
      </c>
      <c r="G428" s="60">
        <v>0.95391702857142857</v>
      </c>
      <c r="H428" s="60">
        <v>0.90510202857142863</v>
      </c>
      <c r="I428" s="60">
        <v>0.90756300000000001</v>
      </c>
      <c r="K428" s="64">
        <v>419</v>
      </c>
      <c r="M428" s="62"/>
      <c r="N428" s="63">
        <v>419</v>
      </c>
    </row>
    <row r="429" spans="1:14" x14ac:dyDescent="0.25">
      <c r="A429" s="55" t="s">
        <v>41</v>
      </c>
      <c r="B429" s="55" t="s">
        <v>114</v>
      </c>
      <c r="C429" s="55" t="s">
        <v>16</v>
      </c>
      <c r="D429" s="60">
        <v>0.93181818181818177</v>
      </c>
      <c r="E429" s="55" t="s">
        <v>17</v>
      </c>
      <c r="F429" s="54" t="s">
        <v>266</v>
      </c>
      <c r="G429" s="60">
        <v>0.90725806249999996</v>
      </c>
      <c r="H429" s="60">
        <v>0.89955356249999996</v>
      </c>
      <c r="I429" s="60">
        <v>0.91544112499999997</v>
      </c>
      <c r="K429" s="64">
        <v>4179</v>
      </c>
      <c r="M429" s="62"/>
      <c r="N429" s="63">
        <v>4179</v>
      </c>
    </row>
    <row r="430" spans="1:14" x14ac:dyDescent="0.25">
      <c r="A430" s="55" t="s">
        <v>41</v>
      </c>
      <c r="B430" s="55" t="s">
        <v>114</v>
      </c>
      <c r="C430" s="55" t="s">
        <v>16</v>
      </c>
      <c r="D430" s="60">
        <v>0.93181818181818177</v>
      </c>
      <c r="E430" s="55" t="s">
        <v>82</v>
      </c>
      <c r="F430" s="54" t="s">
        <v>266</v>
      </c>
      <c r="G430" s="60">
        <v>0.83531405263157898</v>
      </c>
      <c r="H430" s="60">
        <v>0.88909768421052626</v>
      </c>
      <c r="I430" s="60">
        <v>0.87925694736842097</v>
      </c>
      <c r="K430" s="64">
        <v>5389</v>
      </c>
      <c r="M430" s="62"/>
      <c r="N430" s="63">
        <v>5389</v>
      </c>
    </row>
    <row r="431" spans="1:14" x14ac:dyDescent="0.25">
      <c r="A431" s="55" t="s">
        <v>41</v>
      </c>
      <c r="B431" s="55" t="s">
        <v>114</v>
      </c>
      <c r="C431" s="55" t="s">
        <v>16</v>
      </c>
      <c r="D431" s="60">
        <v>0.93181818181818177</v>
      </c>
      <c r="E431" s="55" t="s">
        <v>108</v>
      </c>
      <c r="F431" s="54" t="s">
        <v>266</v>
      </c>
      <c r="G431" s="60">
        <v>1</v>
      </c>
      <c r="H431" s="60">
        <v>1</v>
      </c>
      <c r="I431" s="60">
        <v>1</v>
      </c>
      <c r="K431" s="64">
        <v>5449</v>
      </c>
      <c r="M431" s="65">
        <v>0.05</v>
      </c>
      <c r="N431" s="63">
        <v>5729</v>
      </c>
    </row>
    <row r="432" spans="1:14" x14ac:dyDescent="0.25">
      <c r="A432" s="55" t="s">
        <v>41</v>
      </c>
      <c r="B432" s="55" t="s">
        <v>114</v>
      </c>
      <c r="C432" s="55" t="s">
        <v>59</v>
      </c>
      <c r="D432" s="60">
        <v>0.93179999999999996</v>
      </c>
      <c r="E432" s="55" t="s">
        <v>82</v>
      </c>
      <c r="F432" s="54" t="s">
        <v>269</v>
      </c>
      <c r="G432" s="60">
        <v>0.83531405263157898</v>
      </c>
      <c r="H432" s="60">
        <v>0.88909768421052626</v>
      </c>
      <c r="I432" s="60">
        <v>0.87925694736842097</v>
      </c>
      <c r="K432" s="64">
        <v>3879</v>
      </c>
      <c r="M432" s="62"/>
      <c r="N432" s="63">
        <v>3879</v>
      </c>
    </row>
    <row r="433" spans="1:14" x14ac:dyDescent="0.25">
      <c r="A433" s="55" t="s">
        <v>41</v>
      </c>
      <c r="B433" s="55" t="s">
        <v>114</v>
      </c>
      <c r="C433" s="55" t="s">
        <v>59</v>
      </c>
      <c r="D433" s="60">
        <v>0.93179999999999996</v>
      </c>
      <c r="E433" s="55" t="s">
        <v>108</v>
      </c>
      <c r="F433" s="54" t="s">
        <v>269</v>
      </c>
      <c r="G433" s="60">
        <v>1</v>
      </c>
      <c r="H433" s="60">
        <v>1</v>
      </c>
      <c r="I433" s="60">
        <v>1</v>
      </c>
      <c r="K433" s="64">
        <v>4059</v>
      </c>
      <c r="M433" s="65">
        <v>2.5000000000000001E-2</v>
      </c>
      <c r="N433" s="63">
        <v>4169</v>
      </c>
    </row>
    <row r="434" spans="1:14" x14ac:dyDescent="0.25">
      <c r="A434" s="55" t="s">
        <v>41</v>
      </c>
      <c r="B434" s="55" t="s">
        <v>114</v>
      </c>
      <c r="C434" s="55" t="s">
        <v>16</v>
      </c>
      <c r="D434" s="60">
        <v>0.93181818181818177</v>
      </c>
      <c r="E434" s="55" t="s">
        <v>106</v>
      </c>
      <c r="F434" s="54" t="s">
        <v>266</v>
      </c>
      <c r="G434" s="60">
        <v>1</v>
      </c>
      <c r="H434" s="60">
        <v>1</v>
      </c>
      <c r="I434" s="60">
        <v>1</v>
      </c>
      <c r="K434" s="64">
        <v>6669</v>
      </c>
      <c r="M434" s="65">
        <v>2.5000000000000001E-2</v>
      </c>
      <c r="N434" s="63">
        <v>6839</v>
      </c>
    </row>
    <row r="435" spans="1:14" x14ac:dyDescent="0.25">
      <c r="A435" s="55" t="s">
        <v>41</v>
      </c>
      <c r="B435" s="55" t="s">
        <v>114</v>
      </c>
      <c r="C435" s="55" t="s">
        <v>18</v>
      </c>
      <c r="D435" s="60">
        <v>0.9</v>
      </c>
      <c r="E435" s="55" t="s">
        <v>115</v>
      </c>
      <c r="F435" s="54" t="s">
        <v>267</v>
      </c>
      <c r="G435" s="60">
        <v>0.70161275000000001</v>
      </c>
      <c r="H435" s="60">
        <v>0.5</v>
      </c>
      <c r="I435" s="60">
        <v>0.57352924999999999</v>
      </c>
      <c r="K435" s="64">
        <v>6899</v>
      </c>
      <c r="M435" s="62"/>
      <c r="N435" s="63">
        <v>6899</v>
      </c>
    </row>
    <row r="436" spans="1:14" x14ac:dyDescent="0.25">
      <c r="A436" s="55" t="s">
        <v>41</v>
      </c>
      <c r="B436" s="55" t="s">
        <v>114</v>
      </c>
      <c r="C436" s="55" t="s">
        <v>18</v>
      </c>
      <c r="D436" s="60">
        <v>0.9</v>
      </c>
      <c r="E436" s="55" t="s">
        <v>32</v>
      </c>
      <c r="F436" s="54" t="s">
        <v>267</v>
      </c>
      <c r="G436" s="60">
        <v>1</v>
      </c>
      <c r="H436" s="60">
        <v>1</v>
      </c>
      <c r="I436" s="60">
        <v>1</v>
      </c>
      <c r="K436" s="64">
        <v>6119</v>
      </c>
      <c r="M436" s="65">
        <v>2.5000000000000001E-2</v>
      </c>
      <c r="N436" s="63">
        <v>6279</v>
      </c>
    </row>
    <row r="437" spans="1:14" x14ac:dyDescent="0.25">
      <c r="A437" s="55" t="s">
        <v>41</v>
      </c>
      <c r="B437" s="55" t="s">
        <v>114</v>
      </c>
      <c r="C437" s="55" t="s">
        <v>18</v>
      </c>
      <c r="D437" s="60">
        <v>0.9</v>
      </c>
      <c r="E437" s="55" t="s">
        <v>45</v>
      </c>
      <c r="F437" s="54" t="s">
        <v>267</v>
      </c>
      <c r="G437" s="60">
        <v>0.88172033333333333</v>
      </c>
      <c r="H437" s="60">
        <v>1</v>
      </c>
      <c r="I437" s="60">
        <v>1</v>
      </c>
      <c r="K437" s="64">
        <v>6785.666666666667</v>
      </c>
      <c r="M437" s="62"/>
      <c r="N437" s="63">
        <v>6789</v>
      </c>
    </row>
    <row r="438" spans="1:14" x14ac:dyDescent="0.25">
      <c r="A438" s="55" t="s">
        <v>41</v>
      </c>
      <c r="B438" s="55" t="s">
        <v>136</v>
      </c>
      <c r="C438" s="55" t="s">
        <v>10</v>
      </c>
      <c r="D438" s="60">
        <v>0.90322580645161288</v>
      </c>
      <c r="E438" s="55" t="s">
        <v>11</v>
      </c>
      <c r="F438" s="54" t="s">
        <v>264</v>
      </c>
      <c r="G438" s="60">
        <v>0.7603686428571429</v>
      </c>
      <c r="H438" s="60">
        <v>0.75382649999999995</v>
      </c>
      <c r="I438" s="60">
        <v>0.77941175000000007</v>
      </c>
      <c r="K438" s="64">
        <v>349</v>
      </c>
      <c r="M438" s="62"/>
      <c r="N438" s="63">
        <v>349</v>
      </c>
    </row>
    <row r="439" spans="1:14" x14ac:dyDescent="0.25">
      <c r="A439" s="55" t="s">
        <v>41</v>
      </c>
      <c r="B439" s="55" t="s">
        <v>136</v>
      </c>
      <c r="C439" s="55" t="s">
        <v>10</v>
      </c>
      <c r="D439" s="60">
        <v>0.90322580645161288</v>
      </c>
      <c r="E439" s="55" t="s">
        <v>12</v>
      </c>
      <c r="F439" s="54" t="s">
        <v>264</v>
      </c>
      <c r="G439" s="60">
        <v>0.97058823529411764</v>
      </c>
      <c r="H439" s="60">
        <v>0.9726890588235293</v>
      </c>
      <c r="I439" s="60">
        <v>0.97058823529411764</v>
      </c>
      <c r="K439" s="64">
        <v>289</v>
      </c>
      <c r="M439" s="62"/>
      <c r="N439" s="63">
        <v>289</v>
      </c>
    </row>
    <row r="440" spans="1:14" x14ac:dyDescent="0.25">
      <c r="A440" s="55" t="s">
        <v>41</v>
      </c>
      <c r="B440" s="55" t="s">
        <v>136</v>
      </c>
      <c r="C440" s="55" t="s">
        <v>18</v>
      </c>
      <c r="D440" s="60">
        <v>0.81818181818181823</v>
      </c>
      <c r="E440" s="55" t="s">
        <v>14</v>
      </c>
      <c r="F440" s="54" t="s">
        <v>267</v>
      </c>
      <c r="G440" s="60">
        <v>0.97983862499999996</v>
      </c>
      <c r="H440" s="60">
        <v>0.80803562500000004</v>
      </c>
      <c r="I440" s="60">
        <v>0.75</v>
      </c>
      <c r="K440" s="64">
        <v>8539</v>
      </c>
      <c r="M440" s="65">
        <v>-0.05</v>
      </c>
      <c r="N440" s="63">
        <v>8119</v>
      </c>
    </row>
    <row r="441" spans="1:14" x14ac:dyDescent="0.25">
      <c r="A441" s="55" t="s">
        <v>41</v>
      </c>
      <c r="B441" s="55" t="s">
        <v>136</v>
      </c>
      <c r="C441" s="55" t="s">
        <v>18</v>
      </c>
      <c r="D441" s="60">
        <v>0.81818181818181823</v>
      </c>
      <c r="E441" s="55" t="s">
        <v>15</v>
      </c>
      <c r="F441" s="54" t="s">
        <v>267</v>
      </c>
      <c r="G441" s="60">
        <v>1</v>
      </c>
      <c r="H441" s="60">
        <v>1</v>
      </c>
      <c r="I441" s="60">
        <v>1</v>
      </c>
      <c r="K441" s="64">
        <v>11519</v>
      </c>
      <c r="M441" s="65"/>
      <c r="N441" s="63">
        <v>11519</v>
      </c>
    </row>
    <row r="442" spans="1:14" x14ac:dyDescent="0.25">
      <c r="A442" s="55" t="s">
        <v>41</v>
      </c>
      <c r="B442" s="55" t="s">
        <v>136</v>
      </c>
      <c r="C442" s="55" t="s">
        <v>18</v>
      </c>
      <c r="D442" s="60">
        <v>0.81818181818181823</v>
      </c>
      <c r="E442" s="55" t="s">
        <v>105</v>
      </c>
      <c r="F442" s="54" t="s">
        <v>267</v>
      </c>
      <c r="G442" s="60">
        <v>1</v>
      </c>
      <c r="H442" s="60">
        <v>1</v>
      </c>
      <c r="I442" s="60">
        <v>1</v>
      </c>
      <c r="K442" s="64">
        <v>9009</v>
      </c>
      <c r="M442" s="65"/>
      <c r="N442" s="63">
        <v>9009</v>
      </c>
    </row>
    <row r="443" spans="1:14" x14ac:dyDescent="0.25">
      <c r="A443" s="55" t="s">
        <v>41</v>
      </c>
      <c r="B443" s="55" t="s">
        <v>136</v>
      </c>
      <c r="C443" s="55" t="s">
        <v>16</v>
      </c>
      <c r="D443" s="60">
        <v>0.8571428571428571</v>
      </c>
      <c r="E443" s="55" t="s">
        <v>17</v>
      </c>
      <c r="F443" s="54" t="s">
        <v>266</v>
      </c>
      <c r="G443" s="60">
        <v>0.90524187499999997</v>
      </c>
      <c r="H443" s="60">
        <v>0.94642856249999996</v>
      </c>
      <c r="I443" s="60">
        <v>0.97794112499999997</v>
      </c>
      <c r="K443" s="64">
        <v>5689</v>
      </c>
      <c r="M443" s="62"/>
      <c r="N443" s="63">
        <v>5689</v>
      </c>
    </row>
    <row r="444" spans="1:14" x14ac:dyDescent="0.25">
      <c r="A444" s="55" t="s">
        <v>41</v>
      </c>
      <c r="B444" s="55" t="s">
        <v>136</v>
      </c>
      <c r="C444" s="55" t="s">
        <v>16</v>
      </c>
      <c r="D444" s="60">
        <v>0.8571428571428571</v>
      </c>
      <c r="E444" s="55" t="s">
        <v>12</v>
      </c>
      <c r="F444" s="54" t="s">
        <v>266</v>
      </c>
      <c r="G444" s="60">
        <v>0.62096750000000001</v>
      </c>
      <c r="H444" s="60">
        <v>0.74107124999999996</v>
      </c>
      <c r="I444" s="60">
        <v>0.75</v>
      </c>
      <c r="K444" s="64">
        <v>6409</v>
      </c>
      <c r="M444" s="62"/>
      <c r="N444" s="63">
        <v>6409</v>
      </c>
    </row>
    <row r="445" spans="1:14" x14ac:dyDescent="0.25">
      <c r="A445" s="55" t="s">
        <v>41</v>
      </c>
      <c r="B445" s="55" t="s">
        <v>136</v>
      </c>
      <c r="C445" s="55" t="s">
        <v>16</v>
      </c>
      <c r="D445" s="60">
        <v>0.8571428571428571</v>
      </c>
      <c r="E445" s="55" t="s">
        <v>29</v>
      </c>
      <c r="F445" s="54" t="s">
        <v>266</v>
      </c>
      <c r="G445" s="60">
        <v>1</v>
      </c>
      <c r="H445" s="60">
        <v>0.60714199999999996</v>
      </c>
      <c r="I445" s="60">
        <v>0</v>
      </c>
      <c r="K445" s="64">
        <v>7569</v>
      </c>
      <c r="M445" s="62"/>
      <c r="N445" s="63">
        <v>7569</v>
      </c>
    </row>
    <row r="446" spans="1:14" x14ac:dyDescent="0.25">
      <c r="A446" s="55" t="s">
        <v>41</v>
      </c>
      <c r="B446" s="55" t="s">
        <v>152</v>
      </c>
      <c r="C446" s="55" t="s">
        <v>10</v>
      </c>
      <c r="D446" s="60">
        <v>0.76923076923076927</v>
      </c>
      <c r="E446" s="55" t="s">
        <v>12</v>
      </c>
      <c r="F446" s="54" t="s">
        <v>264</v>
      </c>
      <c r="G446" s="60">
        <v>0.83965844117647059</v>
      </c>
      <c r="H446" s="60">
        <v>0.82352941176470584</v>
      </c>
      <c r="I446" s="60">
        <v>0.78200691176470594</v>
      </c>
      <c r="K446" s="64">
        <v>279</v>
      </c>
      <c r="M446" s="62"/>
      <c r="N446" s="63">
        <v>279</v>
      </c>
    </row>
    <row r="447" spans="1:14" x14ac:dyDescent="0.25">
      <c r="A447" s="55" t="s">
        <v>41</v>
      </c>
      <c r="B447" s="55" t="s">
        <v>152</v>
      </c>
      <c r="C447" s="55" t="s">
        <v>10</v>
      </c>
      <c r="D447" s="60">
        <v>0.76923076923076927</v>
      </c>
      <c r="E447" s="55" t="s">
        <v>11</v>
      </c>
      <c r="F447" s="54" t="s">
        <v>264</v>
      </c>
      <c r="G447" s="60">
        <v>0.83691755555555547</v>
      </c>
      <c r="H447" s="60">
        <v>0.85317455555555555</v>
      </c>
      <c r="I447" s="60">
        <v>0.71895422222222227</v>
      </c>
      <c r="K447" s="64">
        <v>319</v>
      </c>
      <c r="M447" s="62"/>
      <c r="N447" s="63">
        <v>319</v>
      </c>
    </row>
    <row r="448" spans="1:14" x14ac:dyDescent="0.25">
      <c r="A448" s="55" t="s">
        <v>41</v>
      </c>
      <c r="B448" s="55" t="s">
        <v>152</v>
      </c>
      <c r="C448" s="55" t="s">
        <v>16</v>
      </c>
      <c r="D448" s="60">
        <v>0.8571428571428571</v>
      </c>
      <c r="E448" s="55" t="s">
        <v>106</v>
      </c>
      <c r="F448" s="54" t="s">
        <v>266</v>
      </c>
      <c r="G448" s="60">
        <v>0.22580600000000001</v>
      </c>
      <c r="H448" s="60">
        <v>0</v>
      </c>
      <c r="I448" s="60">
        <v>0</v>
      </c>
      <c r="K448" s="64">
        <v>7589</v>
      </c>
      <c r="M448" s="62"/>
      <c r="N448" s="63">
        <v>7589</v>
      </c>
    </row>
    <row r="449" spans="1:14" x14ac:dyDescent="0.25">
      <c r="A449" s="55" t="s">
        <v>41</v>
      </c>
      <c r="B449" s="55" t="s">
        <v>152</v>
      </c>
      <c r="C449" s="55" t="s">
        <v>16</v>
      </c>
      <c r="D449" s="60">
        <v>0.8571428571428571</v>
      </c>
      <c r="E449" s="55" t="s">
        <v>82</v>
      </c>
      <c r="F449" s="54" t="s">
        <v>266</v>
      </c>
      <c r="G449" s="60">
        <v>0.85887093749999999</v>
      </c>
      <c r="H449" s="60">
        <v>0.875</v>
      </c>
      <c r="I449" s="60">
        <v>0.85661762500000005</v>
      </c>
      <c r="K449" s="64">
        <v>5809</v>
      </c>
      <c r="M449" s="62"/>
      <c r="N449" s="63">
        <v>5809</v>
      </c>
    </row>
    <row r="450" spans="1:14" x14ac:dyDescent="0.25">
      <c r="A450" s="55" t="s">
        <v>41</v>
      </c>
      <c r="B450" s="55" t="s">
        <v>152</v>
      </c>
      <c r="C450" s="55" t="s">
        <v>16</v>
      </c>
      <c r="D450" s="60">
        <v>0.8571428571428571</v>
      </c>
      <c r="E450" s="55" t="s">
        <v>26</v>
      </c>
      <c r="F450" s="54" t="s">
        <v>266</v>
      </c>
      <c r="G450" s="60">
        <v>0.98207877777777774</v>
      </c>
      <c r="H450" s="60">
        <v>0.85317455555555555</v>
      </c>
      <c r="I450" s="60">
        <v>0.88888888888888884</v>
      </c>
      <c r="K450" s="64">
        <v>5179</v>
      </c>
      <c r="M450" s="62"/>
      <c r="N450" s="63">
        <v>5179</v>
      </c>
    </row>
    <row r="451" spans="1:14" x14ac:dyDescent="0.25">
      <c r="A451" s="55" t="s">
        <v>41</v>
      </c>
      <c r="B451" s="55" t="s">
        <v>152</v>
      </c>
      <c r="C451" s="55" t="s">
        <v>16</v>
      </c>
      <c r="D451" s="60">
        <v>0.8571428571428571</v>
      </c>
      <c r="E451" s="55" t="s">
        <v>17</v>
      </c>
      <c r="F451" s="54" t="s">
        <v>266</v>
      </c>
      <c r="G451" s="60">
        <v>1</v>
      </c>
      <c r="H451" s="60">
        <v>0.94841266666666668</v>
      </c>
      <c r="I451" s="60">
        <v>0.88888888888888884</v>
      </c>
      <c r="K451" s="64">
        <v>4629</v>
      </c>
      <c r="M451" s="62"/>
      <c r="N451" s="63">
        <v>4629</v>
      </c>
    </row>
    <row r="452" spans="1:14" s="66" customFormat="1" x14ac:dyDescent="0.25">
      <c r="A452" s="55" t="s">
        <v>41</v>
      </c>
      <c r="B452" s="55" t="s">
        <v>152</v>
      </c>
      <c r="C452" s="55" t="s">
        <v>21</v>
      </c>
      <c r="D452" s="60">
        <v>0.93333333333333335</v>
      </c>
      <c r="E452" s="55" t="s">
        <v>153</v>
      </c>
      <c r="F452" s="54" t="s">
        <v>268</v>
      </c>
      <c r="G452" s="60">
        <v>0.77777777777777779</v>
      </c>
      <c r="H452" s="60">
        <v>0.8849205555555556</v>
      </c>
      <c r="I452" s="60">
        <v>0.88888888888888884</v>
      </c>
      <c r="J452" s="55"/>
      <c r="K452" s="64">
        <v>1069</v>
      </c>
      <c r="L452" s="55"/>
      <c r="M452" s="62"/>
      <c r="N452" s="63">
        <v>1069</v>
      </c>
    </row>
    <row r="453" spans="1:14" x14ac:dyDescent="0.25">
      <c r="A453" s="55" t="s">
        <v>41</v>
      </c>
      <c r="B453" s="55" t="s">
        <v>152</v>
      </c>
      <c r="C453" s="55" t="s">
        <v>21</v>
      </c>
      <c r="D453" s="60">
        <v>0.93333333333333335</v>
      </c>
      <c r="E453" s="55" t="s">
        <v>154</v>
      </c>
      <c r="F453" s="54" t="s">
        <v>268</v>
      </c>
      <c r="G453" s="60">
        <v>1</v>
      </c>
      <c r="H453" s="60">
        <v>0.94117647058823528</v>
      </c>
      <c r="I453" s="60">
        <v>0.94117647058823528</v>
      </c>
      <c r="K453" s="64">
        <v>1579</v>
      </c>
      <c r="M453" s="62"/>
      <c r="N453" s="63">
        <v>1579</v>
      </c>
    </row>
    <row r="454" spans="1:14" x14ac:dyDescent="0.25">
      <c r="A454" s="55" t="s">
        <v>41</v>
      </c>
      <c r="B454" s="55" t="s">
        <v>152</v>
      </c>
      <c r="C454" s="55" t="s">
        <v>21</v>
      </c>
      <c r="D454" s="60">
        <v>0.93333333333333335</v>
      </c>
      <c r="E454" s="55" t="s">
        <v>155</v>
      </c>
      <c r="F454" s="54" t="s">
        <v>268</v>
      </c>
      <c r="G454" s="60">
        <v>0.94906621052631568</v>
      </c>
      <c r="H454" s="60">
        <v>0.94736842105263153</v>
      </c>
      <c r="I454" s="60">
        <v>0.94736842105263153</v>
      </c>
      <c r="K454" s="64">
        <v>1359</v>
      </c>
      <c r="M454" s="62"/>
      <c r="N454" s="63">
        <v>1359</v>
      </c>
    </row>
    <row r="455" spans="1:14" x14ac:dyDescent="0.25">
      <c r="A455" s="55" t="s">
        <v>41</v>
      </c>
      <c r="B455" s="55" t="s">
        <v>185</v>
      </c>
      <c r="C455" s="55" t="s">
        <v>10</v>
      </c>
      <c r="D455" s="60">
        <v>0.98333333333333328</v>
      </c>
      <c r="E455" s="55" t="s">
        <v>11</v>
      </c>
      <c r="F455" s="54" t="s">
        <v>264</v>
      </c>
      <c r="G455" s="60">
        <v>0.96169353125000001</v>
      </c>
      <c r="H455" s="60">
        <v>0.93861606249999996</v>
      </c>
      <c r="I455" s="60">
        <v>0.93566174999999996</v>
      </c>
      <c r="K455" s="64">
        <v>439</v>
      </c>
      <c r="M455" s="65">
        <v>2.5000000000000001E-2</v>
      </c>
      <c r="N455" s="63">
        <v>449</v>
      </c>
    </row>
    <row r="456" spans="1:14" x14ac:dyDescent="0.25">
      <c r="A456" s="55" t="s">
        <v>41</v>
      </c>
      <c r="B456" s="55" t="s">
        <v>185</v>
      </c>
      <c r="C456" s="55" t="s">
        <v>10</v>
      </c>
      <c r="D456" s="60">
        <v>0.98333333333333328</v>
      </c>
      <c r="E456" s="55" t="s">
        <v>12</v>
      </c>
      <c r="F456" s="54" t="s">
        <v>264</v>
      </c>
      <c r="G456" s="60">
        <v>0.94354837500000011</v>
      </c>
      <c r="H456" s="60">
        <v>0.95684520833333331</v>
      </c>
      <c r="I456" s="60">
        <v>1</v>
      </c>
      <c r="K456" s="64">
        <v>359</v>
      </c>
      <c r="M456" s="65">
        <v>2.5000000000000001E-2</v>
      </c>
      <c r="N456" s="63">
        <v>369</v>
      </c>
    </row>
    <row r="457" spans="1:14" x14ac:dyDescent="0.25">
      <c r="A457" s="55" t="s">
        <v>41</v>
      </c>
      <c r="B457" s="55" t="s">
        <v>185</v>
      </c>
      <c r="C457" s="55" t="s">
        <v>10</v>
      </c>
      <c r="D457" s="60">
        <v>0.98333333333333328</v>
      </c>
      <c r="E457" s="55" t="s">
        <v>74</v>
      </c>
      <c r="F457" s="54" t="s">
        <v>264</v>
      </c>
      <c r="G457" s="60">
        <v>1</v>
      </c>
      <c r="H457" s="60">
        <v>1</v>
      </c>
      <c r="I457" s="60">
        <v>1</v>
      </c>
      <c r="K457" s="64">
        <v>519</v>
      </c>
      <c r="M457" s="65">
        <v>2.5000000000000001E-2</v>
      </c>
      <c r="N457" s="63">
        <v>539</v>
      </c>
    </row>
    <row r="458" spans="1:14" x14ac:dyDescent="0.25">
      <c r="A458" s="55" t="s">
        <v>41</v>
      </c>
      <c r="B458" s="55" t="s">
        <v>185</v>
      </c>
      <c r="C458" s="55" t="s">
        <v>16</v>
      </c>
      <c r="D458" s="60">
        <v>1</v>
      </c>
      <c r="E458" s="55" t="s">
        <v>17</v>
      </c>
      <c r="F458" s="54" t="s">
        <v>266</v>
      </c>
      <c r="G458" s="60">
        <v>0.88639547826086951</v>
      </c>
      <c r="H458" s="60">
        <v>0.92391304347826086</v>
      </c>
      <c r="I458" s="60">
        <v>0.99488486956521738</v>
      </c>
      <c r="K458" s="64">
        <v>5469</v>
      </c>
      <c r="M458" s="67">
        <v>2.5000000000000001E-2</v>
      </c>
      <c r="N458" s="63">
        <v>5609</v>
      </c>
    </row>
    <row r="459" spans="1:14" x14ac:dyDescent="0.25">
      <c r="A459" s="55" t="s">
        <v>41</v>
      </c>
      <c r="B459" s="55" t="s">
        <v>185</v>
      </c>
      <c r="C459" s="55" t="s">
        <v>16</v>
      </c>
      <c r="D459" s="60">
        <v>1</v>
      </c>
      <c r="E459" s="55" t="s">
        <v>12</v>
      </c>
      <c r="F459" s="54" t="s">
        <v>266</v>
      </c>
      <c r="G459" s="60">
        <v>0.98566300000000007</v>
      </c>
      <c r="H459" s="60">
        <v>0.93650788888888892</v>
      </c>
      <c r="I459" s="60">
        <v>1</v>
      </c>
      <c r="K459" s="64">
        <v>5842.333333333333</v>
      </c>
      <c r="M459" s="67">
        <v>2.5000000000000001E-2</v>
      </c>
      <c r="N459" s="63">
        <v>5989</v>
      </c>
    </row>
    <row r="460" spans="1:14" x14ac:dyDescent="0.25">
      <c r="A460" s="55" t="s">
        <v>41</v>
      </c>
      <c r="B460" s="55" t="s">
        <v>185</v>
      </c>
      <c r="C460" s="55" t="s">
        <v>16</v>
      </c>
      <c r="D460" s="60">
        <v>1</v>
      </c>
      <c r="E460" s="55" t="s">
        <v>26</v>
      </c>
      <c r="F460" s="54" t="s">
        <v>266</v>
      </c>
      <c r="G460" s="60">
        <v>1</v>
      </c>
      <c r="H460" s="60">
        <v>1</v>
      </c>
      <c r="I460" s="60">
        <v>1</v>
      </c>
      <c r="K460" s="64">
        <v>5909</v>
      </c>
      <c r="M460" s="67">
        <v>2.5000000000000001E-2</v>
      </c>
      <c r="N460" s="63">
        <v>6059</v>
      </c>
    </row>
    <row r="461" spans="1:14" x14ac:dyDescent="0.25">
      <c r="A461" s="55" t="s">
        <v>41</v>
      </c>
      <c r="B461" s="55" t="s">
        <v>185</v>
      </c>
      <c r="C461" s="55" t="s">
        <v>18</v>
      </c>
      <c r="D461" s="60">
        <v>0.89655172413793105</v>
      </c>
      <c r="E461" s="55" t="s">
        <v>19</v>
      </c>
      <c r="F461" s="54" t="s">
        <v>267</v>
      </c>
      <c r="G461" s="60">
        <v>0.91444599999999998</v>
      </c>
      <c r="H461" s="60">
        <v>0.88664595652173905</v>
      </c>
      <c r="I461" s="60">
        <v>0.85166239130434784</v>
      </c>
      <c r="K461" s="64">
        <v>7569</v>
      </c>
      <c r="M461" s="62"/>
      <c r="N461" s="63">
        <v>7569</v>
      </c>
    </row>
    <row r="462" spans="1:14" x14ac:dyDescent="0.25">
      <c r="A462" s="55" t="s">
        <v>41</v>
      </c>
      <c r="B462" s="55" t="s">
        <v>185</v>
      </c>
      <c r="C462" s="55" t="s">
        <v>18</v>
      </c>
      <c r="D462" s="60">
        <v>0.89655172413793105</v>
      </c>
      <c r="E462" s="55" t="s">
        <v>20</v>
      </c>
      <c r="F462" s="54" t="s">
        <v>267</v>
      </c>
      <c r="G462" s="60">
        <v>1</v>
      </c>
      <c r="H462" s="60">
        <v>1</v>
      </c>
      <c r="I462" s="60">
        <v>0.96078416666666666</v>
      </c>
      <c r="K462" s="64">
        <v>7859</v>
      </c>
      <c r="M462" s="62"/>
      <c r="N462" s="63">
        <v>7859</v>
      </c>
    </row>
    <row r="463" spans="1:14" x14ac:dyDescent="0.25">
      <c r="A463" s="55" t="s">
        <v>41</v>
      </c>
      <c r="B463" s="55" t="s">
        <v>185</v>
      </c>
      <c r="C463" s="55" t="s">
        <v>21</v>
      </c>
      <c r="D463" s="60">
        <v>0.94117647058823528</v>
      </c>
      <c r="E463" s="55" t="s">
        <v>29</v>
      </c>
      <c r="F463" s="54" t="s">
        <v>268</v>
      </c>
      <c r="G463" s="60">
        <v>1</v>
      </c>
      <c r="H463" s="60">
        <v>1</v>
      </c>
      <c r="I463" s="60">
        <v>1</v>
      </c>
      <c r="K463" s="64">
        <v>3069</v>
      </c>
      <c r="M463" s="65">
        <v>2.5000000000000001E-2</v>
      </c>
      <c r="N463" s="63">
        <v>3149</v>
      </c>
    </row>
    <row r="464" spans="1:14" x14ac:dyDescent="0.25">
      <c r="A464" s="55" t="s">
        <v>41</v>
      </c>
      <c r="B464" s="55" t="s">
        <v>185</v>
      </c>
      <c r="C464" s="55" t="s">
        <v>21</v>
      </c>
      <c r="D464" s="60">
        <v>0.94117647058823528</v>
      </c>
      <c r="E464" s="55" t="s">
        <v>31</v>
      </c>
      <c r="F464" s="54" t="s">
        <v>268</v>
      </c>
      <c r="G464" s="60">
        <v>1</v>
      </c>
      <c r="H464" s="60">
        <v>0.98376622727272722</v>
      </c>
      <c r="I464" s="60">
        <v>0.90909090909090906</v>
      </c>
      <c r="K464" s="64">
        <v>3379</v>
      </c>
      <c r="M464" s="62"/>
      <c r="N464" s="63">
        <v>3379</v>
      </c>
    </row>
    <row r="465" spans="1:14" x14ac:dyDescent="0.25">
      <c r="A465" s="55" t="s">
        <v>41</v>
      </c>
      <c r="B465" s="55" t="s">
        <v>202</v>
      </c>
      <c r="C465" s="55" t="s">
        <v>10</v>
      </c>
      <c r="D465" s="60">
        <v>0.94871794871794868</v>
      </c>
      <c r="E465" s="55" t="s">
        <v>12</v>
      </c>
      <c r="F465" s="54" t="s">
        <v>264</v>
      </c>
      <c r="G465" s="60">
        <v>0.86155912499999998</v>
      </c>
      <c r="H465" s="60">
        <v>0.98363091666666669</v>
      </c>
      <c r="I465" s="60">
        <v>0.99264704166666673</v>
      </c>
      <c r="K465" s="64">
        <v>279</v>
      </c>
      <c r="M465" s="62"/>
      <c r="N465" s="63">
        <v>279</v>
      </c>
    </row>
    <row r="466" spans="1:14" x14ac:dyDescent="0.25">
      <c r="A466" s="55" t="s">
        <v>41</v>
      </c>
      <c r="B466" s="55" t="s">
        <v>202</v>
      </c>
      <c r="C466" s="55" t="s">
        <v>10</v>
      </c>
      <c r="D466" s="60">
        <v>0.94871794871794868</v>
      </c>
      <c r="E466" s="55" t="s">
        <v>11</v>
      </c>
      <c r="F466" s="54" t="s">
        <v>264</v>
      </c>
      <c r="G466" s="60">
        <v>0.92903219999999997</v>
      </c>
      <c r="H466" s="60">
        <v>0.99047613333333329</v>
      </c>
      <c r="I466" s="60">
        <v>0.96862740000000003</v>
      </c>
      <c r="K466" s="64">
        <v>329</v>
      </c>
      <c r="M466" s="62"/>
      <c r="N466" s="63">
        <v>329</v>
      </c>
    </row>
    <row r="467" spans="1:14" x14ac:dyDescent="0.25">
      <c r="A467" s="55" t="s">
        <v>41</v>
      </c>
      <c r="B467" s="55" t="s">
        <v>202</v>
      </c>
      <c r="C467" s="55" t="s">
        <v>13</v>
      </c>
      <c r="D467" s="60">
        <v>1</v>
      </c>
      <c r="E467" s="55" t="s">
        <v>15</v>
      </c>
      <c r="F467" s="54" t="s">
        <v>265</v>
      </c>
      <c r="G467" s="60">
        <v>0.947214</v>
      </c>
      <c r="H467" s="60">
        <v>0.97402590909090914</v>
      </c>
      <c r="I467" s="60">
        <v>1</v>
      </c>
      <c r="K467" s="64">
        <v>309</v>
      </c>
      <c r="M467" s="62"/>
      <c r="N467" s="63">
        <v>309</v>
      </c>
    </row>
    <row r="468" spans="1:14" x14ac:dyDescent="0.25">
      <c r="A468" s="55" t="s">
        <v>41</v>
      </c>
      <c r="B468" s="55" t="s">
        <v>202</v>
      </c>
      <c r="C468" s="55" t="s">
        <v>13</v>
      </c>
      <c r="D468" s="60">
        <v>1</v>
      </c>
      <c r="E468" s="55" t="s">
        <v>14</v>
      </c>
      <c r="F468" s="54" t="s">
        <v>265</v>
      </c>
      <c r="G468" s="60">
        <v>1</v>
      </c>
      <c r="H468" s="60">
        <v>1</v>
      </c>
      <c r="I468" s="60">
        <v>1</v>
      </c>
      <c r="K468" s="64">
        <v>329</v>
      </c>
      <c r="M468" s="62"/>
      <c r="N468" s="63">
        <v>329</v>
      </c>
    </row>
    <row r="469" spans="1:14" x14ac:dyDescent="0.25">
      <c r="A469" s="55" t="s">
        <v>41</v>
      </c>
      <c r="B469" s="55" t="s">
        <v>202</v>
      </c>
      <c r="C469" s="55" t="s">
        <v>16</v>
      </c>
      <c r="D469" s="60">
        <v>0.9</v>
      </c>
      <c r="E469" s="55" t="s">
        <v>17</v>
      </c>
      <c r="F469" s="54" t="s">
        <v>266</v>
      </c>
      <c r="G469" s="60">
        <v>0.875</v>
      </c>
      <c r="H469" s="60">
        <v>0.90401781250000002</v>
      </c>
      <c r="I469" s="60">
        <v>0.9375</v>
      </c>
      <c r="K469" s="64">
        <v>5239</v>
      </c>
      <c r="M469" s="62"/>
      <c r="N469" s="63">
        <v>5239</v>
      </c>
    </row>
    <row r="470" spans="1:14" x14ac:dyDescent="0.25">
      <c r="A470" s="55" t="s">
        <v>41</v>
      </c>
      <c r="B470" s="55" t="s">
        <v>202</v>
      </c>
      <c r="C470" s="55" t="s">
        <v>16</v>
      </c>
      <c r="D470" s="60">
        <v>0.9</v>
      </c>
      <c r="E470" s="55" t="s">
        <v>82</v>
      </c>
      <c r="F470" s="54" t="s">
        <v>266</v>
      </c>
      <c r="G470" s="60">
        <v>0.75</v>
      </c>
      <c r="H470" s="60">
        <v>0.75</v>
      </c>
      <c r="I470" s="60">
        <v>0.75</v>
      </c>
      <c r="K470" s="64">
        <v>6319</v>
      </c>
      <c r="M470" s="62"/>
      <c r="N470" s="63">
        <v>6319</v>
      </c>
    </row>
    <row r="471" spans="1:14" x14ac:dyDescent="0.25">
      <c r="A471" s="55" t="s">
        <v>41</v>
      </c>
      <c r="B471" s="55" t="s">
        <v>205</v>
      </c>
      <c r="C471" s="55" t="s">
        <v>10</v>
      </c>
      <c r="D471" s="60">
        <v>0.86764705882352944</v>
      </c>
      <c r="E471" s="55" t="s">
        <v>11</v>
      </c>
      <c r="F471" s="54" t="s">
        <v>264</v>
      </c>
      <c r="G471" s="60">
        <v>0.96989246666666662</v>
      </c>
      <c r="H471" s="60">
        <v>0.96309523333333336</v>
      </c>
      <c r="I471" s="60">
        <v>0.9</v>
      </c>
      <c r="K471" s="64">
        <v>399</v>
      </c>
      <c r="M471" s="62"/>
      <c r="N471" s="63">
        <v>399</v>
      </c>
    </row>
    <row r="472" spans="1:14" x14ac:dyDescent="0.25">
      <c r="A472" s="55" t="s">
        <v>41</v>
      </c>
      <c r="B472" s="55" t="s">
        <v>205</v>
      </c>
      <c r="C472" s="55" t="s">
        <v>10</v>
      </c>
      <c r="D472" s="60">
        <v>0.86764705882352944</v>
      </c>
      <c r="E472" s="55" t="s">
        <v>12</v>
      </c>
      <c r="F472" s="54" t="s">
        <v>264</v>
      </c>
      <c r="G472" s="60">
        <v>0.9585253214285715</v>
      </c>
      <c r="H472" s="60">
        <v>0.97831632142857139</v>
      </c>
      <c r="I472" s="60">
        <v>0.9033613214285714</v>
      </c>
      <c r="K472" s="64">
        <v>319</v>
      </c>
      <c r="M472" s="62"/>
      <c r="N472" s="63">
        <v>319</v>
      </c>
    </row>
    <row r="473" spans="1:14" x14ac:dyDescent="0.25">
      <c r="A473" s="55" t="s">
        <v>41</v>
      </c>
      <c r="B473" s="55" t="s">
        <v>205</v>
      </c>
      <c r="C473" s="55" t="s">
        <v>10</v>
      </c>
      <c r="D473" s="60">
        <v>0.86764705882352944</v>
      </c>
      <c r="E473" s="55" t="s">
        <v>74</v>
      </c>
      <c r="F473" s="54" t="s">
        <v>264</v>
      </c>
      <c r="G473" s="60">
        <v>1</v>
      </c>
      <c r="H473" s="60">
        <v>0.99642850000000005</v>
      </c>
      <c r="I473" s="60">
        <v>0.94117640000000002</v>
      </c>
      <c r="K473" s="64">
        <v>399</v>
      </c>
      <c r="M473" s="62"/>
      <c r="N473" s="63">
        <v>399</v>
      </c>
    </row>
    <row r="474" spans="1:14" x14ac:dyDescent="0.25">
      <c r="A474" s="55" t="s">
        <v>41</v>
      </c>
      <c r="B474" s="55" t="s">
        <v>205</v>
      </c>
      <c r="C474" s="55" t="s">
        <v>13</v>
      </c>
      <c r="D474" s="60">
        <v>0.83333333333333337</v>
      </c>
      <c r="E474" s="55" t="s">
        <v>206</v>
      </c>
      <c r="F474" s="54" t="s">
        <v>265</v>
      </c>
      <c r="G474" s="60">
        <v>0.96774190000000004</v>
      </c>
      <c r="H474" s="60">
        <v>0.89642850000000007</v>
      </c>
      <c r="I474" s="60">
        <v>0.84705879999999989</v>
      </c>
      <c r="K474" s="64">
        <v>409</v>
      </c>
      <c r="M474" s="62"/>
      <c r="N474" s="63">
        <v>409</v>
      </c>
    </row>
    <row r="475" spans="1:14" x14ac:dyDescent="0.25">
      <c r="A475" s="55" t="s">
        <v>41</v>
      </c>
      <c r="B475" s="55" t="s">
        <v>205</v>
      </c>
      <c r="C475" s="55" t="s">
        <v>13</v>
      </c>
      <c r="D475" s="60">
        <v>0.83333333333333337</v>
      </c>
      <c r="E475" s="55" t="s">
        <v>207</v>
      </c>
      <c r="F475" s="54" t="s">
        <v>265</v>
      </c>
      <c r="G475" s="60">
        <v>0.93145149999999999</v>
      </c>
      <c r="H475" s="60">
        <v>0.99107137499999998</v>
      </c>
      <c r="I475" s="60">
        <v>0.75</v>
      </c>
      <c r="K475" s="64">
        <v>339</v>
      </c>
      <c r="M475" s="62"/>
      <c r="N475" s="63">
        <v>339</v>
      </c>
    </row>
    <row r="476" spans="1:14" x14ac:dyDescent="0.25">
      <c r="A476" s="55" t="s">
        <v>41</v>
      </c>
      <c r="B476" s="55" t="s">
        <v>205</v>
      </c>
      <c r="C476" s="55" t="s">
        <v>16</v>
      </c>
      <c r="D476" s="60">
        <v>1</v>
      </c>
      <c r="E476" s="55" t="s">
        <v>17</v>
      </c>
      <c r="F476" s="54" t="s">
        <v>266</v>
      </c>
      <c r="G476" s="60">
        <v>0.99820783333333329</v>
      </c>
      <c r="H476" s="60">
        <v>0.98015872222222222</v>
      </c>
      <c r="I476" s="60">
        <v>0.99673199999999995</v>
      </c>
      <c r="K476" s="64">
        <v>6459</v>
      </c>
      <c r="M476" s="65">
        <v>2.5000000000000001E-2</v>
      </c>
      <c r="N476" s="63">
        <v>6629</v>
      </c>
    </row>
    <row r="477" spans="1:14" x14ac:dyDescent="0.25">
      <c r="A477" s="55" t="s">
        <v>41</v>
      </c>
      <c r="B477" s="55" t="s">
        <v>205</v>
      </c>
      <c r="C477" s="55" t="s">
        <v>16</v>
      </c>
      <c r="D477" s="60">
        <v>1</v>
      </c>
      <c r="E477" s="55" t="s">
        <v>12</v>
      </c>
      <c r="F477" s="54" t="s">
        <v>266</v>
      </c>
      <c r="G477" s="60">
        <v>0.99539157142857149</v>
      </c>
      <c r="H477" s="60">
        <v>0.95918357142857147</v>
      </c>
      <c r="I477" s="60">
        <v>0.89075628571428567</v>
      </c>
      <c r="K477" s="64">
        <v>7029</v>
      </c>
      <c r="M477" s="62"/>
      <c r="N477" s="63">
        <v>7029</v>
      </c>
    </row>
    <row r="478" spans="1:14" x14ac:dyDescent="0.25">
      <c r="A478" s="55" t="s">
        <v>41</v>
      </c>
      <c r="B478" s="55" t="s">
        <v>205</v>
      </c>
      <c r="C478" s="55" t="s">
        <v>21</v>
      </c>
      <c r="D478" s="60">
        <v>0.55000000000000004</v>
      </c>
      <c r="E478" s="55" t="s">
        <v>69</v>
      </c>
      <c r="F478" s="54" t="s">
        <v>268</v>
      </c>
      <c r="G478" s="60" t="s">
        <v>7</v>
      </c>
      <c r="H478" s="60">
        <v>0.342105276084951</v>
      </c>
      <c r="I478" s="60">
        <v>0.5</v>
      </c>
      <c r="K478" s="64">
        <v>2699</v>
      </c>
      <c r="M478" s="62"/>
      <c r="N478" s="63">
        <v>2699</v>
      </c>
    </row>
    <row r="479" spans="1:14" x14ac:dyDescent="0.25">
      <c r="A479" s="55" t="s">
        <v>41</v>
      </c>
      <c r="B479" s="55" t="s">
        <v>205</v>
      </c>
      <c r="C479" s="55" t="s">
        <v>21</v>
      </c>
      <c r="D479" s="60">
        <v>0.55000000000000004</v>
      </c>
      <c r="E479" s="55" t="s">
        <v>70</v>
      </c>
      <c r="F479" s="54" t="s">
        <v>268</v>
      </c>
      <c r="G479" s="60" t="s">
        <v>7</v>
      </c>
      <c r="H479" s="60">
        <v>0.3081395187939423</v>
      </c>
      <c r="I479" s="60">
        <v>0.5784313333333333</v>
      </c>
      <c r="K479" s="64">
        <v>2982.3333333333335</v>
      </c>
      <c r="M479" s="62"/>
      <c r="N479" s="63">
        <v>2989</v>
      </c>
    </row>
    <row r="480" spans="1:14" x14ac:dyDescent="0.25">
      <c r="A480" s="55" t="s">
        <v>41</v>
      </c>
      <c r="B480" s="55" t="s">
        <v>226</v>
      </c>
      <c r="C480" s="55" t="s">
        <v>10</v>
      </c>
      <c r="D480" s="60">
        <v>0.91935483870967738</v>
      </c>
      <c r="E480" s="55" t="s">
        <v>11</v>
      </c>
      <c r="F480" s="54" t="s">
        <v>264</v>
      </c>
      <c r="G480" s="60">
        <v>0.97877757894736839</v>
      </c>
      <c r="H480" s="60">
        <v>0.96992478947368432</v>
      </c>
      <c r="I480" s="60">
        <v>0.97213621052631571</v>
      </c>
      <c r="K480" s="64">
        <v>449</v>
      </c>
      <c r="M480" s="62"/>
      <c r="N480" s="63">
        <v>449</v>
      </c>
    </row>
    <row r="481" spans="1:14" x14ac:dyDescent="0.25">
      <c r="A481" s="55" t="s">
        <v>41</v>
      </c>
      <c r="B481" s="55" t="s">
        <v>226</v>
      </c>
      <c r="C481" s="55" t="s">
        <v>10</v>
      </c>
      <c r="D481" s="60">
        <v>0.91935483870967738</v>
      </c>
      <c r="E481" s="55" t="s">
        <v>12</v>
      </c>
      <c r="F481" s="54" t="s">
        <v>264</v>
      </c>
      <c r="G481" s="60">
        <v>0.96370966666666658</v>
      </c>
      <c r="H481" s="60">
        <v>0.94791666666666663</v>
      </c>
      <c r="I481" s="60">
        <v>0.90931370833333336</v>
      </c>
      <c r="K481" s="64">
        <v>369</v>
      </c>
      <c r="M481" s="62"/>
      <c r="N481" s="63">
        <v>369</v>
      </c>
    </row>
    <row r="482" spans="1:14" x14ac:dyDescent="0.25">
      <c r="A482" s="55" t="s">
        <v>41</v>
      </c>
      <c r="B482" s="55" t="s">
        <v>226</v>
      </c>
      <c r="C482" s="55" t="s">
        <v>16</v>
      </c>
      <c r="D482" s="60">
        <v>0.93939393939393945</v>
      </c>
      <c r="E482" s="55" t="s">
        <v>17</v>
      </c>
      <c r="F482" s="54" t="s">
        <v>266</v>
      </c>
      <c r="G482" s="60">
        <v>0.969086</v>
      </c>
      <c r="H482" s="60">
        <v>0.95386904166666664</v>
      </c>
      <c r="I482" s="60">
        <v>0.91176466666666667</v>
      </c>
      <c r="K482" s="64">
        <v>5869</v>
      </c>
      <c r="M482" s="62"/>
      <c r="N482" s="63">
        <v>5869</v>
      </c>
    </row>
    <row r="483" spans="1:14" x14ac:dyDescent="0.25">
      <c r="A483" s="55" t="s">
        <v>41</v>
      </c>
      <c r="B483" s="55" t="s">
        <v>226</v>
      </c>
      <c r="C483" s="55" t="s">
        <v>16</v>
      </c>
      <c r="D483" s="60">
        <v>0.93939393939393945</v>
      </c>
      <c r="E483" s="55" t="s">
        <v>12</v>
      </c>
      <c r="F483" s="54" t="s">
        <v>266</v>
      </c>
      <c r="G483" s="60">
        <v>0.9032257142857143</v>
      </c>
      <c r="H483" s="60">
        <v>0.9285714285714286</v>
      </c>
      <c r="I483" s="60">
        <v>0.92436971428571435</v>
      </c>
      <c r="K483" s="64">
        <v>6499</v>
      </c>
      <c r="M483" s="62"/>
      <c r="N483" s="63">
        <v>6499</v>
      </c>
    </row>
    <row r="484" spans="1:14" x14ac:dyDescent="0.25">
      <c r="A484" s="55" t="s">
        <v>41</v>
      </c>
      <c r="B484" s="55" t="s">
        <v>226</v>
      </c>
      <c r="C484" s="55" t="s">
        <v>16</v>
      </c>
      <c r="D484" s="60">
        <v>0.93939393939393945</v>
      </c>
      <c r="E484" s="55" t="s">
        <v>26</v>
      </c>
      <c r="F484" s="54" t="s">
        <v>266</v>
      </c>
      <c r="G484" s="60">
        <v>1</v>
      </c>
      <c r="H484" s="60">
        <v>1</v>
      </c>
      <c r="I484" s="60">
        <v>1</v>
      </c>
      <c r="K484" s="64">
        <v>7379</v>
      </c>
      <c r="M484" s="65"/>
      <c r="N484" s="63">
        <v>7379</v>
      </c>
    </row>
    <row r="485" spans="1:14" x14ac:dyDescent="0.25">
      <c r="A485" s="55" t="s">
        <v>41</v>
      </c>
      <c r="B485" s="55" t="s">
        <v>226</v>
      </c>
      <c r="C485" s="55" t="s">
        <v>21</v>
      </c>
      <c r="D485" s="60">
        <v>0.5178571428571429</v>
      </c>
      <c r="E485" s="55" t="s">
        <v>227</v>
      </c>
      <c r="F485" s="54" t="s">
        <v>268</v>
      </c>
      <c r="G485" s="60">
        <v>0.67025088888888884</v>
      </c>
      <c r="H485" s="60">
        <v>0.66666666666666663</v>
      </c>
      <c r="I485" s="60">
        <v>0.60784311111111111</v>
      </c>
      <c r="K485" s="64">
        <v>3299</v>
      </c>
      <c r="M485" s="62"/>
      <c r="N485" s="63">
        <v>3299</v>
      </c>
    </row>
    <row r="486" spans="1:14" x14ac:dyDescent="0.25">
      <c r="A486" s="55" t="s">
        <v>41</v>
      </c>
      <c r="B486" s="55" t="s">
        <v>226</v>
      </c>
      <c r="C486" s="55" t="s">
        <v>21</v>
      </c>
      <c r="D486" s="60">
        <v>0.5178571428571429</v>
      </c>
      <c r="E486" s="55" t="s">
        <v>79</v>
      </c>
      <c r="F486" s="54" t="s">
        <v>268</v>
      </c>
      <c r="G486" s="60">
        <v>0.95238095238095233</v>
      </c>
      <c r="H486" s="60">
        <v>0.93027209523809518</v>
      </c>
      <c r="I486" s="60">
        <v>0.90476190476190477</v>
      </c>
      <c r="K486" s="64">
        <v>3299</v>
      </c>
      <c r="M486" s="62"/>
      <c r="N486" s="63">
        <v>3299</v>
      </c>
    </row>
    <row r="487" spans="1:14" x14ac:dyDescent="0.25">
      <c r="A487" s="55" t="s">
        <v>41</v>
      </c>
      <c r="B487" s="55" t="s">
        <v>226</v>
      </c>
      <c r="C487" s="55" t="s">
        <v>21</v>
      </c>
      <c r="D487" s="60">
        <v>0.5178571428571429</v>
      </c>
      <c r="E487" s="55" t="s">
        <v>70</v>
      </c>
      <c r="F487" s="54" t="s">
        <v>268</v>
      </c>
      <c r="G487" s="60" t="s">
        <v>7</v>
      </c>
      <c r="H487" s="60">
        <v>0.15561221428571428</v>
      </c>
      <c r="I487" s="60">
        <v>0.2857142857142857</v>
      </c>
      <c r="K487" s="64">
        <v>3749</v>
      </c>
      <c r="M487" s="62"/>
      <c r="N487" s="63">
        <v>3749</v>
      </c>
    </row>
    <row r="488" spans="1:14" x14ac:dyDescent="0.25">
      <c r="A488" s="55" t="s">
        <v>41</v>
      </c>
      <c r="B488" s="55" t="s">
        <v>226</v>
      </c>
      <c r="C488" s="55" t="s">
        <v>21</v>
      </c>
      <c r="D488" s="60">
        <v>0.5178571428571429</v>
      </c>
      <c r="E488" s="55" t="s">
        <v>69</v>
      </c>
      <c r="F488" s="54" t="s">
        <v>268</v>
      </c>
      <c r="G488" s="60" t="s">
        <v>7</v>
      </c>
      <c r="H488" s="60">
        <v>8.0357083333333329E-2</v>
      </c>
      <c r="I488" s="60">
        <v>8.3333333333333329E-2</v>
      </c>
      <c r="K488" s="64">
        <v>3299</v>
      </c>
      <c r="M488" s="62"/>
      <c r="N488" s="63">
        <v>3299</v>
      </c>
    </row>
    <row r="489" spans="1:14" x14ac:dyDescent="0.25">
      <c r="A489" s="55" t="s">
        <v>41</v>
      </c>
      <c r="B489" s="55" t="s">
        <v>231</v>
      </c>
      <c r="C489" s="55" t="s">
        <v>10</v>
      </c>
      <c r="D489" s="60">
        <v>0.95522388059701491</v>
      </c>
      <c r="E489" s="55" t="s">
        <v>17</v>
      </c>
      <c r="F489" s="54" t="s">
        <v>264</v>
      </c>
      <c r="G489" s="60">
        <v>0.95161282352941168</v>
      </c>
      <c r="H489" s="60">
        <v>0.92647055882352936</v>
      </c>
      <c r="I489" s="60">
        <v>0.9826989117647057</v>
      </c>
      <c r="K489" s="64">
        <v>359.58823529411762</v>
      </c>
      <c r="M489" s="65">
        <v>2.5000000000000001E-2</v>
      </c>
      <c r="N489" s="63">
        <v>369</v>
      </c>
    </row>
    <row r="490" spans="1:14" x14ac:dyDescent="0.25">
      <c r="A490" s="55" t="s">
        <v>41</v>
      </c>
      <c r="B490" s="55" t="s">
        <v>231</v>
      </c>
      <c r="C490" s="55" t="s">
        <v>10</v>
      </c>
      <c r="D490" s="60">
        <v>0.95522388059701491</v>
      </c>
      <c r="E490" s="55" t="s">
        <v>30</v>
      </c>
      <c r="F490" s="54" t="s">
        <v>264</v>
      </c>
      <c r="G490" s="60">
        <v>0.8978491666666667</v>
      </c>
      <c r="H490" s="60">
        <v>0.92857116666666661</v>
      </c>
      <c r="I490" s="60">
        <v>0.90196049999999994</v>
      </c>
      <c r="K490" s="64">
        <v>397.33333333333331</v>
      </c>
      <c r="M490" s="65">
        <v>2.5000000000000001E-2</v>
      </c>
      <c r="N490" s="63">
        <v>409</v>
      </c>
    </row>
    <row r="491" spans="1:14" x14ac:dyDescent="0.25">
      <c r="A491" s="55" t="s">
        <v>41</v>
      </c>
      <c r="B491" s="55" t="s">
        <v>231</v>
      </c>
      <c r="C491" s="55" t="s">
        <v>10</v>
      </c>
      <c r="D491" s="60">
        <v>0.95522388059701491</v>
      </c>
      <c r="E491" s="55" t="s">
        <v>44</v>
      </c>
      <c r="F491" s="54" t="s">
        <v>264</v>
      </c>
      <c r="G491" s="60">
        <v>0.98655908333333331</v>
      </c>
      <c r="H491" s="60">
        <v>1</v>
      </c>
      <c r="I491" s="60">
        <v>0.98529408333333335</v>
      </c>
      <c r="K491" s="64">
        <v>339</v>
      </c>
      <c r="M491" s="65">
        <v>2.5000000000000001E-2</v>
      </c>
      <c r="N491" s="63">
        <v>349</v>
      </c>
    </row>
    <row r="492" spans="1:14" x14ac:dyDescent="0.25">
      <c r="A492" s="55" t="s">
        <v>41</v>
      </c>
      <c r="B492" s="55" t="s">
        <v>231</v>
      </c>
      <c r="C492" s="55" t="s">
        <v>16</v>
      </c>
      <c r="D492" s="60">
        <v>1</v>
      </c>
      <c r="E492" s="55" t="s">
        <v>232</v>
      </c>
      <c r="F492" s="54" t="s">
        <v>266</v>
      </c>
      <c r="G492" s="60">
        <v>0.99731175000000005</v>
      </c>
      <c r="H492" s="60">
        <v>0.99702374999999999</v>
      </c>
      <c r="I492" s="60">
        <v>1</v>
      </c>
      <c r="K492" s="64">
        <v>6173.166666666667</v>
      </c>
      <c r="M492" s="67">
        <v>0.05</v>
      </c>
      <c r="N492" s="63">
        <v>6489</v>
      </c>
    </row>
    <row r="493" spans="1:14" x14ac:dyDescent="0.25">
      <c r="A493" s="55" t="s">
        <v>41</v>
      </c>
      <c r="B493" s="55" t="s">
        <v>231</v>
      </c>
      <c r="C493" s="55" t="s">
        <v>16</v>
      </c>
      <c r="D493" s="60">
        <v>1</v>
      </c>
      <c r="E493" s="55" t="s">
        <v>233</v>
      </c>
      <c r="F493" s="54" t="s">
        <v>266</v>
      </c>
      <c r="G493" s="60">
        <v>1</v>
      </c>
      <c r="H493" s="60">
        <v>1</v>
      </c>
      <c r="I493" s="60">
        <v>1</v>
      </c>
      <c r="K493" s="64">
        <v>6779</v>
      </c>
      <c r="M493" s="67">
        <v>2.5000000000000001E-2</v>
      </c>
      <c r="N493" s="63">
        <v>6949</v>
      </c>
    </row>
    <row r="494" spans="1:14" x14ac:dyDescent="0.25">
      <c r="A494" s="55" t="s">
        <v>41</v>
      </c>
      <c r="B494" s="55" t="s">
        <v>231</v>
      </c>
      <c r="C494" s="55" t="s">
        <v>16</v>
      </c>
      <c r="D494" s="60">
        <v>1</v>
      </c>
      <c r="E494" s="55" t="s">
        <v>17</v>
      </c>
      <c r="F494" s="54" t="s">
        <v>266</v>
      </c>
      <c r="G494" s="60">
        <v>0.9978494</v>
      </c>
      <c r="H494" s="60">
        <v>0.95714279999999996</v>
      </c>
      <c r="I494" s="60">
        <v>0.94901959999999996</v>
      </c>
      <c r="K494" s="64">
        <v>6533</v>
      </c>
      <c r="M494" s="62"/>
      <c r="N494" s="63">
        <v>6539</v>
      </c>
    </row>
    <row r="495" spans="1:14" x14ac:dyDescent="0.25">
      <c r="A495" s="55" t="s">
        <v>41</v>
      </c>
      <c r="B495" s="55" t="s">
        <v>231</v>
      </c>
      <c r="C495" s="55" t="s">
        <v>16</v>
      </c>
      <c r="D495" s="60">
        <v>1</v>
      </c>
      <c r="E495" s="55" t="s">
        <v>44</v>
      </c>
      <c r="F495" s="54" t="s">
        <v>266</v>
      </c>
      <c r="G495" s="60">
        <v>1</v>
      </c>
      <c r="H495" s="60">
        <v>0.99107124999999996</v>
      </c>
      <c r="I495" s="60">
        <v>1</v>
      </c>
      <c r="K495" s="64">
        <v>6939</v>
      </c>
      <c r="M495" s="62"/>
      <c r="N495" s="63">
        <v>6939</v>
      </c>
    </row>
    <row r="496" spans="1:14" x14ac:dyDescent="0.25">
      <c r="A496" s="55" t="s">
        <v>41</v>
      </c>
      <c r="B496" s="55" t="s">
        <v>248</v>
      </c>
      <c r="C496" s="55" t="s">
        <v>10</v>
      </c>
      <c r="D496" s="60">
        <v>0.95652173913043481</v>
      </c>
      <c r="E496" s="55" t="s">
        <v>11</v>
      </c>
      <c r="F496" s="54" t="s">
        <v>264</v>
      </c>
      <c r="G496" s="60">
        <v>0.97190425806451608</v>
      </c>
      <c r="H496" s="60">
        <v>0.96082948387096767</v>
      </c>
      <c r="I496" s="60">
        <v>0.94686906451612907</v>
      </c>
      <c r="K496" s="64">
        <v>339</v>
      </c>
      <c r="M496" s="65">
        <v>2.5000000000000001E-2</v>
      </c>
      <c r="N496" s="63">
        <v>349</v>
      </c>
    </row>
    <row r="497" spans="1:14" x14ac:dyDescent="0.25">
      <c r="A497" s="55" t="s">
        <v>41</v>
      </c>
      <c r="B497" s="55" t="s">
        <v>248</v>
      </c>
      <c r="C497" s="55" t="s">
        <v>10</v>
      </c>
      <c r="D497" s="60">
        <v>0.95652173913043481</v>
      </c>
      <c r="E497" s="55" t="s">
        <v>12</v>
      </c>
      <c r="F497" s="54" t="s">
        <v>264</v>
      </c>
      <c r="G497" s="60">
        <v>0.99575550000000002</v>
      </c>
      <c r="H497" s="60">
        <v>0.94924810526315784</v>
      </c>
      <c r="I497" s="60">
        <v>0.97678018421052626</v>
      </c>
      <c r="K497" s="64">
        <v>299</v>
      </c>
      <c r="M497" s="65">
        <v>2.5000000000000001E-2</v>
      </c>
      <c r="N497" s="63">
        <v>309</v>
      </c>
    </row>
    <row r="498" spans="1:14" x14ac:dyDescent="0.25">
      <c r="A498" s="55" t="s">
        <v>41</v>
      </c>
      <c r="B498" s="55" t="s">
        <v>248</v>
      </c>
      <c r="C498" s="55" t="s">
        <v>18</v>
      </c>
      <c r="D498" s="60">
        <v>1</v>
      </c>
      <c r="E498" s="55" t="s">
        <v>33</v>
      </c>
      <c r="F498" s="54" t="s">
        <v>267</v>
      </c>
      <c r="G498" s="60">
        <v>0.99078328571428564</v>
      </c>
      <c r="H498" s="60">
        <v>0.98469385714285718</v>
      </c>
      <c r="I498" s="60">
        <v>0.98319314285714288</v>
      </c>
      <c r="K498" s="64">
        <v>7349</v>
      </c>
      <c r="M498" s="65">
        <v>2.5000000000000001E-2</v>
      </c>
      <c r="N498" s="63">
        <v>7539</v>
      </c>
    </row>
    <row r="499" spans="1:14" x14ac:dyDescent="0.25">
      <c r="A499" s="55" t="s">
        <v>41</v>
      </c>
      <c r="B499" s="55" t="s">
        <v>248</v>
      </c>
      <c r="C499" s="55" t="s">
        <v>18</v>
      </c>
      <c r="D499" s="60">
        <v>1</v>
      </c>
      <c r="E499" s="55" t="s">
        <v>83</v>
      </c>
      <c r="F499" s="54" t="s">
        <v>267</v>
      </c>
      <c r="G499" s="60">
        <v>1</v>
      </c>
      <c r="H499" s="60">
        <v>1</v>
      </c>
      <c r="I499" s="60">
        <v>1</v>
      </c>
      <c r="K499" s="64">
        <v>8069</v>
      </c>
      <c r="M499" s="62"/>
      <c r="N499" s="63">
        <v>8069</v>
      </c>
    </row>
    <row r="500" spans="1:14" x14ac:dyDescent="0.25">
      <c r="A500" s="55" t="s">
        <v>41</v>
      </c>
      <c r="B500" s="55" t="s">
        <v>248</v>
      </c>
      <c r="C500" s="55" t="s">
        <v>16</v>
      </c>
      <c r="D500" s="60">
        <v>0.95454545454545459</v>
      </c>
      <c r="E500" s="55" t="s">
        <v>17</v>
      </c>
      <c r="F500" s="54" t="s">
        <v>266</v>
      </c>
      <c r="G500" s="60">
        <v>0.99283149999999998</v>
      </c>
      <c r="H500" s="60">
        <v>0.98412688888888888</v>
      </c>
      <c r="I500" s="60">
        <v>0.99019599999999997</v>
      </c>
      <c r="K500" s="64">
        <v>6259</v>
      </c>
      <c r="M500" s="62"/>
      <c r="N500" s="63">
        <v>6259</v>
      </c>
    </row>
    <row r="501" spans="1:14" x14ac:dyDescent="0.25">
      <c r="A501" s="55" t="s">
        <v>41</v>
      </c>
      <c r="B501" s="55" t="s">
        <v>248</v>
      </c>
      <c r="C501" s="55" t="s">
        <v>16</v>
      </c>
      <c r="D501" s="60">
        <v>0.95454545454545459</v>
      </c>
      <c r="E501" s="55" t="s">
        <v>12</v>
      </c>
      <c r="F501" s="54" t="s">
        <v>266</v>
      </c>
      <c r="G501" s="60">
        <v>1</v>
      </c>
      <c r="H501" s="60">
        <v>1</v>
      </c>
      <c r="I501" s="60">
        <v>1</v>
      </c>
      <c r="K501" s="64">
        <v>7689</v>
      </c>
      <c r="M501" s="62"/>
      <c r="N501" s="63">
        <v>7689</v>
      </c>
    </row>
    <row r="502" spans="1:14" x14ac:dyDescent="0.25">
      <c r="A502" s="55" t="s">
        <v>41</v>
      </c>
      <c r="B502" s="55" t="s">
        <v>248</v>
      </c>
      <c r="C502" s="55" t="s">
        <v>21</v>
      </c>
      <c r="D502" s="60">
        <v>1</v>
      </c>
      <c r="E502" s="55" t="s">
        <v>31</v>
      </c>
      <c r="F502" s="54" t="s">
        <v>268</v>
      </c>
      <c r="G502" s="60">
        <v>1</v>
      </c>
      <c r="H502" s="60">
        <v>1</v>
      </c>
      <c r="I502" s="60">
        <v>1</v>
      </c>
      <c r="K502" s="64">
        <v>3109</v>
      </c>
      <c r="M502" s="65">
        <v>2.5000000000000001E-2</v>
      </c>
      <c r="N502" s="63">
        <v>3189</v>
      </c>
    </row>
    <row r="503" spans="1:14" x14ac:dyDescent="0.25">
      <c r="A503" s="55" t="s">
        <v>41</v>
      </c>
      <c r="B503" s="55" t="s">
        <v>248</v>
      </c>
      <c r="C503" s="55" t="s">
        <v>21</v>
      </c>
      <c r="D503" s="60">
        <v>1</v>
      </c>
      <c r="E503" s="55" t="s">
        <v>29</v>
      </c>
      <c r="F503" s="54" t="s">
        <v>268</v>
      </c>
      <c r="G503" s="60">
        <v>1</v>
      </c>
      <c r="H503" s="60">
        <v>1</v>
      </c>
      <c r="I503" s="60">
        <v>1</v>
      </c>
      <c r="K503" s="64">
        <v>2869</v>
      </c>
      <c r="M503" s="65">
        <v>2.5000000000000001E-2</v>
      </c>
      <c r="N503" s="63">
        <v>2949</v>
      </c>
    </row>
    <row r="504" spans="1:14" x14ac:dyDescent="0.25">
      <c r="A504" s="55" t="s">
        <v>164</v>
      </c>
      <c r="B504" s="55" t="s">
        <v>165</v>
      </c>
      <c r="C504" s="55" t="s">
        <v>10</v>
      </c>
      <c r="D504" s="60">
        <v>0.96363636363636362</v>
      </c>
      <c r="E504" s="55" t="s">
        <v>11</v>
      </c>
      <c r="F504" s="54" t="s">
        <v>264</v>
      </c>
      <c r="G504" s="60">
        <v>0.71505375000000004</v>
      </c>
      <c r="H504" s="60">
        <v>0.75446424999999995</v>
      </c>
      <c r="I504" s="60">
        <v>0.86764704166666673</v>
      </c>
      <c r="K504" s="64">
        <v>379</v>
      </c>
      <c r="M504" s="62"/>
      <c r="N504" s="63">
        <v>379</v>
      </c>
    </row>
    <row r="505" spans="1:14" x14ac:dyDescent="0.25">
      <c r="A505" s="55" t="s">
        <v>164</v>
      </c>
      <c r="B505" s="55" t="s">
        <v>165</v>
      </c>
      <c r="C505" s="55" t="s">
        <v>10</v>
      </c>
      <c r="D505" s="60">
        <v>0.96363636363636362</v>
      </c>
      <c r="E505" s="55" t="s">
        <v>12</v>
      </c>
      <c r="F505" s="54" t="s">
        <v>264</v>
      </c>
      <c r="G505" s="60">
        <v>0.98126948387096768</v>
      </c>
      <c r="H505" s="60">
        <v>0.97926264516129036</v>
      </c>
      <c r="I505" s="60">
        <v>1</v>
      </c>
      <c r="K505" s="64">
        <v>329</v>
      </c>
      <c r="M505" s="62"/>
      <c r="N505" s="63">
        <v>329</v>
      </c>
    </row>
    <row r="506" spans="1:14" x14ac:dyDescent="0.25">
      <c r="A506" s="55" t="s">
        <v>164</v>
      </c>
      <c r="B506" s="55" t="s">
        <v>165</v>
      </c>
      <c r="C506" s="55" t="s">
        <v>13</v>
      </c>
      <c r="D506" s="60">
        <v>1</v>
      </c>
      <c r="E506" s="55" t="s">
        <v>14</v>
      </c>
      <c r="F506" s="54" t="s">
        <v>265</v>
      </c>
      <c r="G506" s="60">
        <v>0.97043008333333336</v>
      </c>
      <c r="H506" s="60">
        <v>1</v>
      </c>
      <c r="I506" s="60">
        <v>1</v>
      </c>
      <c r="K506" s="64">
        <v>379</v>
      </c>
      <c r="M506" s="62"/>
      <c r="N506" s="63">
        <v>379</v>
      </c>
    </row>
    <row r="507" spans="1:14" x14ac:dyDescent="0.25">
      <c r="A507" s="55" t="s">
        <v>164</v>
      </c>
      <c r="B507" s="55" t="s">
        <v>165</v>
      </c>
      <c r="C507" s="55" t="s">
        <v>16</v>
      </c>
      <c r="D507" s="60">
        <v>0.90909090909090906</v>
      </c>
      <c r="E507" s="55" t="s">
        <v>17</v>
      </c>
      <c r="F507" s="54" t="s">
        <v>266</v>
      </c>
      <c r="G507" s="60">
        <v>0.84587811111111111</v>
      </c>
      <c r="H507" s="60">
        <v>0.82142855555555561</v>
      </c>
      <c r="I507" s="60">
        <v>0.84640522222222225</v>
      </c>
      <c r="K507" s="64">
        <v>5149</v>
      </c>
      <c r="M507" s="62"/>
      <c r="N507" s="63">
        <v>5149</v>
      </c>
    </row>
    <row r="508" spans="1:14" x14ac:dyDescent="0.25">
      <c r="A508" s="55" t="s">
        <v>164</v>
      </c>
      <c r="B508" s="55" t="s">
        <v>165</v>
      </c>
      <c r="C508" s="55" t="s">
        <v>16</v>
      </c>
      <c r="D508" s="60">
        <v>0.90909090909090906</v>
      </c>
      <c r="E508" s="55" t="s">
        <v>12</v>
      </c>
      <c r="F508" s="54" t="s">
        <v>266</v>
      </c>
      <c r="G508" s="60">
        <v>1</v>
      </c>
      <c r="H508" s="60">
        <v>1</v>
      </c>
      <c r="I508" s="60">
        <v>1</v>
      </c>
      <c r="K508" s="64">
        <v>6369</v>
      </c>
      <c r="M508" s="65"/>
      <c r="N508" s="63">
        <v>6369</v>
      </c>
    </row>
    <row r="509" spans="1:14" x14ac:dyDescent="0.25">
      <c r="A509" s="55" t="s">
        <v>164</v>
      </c>
      <c r="B509" s="55" t="s">
        <v>186</v>
      </c>
      <c r="C509" s="55" t="s">
        <v>10</v>
      </c>
      <c r="D509" s="60">
        <v>0.81666666666666665</v>
      </c>
      <c r="E509" s="55" t="s">
        <v>11</v>
      </c>
      <c r="F509" s="54" t="s">
        <v>264</v>
      </c>
      <c r="G509" s="60">
        <v>0.80368662857142859</v>
      </c>
      <c r="H509" s="60">
        <v>0.83061222857142858</v>
      </c>
      <c r="I509" s="60">
        <v>0.82016805714285712</v>
      </c>
      <c r="K509" s="64">
        <v>349</v>
      </c>
      <c r="M509" s="62"/>
      <c r="N509" s="63">
        <v>349</v>
      </c>
    </row>
    <row r="510" spans="1:14" x14ac:dyDescent="0.25">
      <c r="A510" s="55" t="s">
        <v>164</v>
      </c>
      <c r="B510" s="55" t="s">
        <v>186</v>
      </c>
      <c r="C510" s="55" t="s">
        <v>10</v>
      </c>
      <c r="D510" s="60">
        <v>0.81666666666666665</v>
      </c>
      <c r="E510" s="55" t="s">
        <v>12</v>
      </c>
      <c r="F510" s="54" t="s">
        <v>264</v>
      </c>
      <c r="G510" s="60">
        <v>0.99483867999999998</v>
      </c>
      <c r="H510" s="60">
        <v>0.95571428000000003</v>
      </c>
      <c r="I510" s="60">
        <v>0.96470588000000002</v>
      </c>
      <c r="K510" s="64">
        <v>299</v>
      </c>
      <c r="M510" s="62"/>
      <c r="N510" s="63">
        <v>299</v>
      </c>
    </row>
    <row r="511" spans="1:14" x14ac:dyDescent="0.25">
      <c r="A511" s="55" t="s">
        <v>164</v>
      </c>
      <c r="B511" s="55" t="s">
        <v>186</v>
      </c>
      <c r="C511" s="55" t="s">
        <v>16</v>
      </c>
      <c r="D511" s="60">
        <v>0.84848484848484851</v>
      </c>
      <c r="E511" s="55" t="s">
        <v>17</v>
      </c>
      <c r="F511" s="54" t="s">
        <v>266</v>
      </c>
      <c r="G511" s="60">
        <v>0.89950369230769234</v>
      </c>
      <c r="H511" s="60">
        <v>0.93818680769230767</v>
      </c>
      <c r="I511" s="60">
        <v>0.9117646923076923</v>
      </c>
      <c r="K511" s="64">
        <v>5809</v>
      </c>
      <c r="M511" s="62"/>
      <c r="N511" s="63">
        <v>5809</v>
      </c>
    </row>
    <row r="512" spans="1:14" x14ac:dyDescent="0.25">
      <c r="A512" s="55" t="s">
        <v>164</v>
      </c>
      <c r="B512" s="55" t="s">
        <v>186</v>
      </c>
      <c r="C512" s="55" t="s">
        <v>16</v>
      </c>
      <c r="D512" s="60">
        <v>0.84848484848484851</v>
      </c>
      <c r="E512" s="55" t="s">
        <v>187</v>
      </c>
      <c r="F512" s="54" t="s">
        <v>266</v>
      </c>
      <c r="G512" s="60">
        <v>1</v>
      </c>
      <c r="H512" s="60">
        <v>1</v>
      </c>
      <c r="I512" s="60">
        <v>1</v>
      </c>
      <c r="K512" s="64">
        <v>8199</v>
      </c>
      <c r="M512" s="62"/>
      <c r="N512" s="63">
        <v>8199</v>
      </c>
    </row>
    <row r="513" spans="1:14" x14ac:dyDescent="0.25">
      <c r="A513" s="55" t="s">
        <v>164</v>
      </c>
      <c r="B513" s="55" t="s">
        <v>186</v>
      </c>
      <c r="C513" s="55" t="s">
        <v>16</v>
      </c>
      <c r="D513" s="60">
        <v>0.84848484848484851</v>
      </c>
      <c r="E513" s="55" t="s">
        <v>12</v>
      </c>
      <c r="F513" s="54" t="s">
        <v>266</v>
      </c>
      <c r="G513" s="60">
        <v>0.66666666666666663</v>
      </c>
      <c r="H513" s="60">
        <v>0.70833333333333337</v>
      </c>
      <c r="I513" s="60">
        <v>0.66666666666666663</v>
      </c>
      <c r="K513" s="64">
        <v>7039</v>
      </c>
      <c r="M513" s="65">
        <v>-0.05</v>
      </c>
      <c r="N513" s="63">
        <v>6689</v>
      </c>
    </row>
    <row r="514" spans="1:14" x14ac:dyDescent="0.25">
      <c r="A514" s="55" t="s">
        <v>164</v>
      </c>
      <c r="B514" s="55" t="s">
        <v>186</v>
      </c>
      <c r="C514" s="55" t="s">
        <v>18</v>
      </c>
      <c r="D514" s="60">
        <v>0.86206896551724133</v>
      </c>
      <c r="E514" s="55" t="s">
        <v>14</v>
      </c>
      <c r="F514" s="54" t="s">
        <v>267</v>
      </c>
      <c r="G514" s="60">
        <v>0.96633939130434776</v>
      </c>
      <c r="H514" s="60">
        <v>0.88664595652173905</v>
      </c>
      <c r="I514" s="60">
        <v>0.84398973913043485</v>
      </c>
      <c r="K514" s="64">
        <v>7379</v>
      </c>
      <c r="M514" s="62"/>
      <c r="N514" s="63">
        <v>7379</v>
      </c>
    </row>
    <row r="515" spans="1:14" x14ac:dyDescent="0.25">
      <c r="A515" s="55" t="s">
        <v>164</v>
      </c>
      <c r="B515" s="55" t="s">
        <v>186</v>
      </c>
      <c r="C515" s="55" t="s">
        <v>18</v>
      </c>
      <c r="D515" s="60">
        <v>0.86206896551724133</v>
      </c>
      <c r="E515" s="55" t="s">
        <v>15</v>
      </c>
      <c r="F515" s="54" t="s">
        <v>267</v>
      </c>
      <c r="G515" s="60">
        <v>0.98924716666666657</v>
      </c>
      <c r="H515" s="60">
        <v>0.83333333333333337</v>
      </c>
      <c r="I515" s="60">
        <v>0.83333333333333337</v>
      </c>
      <c r="K515" s="64">
        <v>9229</v>
      </c>
      <c r="M515" s="62"/>
      <c r="N515" s="63">
        <v>9229</v>
      </c>
    </row>
    <row r="516" spans="1:14" x14ac:dyDescent="0.25">
      <c r="A516" s="55" t="s">
        <v>164</v>
      </c>
      <c r="B516" s="55" t="s">
        <v>208</v>
      </c>
      <c r="C516" s="55" t="s">
        <v>10</v>
      </c>
      <c r="D516" s="60">
        <v>0.82051282051282048</v>
      </c>
      <c r="E516" s="55" t="s">
        <v>11</v>
      </c>
      <c r="F516" s="54" t="s">
        <v>264</v>
      </c>
      <c r="G516" s="60">
        <v>0.85065707407407409</v>
      </c>
      <c r="H516" s="60">
        <v>0.89947088888888882</v>
      </c>
      <c r="I516" s="60">
        <v>0.86710237037037041</v>
      </c>
      <c r="K516" s="64">
        <v>349</v>
      </c>
      <c r="M516" s="62"/>
      <c r="N516" s="63">
        <v>349</v>
      </c>
    </row>
    <row r="517" spans="1:14" x14ac:dyDescent="0.25">
      <c r="A517" s="55" t="s">
        <v>164</v>
      </c>
      <c r="B517" s="55" t="s">
        <v>208</v>
      </c>
      <c r="C517" s="55" t="s">
        <v>10</v>
      </c>
      <c r="D517" s="60">
        <v>0.82051282051282048</v>
      </c>
      <c r="E517" s="55" t="s">
        <v>12</v>
      </c>
      <c r="F517" s="54" t="s">
        <v>264</v>
      </c>
      <c r="G517" s="60">
        <v>0.92204299999999995</v>
      </c>
      <c r="H517" s="60">
        <v>0.88988091666666669</v>
      </c>
      <c r="I517" s="60">
        <v>0.91666666666666663</v>
      </c>
      <c r="K517" s="64">
        <v>329</v>
      </c>
      <c r="M517" s="62"/>
      <c r="N517" s="63">
        <v>329</v>
      </c>
    </row>
    <row r="518" spans="1:14" x14ac:dyDescent="0.25">
      <c r="A518" s="55" t="s">
        <v>164</v>
      </c>
      <c r="B518" s="55" t="s">
        <v>208</v>
      </c>
      <c r="C518" s="55" t="s">
        <v>13</v>
      </c>
      <c r="D518" s="60">
        <v>1</v>
      </c>
      <c r="E518" s="55" t="s">
        <v>14</v>
      </c>
      <c r="F518" s="54" t="s">
        <v>265</v>
      </c>
      <c r="G518" s="60">
        <v>0.97983862499999996</v>
      </c>
      <c r="H518" s="60">
        <v>0.94196424999999995</v>
      </c>
      <c r="I518" s="60">
        <v>1</v>
      </c>
      <c r="K518" s="64">
        <v>379</v>
      </c>
      <c r="M518" s="65">
        <v>2.5000000000000001E-2</v>
      </c>
      <c r="N518" s="63">
        <v>389</v>
      </c>
    </row>
    <row r="519" spans="1:14" x14ac:dyDescent="0.25">
      <c r="A519" s="55" t="s">
        <v>164</v>
      </c>
      <c r="B519" s="55" t="s">
        <v>208</v>
      </c>
      <c r="C519" s="55" t="s">
        <v>13</v>
      </c>
      <c r="D519" s="60">
        <v>1</v>
      </c>
      <c r="E519" s="55" t="s">
        <v>15</v>
      </c>
      <c r="F519" s="54" t="s">
        <v>265</v>
      </c>
      <c r="G519" s="60">
        <v>0.96774187499999997</v>
      </c>
      <c r="H519" s="60">
        <v>0.95089274999999995</v>
      </c>
      <c r="I519" s="60">
        <v>0.985294</v>
      </c>
      <c r="K519" s="64">
        <v>349</v>
      </c>
      <c r="M519" s="65">
        <v>2.5000000000000001E-2</v>
      </c>
      <c r="N519" s="63">
        <v>359</v>
      </c>
    </row>
    <row r="520" spans="1:14" x14ac:dyDescent="0.25">
      <c r="A520" s="55" t="s">
        <v>164</v>
      </c>
      <c r="B520" s="55" t="s">
        <v>208</v>
      </c>
      <c r="C520" s="55" t="s">
        <v>16</v>
      </c>
      <c r="D520" s="60">
        <v>0.9375</v>
      </c>
      <c r="E520" s="55" t="s">
        <v>25</v>
      </c>
      <c r="F520" s="54" t="s">
        <v>266</v>
      </c>
      <c r="G520" s="60">
        <v>0.96658982142857142</v>
      </c>
      <c r="H520" s="60">
        <v>0.94005099999999986</v>
      </c>
      <c r="I520" s="60">
        <v>0.9642857142857143</v>
      </c>
      <c r="K520" s="64">
        <v>6129</v>
      </c>
      <c r="M520" s="65">
        <v>2.5000000000000001E-2</v>
      </c>
      <c r="N520" s="63">
        <v>6289</v>
      </c>
    </row>
    <row r="521" spans="1:14" x14ac:dyDescent="0.25">
      <c r="A521" s="55" t="s">
        <v>164</v>
      </c>
      <c r="B521" s="55" t="s">
        <v>208</v>
      </c>
      <c r="C521" s="55" t="s">
        <v>16</v>
      </c>
      <c r="D521" s="60">
        <v>0.9375</v>
      </c>
      <c r="E521" s="55" t="s">
        <v>118</v>
      </c>
      <c r="F521" s="54" t="s">
        <v>266</v>
      </c>
      <c r="G521" s="60">
        <v>0.82526874999999988</v>
      </c>
      <c r="H521" s="60">
        <v>0.80654758333333332</v>
      </c>
      <c r="I521" s="60">
        <v>0.81372541666666665</v>
      </c>
      <c r="K521" s="64">
        <v>7609</v>
      </c>
      <c r="M521" s="62"/>
      <c r="N521" s="63">
        <v>7609</v>
      </c>
    </row>
    <row r="522" spans="1:14" x14ac:dyDescent="0.25">
      <c r="A522" s="55" t="s">
        <v>164</v>
      </c>
      <c r="B522" s="55" t="s">
        <v>208</v>
      </c>
      <c r="C522" s="55" t="s">
        <v>16</v>
      </c>
      <c r="D522" s="60">
        <v>0.9375</v>
      </c>
      <c r="E522" s="55" t="s">
        <v>52</v>
      </c>
      <c r="F522" s="54" t="s">
        <v>266</v>
      </c>
      <c r="G522" s="60">
        <v>1</v>
      </c>
      <c r="H522" s="60">
        <v>1</v>
      </c>
      <c r="I522" s="60">
        <v>1</v>
      </c>
      <c r="K522" s="64">
        <v>6839</v>
      </c>
      <c r="M522" s="65">
        <v>2.3E-2</v>
      </c>
      <c r="N522" s="63">
        <v>6999</v>
      </c>
    </row>
    <row r="523" spans="1:14" x14ac:dyDescent="0.25">
      <c r="A523" s="55" t="s">
        <v>164</v>
      </c>
      <c r="B523" s="55" t="s">
        <v>208</v>
      </c>
      <c r="C523" s="55" t="s">
        <v>16</v>
      </c>
      <c r="D523" s="60">
        <v>0.9375</v>
      </c>
      <c r="E523" s="55" t="s">
        <v>209</v>
      </c>
      <c r="F523" s="54" t="s">
        <v>266</v>
      </c>
      <c r="G523" s="60">
        <v>0.75</v>
      </c>
      <c r="H523" s="60">
        <v>0.75</v>
      </c>
      <c r="I523" s="60">
        <v>0.77941174999999996</v>
      </c>
      <c r="K523" s="64">
        <v>7839</v>
      </c>
      <c r="M523" s="62"/>
      <c r="N523" s="63">
        <v>7839</v>
      </c>
    </row>
    <row r="524" spans="1:14" x14ac:dyDescent="0.25">
      <c r="A524" s="55" t="s">
        <v>164</v>
      </c>
      <c r="B524" s="55" t="s">
        <v>208</v>
      </c>
      <c r="C524" s="55" t="s">
        <v>21</v>
      </c>
      <c r="D524" s="60">
        <v>1</v>
      </c>
      <c r="E524" s="55" t="s">
        <v>75</v>
      </c>
      <c r="F524" s="54" t="s">
        <v>268</v>
      </c>
      <c r="G524" s="60">
        <v>1</v>
      </c>
      <c r="H524" s="60">
        <v>1</v>
      </c>
      <c r="I524" s="60">
        <v>1</v>
      </c>
      <c r="K524" s="64">
        <v>3129</v>
      </c>
      <c r="M524" s="62"/>
      <c r="N524" s="63">
        <v>3129</v>
      </c>
    </row>
    <row r="525" spans="1:14" x14ac:dyDescent="0.25">
      <c r="A525" s="55" t="s">
        <v>164</v>
      </c>
      <c r="B525" s="55" t="s">
        <v>221</v>
      </c>
      <c r="C525" s="55" t="s">
        <v>10</v>
      </c>
      <c r="D525" s="60">
        <v>0.74545454545454548</v>
      </c>
      <c r="E525" s="55" t="s">
        <v>11</v>
      </c>
      <c r="F525" s="54" t="s">
        <v>264</v>
      </c>
      <c r="G525" s="60">
        <v>0.80716844444444447</v>
      </c>
      <c r="H525" s="60">
        <v>0.90396824444444435</v>
      </c>
      <c r="I525" s="60">
        <v>0.80784313333333335</v>
      </c>
      <c r="K525" s="64">
        <v>469</v>
      </c>
      <c r="M525" s="62"/>
      <c r="N525" s="63">
        <v>469</v>
      </c>
    </row>
    <row r="526" spans="1:14" x14ac:dyDescent="0.25">
      <c r="A526" s="55" t="s">
        <v>164</v>
      </c>
      <c r="B526" s="55" t="s">
        <v>221</v>
      </c>
      <c r="C526" s="55" t="s">
        <v>10</v>
      </c>
      <c r="D526" s="60">
        <v>0.74545454545454548</v>
      </c>
      <c r="E526" s="55" t="s">
        <v>12</v>
      </c>
      <c r="F526" s="54" t="s">
        <v>264</v>
      </c>
      <c r="G526" s="60">
        <v>0.95483870000000004</v>
      </c>
      <c r="H526" s="60">
        <v>0.88214279999999989</v>
      </c>
      <c r="I526" s="60">
        <v>0.92941169999999995</v>
      </c>
      <c r="K526" s="64">
        <v>399</v>
      </c>
      <c r="M526" s="62"/>
      <c r="N526" s="63">
        <v>399</v>
      </c>
    </row>
    <row r="527" spans="1:14" x14ac:dyDescent="0.25">
      <c r="A527" s="55" t="s">
        <v>164</v>
      </c>
      <c r="B527" s="55" t="s">
        <v>221</v>
      </c>
      <c r="C527" s="55" t="s">
        <v>16</v>
      </c>
      <c r="D527" s="60">
        <v>0.83333333333333337</v>
      </c>
      <c r="E527" s="55" t="s">
        <v>17</v>
      </c>
      <c r="F527" s="54" t="s">
        <v>266</v>
      </c>
      <c r="G527" s="60">
        <v>0.9382888695652174</v>
      </c>
      <c r="H527" s="60">
        <v>0.95652173913043481</v>
      </c>
      <c r="I527" s="60">
        <v>0.89514065217391303</v>
      </c>
      <c r="K527" s="64">
        <v>5568.565217391304</v>
      </c>
      <c r="M527" s="62"/>
      <c r="N527" s="63">
        <v>5569</v>
      </c>
    </row>
    <row r="528" spans="1:14" x14ac:dyDescent="0.25">
      <c r="A528" s="55" t="s">
        <v>164</v>
      </c>
      <c r="B528" s="55" t="s">
        <v>221</v>
      </c>
      <c r="C528" s="55" t="s">
        <v>16</v>
      </c>
      <c r="D528" s="60">
        <v>0.83333333333333337</v>
      </c>
      <c r="E528" s="55" t="s">
        <v>26</v>
      </c>
      <c r="F528" s="54" t="s">
        <v>266</v>
      </c>
      <c r="G528" s="60">
        <v>1</v>
      </c>
      <c r="H528" s="60">
        <v>1</v>
      </c>
      <c r="I528" s="60">
        <v>1</v>
      </c>
      <c r="K528" s="64">
        <v>6519</v>
      </c>
      <c r="M528" s="62"/>
      <c r="N528" s="63">
        <v>6519</v>
      </c>
    </row>
    <row r="529" spans="1:14" x14ac:dyDescent="0.25">
      <c r="A529" s="55" t="s">
        <v>164</v>
      </c>
      <c r="B529" s="55" t="s">
        <v>221</v>
      </c>
      <c r="C529" s="55" t="s">
        <v>16</v>
      </c>
      <c r="D529" s="60">
        <v>0.83333333333333337</v>
      </c>
      <c r="E529" s="55" t="s">
        <v>82</v>
      </c>
      <c r="F529" s="54" t="s">
        <v>266</v>
      </c>
      <c r="G529" s="60">
        <v>1</v>
      </c>
      <c r="H529" s="60">
        <v>0.93571419999999994</v>
      </c>
      <c r="I529" s="60">
        <v>0.67058819999999997</v>
      </c>
      <c r="K529" s="64">
        <v>6629</v>
      </c>
      <c r="M529" s="67">
        <v>-1.7000000000000001E-2</v>
      </c>
      <c r="N529" s="63">
        <v>6519</v>
      </c>
    </row>
    <row r="530" spans="1:14" x14ac:dyDescent="0.25">
      <c r="A530" s="55" t="s">
        <v>164</v>
      </c>
      <c r="B530" s="55" t="s">
        <v>221</v>
      </c>
      <c r="C530" s="55" t="s">
        <v>18</v>
      </c>
      <c r="D530" s="60">
        <v>1</v>
      </c>
      <c r="E530" s="55" t="s">
        <v>14</v>
      </c>
      <c r="F530" s="54" t="s">
        <v>267</v>
      </c>
      <c r="G530" s="60">
        <v>1</v>
      </c>
      <c r="H530" s="60">
        <v>1</v>
      </c>
      <c r="I530" s="60">
        <v>1</v>
      </c>
      <c r="K530" s="64">
        <v>7409</v>
      </c>
      <c r="M530" s="65">
        <v>2.5000000000000001E-2</v>
      </c>
      <c r="N530" s="63">
        <v>7599</v>
      </c>
    </row>
    <row r="531" spans="1:14" x14ac:dyDescent="0.25">
      <c r="A531" s="55" t="s">
        <v>164</v>
      </c>
      <c r="B531" s="55" t="s">
        <v>221</v>
      </c>
      <c r="C531" s="55" t="s">
        <v>18</v>
      </c>
      <c r="D531" s="60">
        <v>1</v>
      </c>
      <c r="E531" s="55" t="s">
        <v>15</v>
      </c>
      <c r="F531" s="54" t="s">
        <v>267</v>
      </c>
      <c r="G531" s="60">
        <v>1</v>
      </c>
      <c r="H531" s="60">
        <v>1</v>
      </c>
      <c r="I531" s="60">
        <v>1</v>
      </c>
      <c r="K531" s="64">
        <v>9709</v>
      </c>
      <c r="M531" s="62"/>
      <c r="N531" s="63">
        <v>9709</v>
      </c>
    </row>
    <row r="532" spans="1:14" x14ac:dyDescent="0.25">
      <c r="A532" s="55" t="s">
        <v>164</v>
      </c>
      <c r="B532" s="55" t="s">
        <v>237</v>
      </c>
      <c r="C532" s="55" t="s">
        <v>10</v>
      </c>
      <c r="D532" s="60">
        <v>0.81034482758620685</v>
      </c>
      <c r="E532" s="55" t="s">
        <v>12</v>
      </c>
      <c r="F532" s="54" t="s">
        <v>264</v>
      </c>
      <c r="G532" s="60">
        <v>0.8598014615384616</v>
      </c>
      <c r="H532" s="60">
        <v>0.81730769230769229</v>
      </c>
      <c r="I532" s="60">
        <v>0.85067873076923084</v>
      </c>
      <c r="K532" s="64">
        <v>319</v>
      </c>
      <c r="M532" s="62"/>
      <c r="N532" s="63">
        <v>319</v>
      </c>
    </row>
    <row r="533" spans="1:14" x14ac:dyDescent="0.25">
      <c r="A533" s="55" t="s">
        <v>164</v>
      </c>
      <c r="B533" s="55" t="s">
        <v>237</v>
      </c>
      <c r="C533" s="55" t="s">
        <v>10</v>
      </c>
      <c r="D533" s="60">
        <v>0.81034482758620685</v>
      </c>
      <c r="E533" s="55" t="s">
        <v>11</v>
      </c>
      <c r="F533" s="54" t="s">
        <v>264</v>
      </c>
      <c r="G533" s="60">
        <v>0.93649190625000001</v>
      </c>
      <c r="H533" s="60">
        <v>0.91629462500000003</v>
      </c>
      <c r="I533" s="60">
        <v>0.84191174999999996</v>
      </c>
      <c r="K533" s="64">
        <v>329</v>
      </c>
      <c r="M533" s="62"/>
      <c r="N533" s="63">
        <v>329</v>
      </c>
    </row>
    <row r="534" spans="1:14" x14ac:dyDescent="0.25">
      <c r="A534" s="55" t="s">
        <v>164</v>
      </c>
      <c r="B534" s="55" t="s">
        <v>237</v>
      </c>
      <c r="C534" s="55" t="s">
        <v>16</v>
      </c>
      <c r="D534" s="60">
        <v>0.93333333333333335</v>
      </c>
      <c r="E534" s="55" t="s">
        <v>25</v>
      </c>
      <c r="F534" s="54" t="s">
        <v>266</v>
      </c>
      <c r="G534" s="60">
        <v>0.96415766666666669</v>
      </c>
      <c r="H534" s="60">
        <v>1</v>
      </c>
      <c r="I534" s="60">
        <v>1</v>
      </c>
      <c r="K534" s="64">
        <v>6369</v>
      </c>
      <c r="M534" s="65"/>
      <c r="N534" s="63">
        <v>6369</v>
      </c>
    </row>
    <row r="535" spans="1:14" x14ac:dyDescent="0.25">
      <c r="A535" s="55" t="s">
        <v>164</v>
      </c>
      <c r="B535" s="55" t="s">
        <v>237</v>
      </c>
      <c r="C535" s="55" t="s">
        <v>16</v>
      </c>
      <c r="D535" s="60">
        <v>0.93333333333333335</v>
      </c>
      <c r="E535" s="55" t="s">
        <v>17</v>
      </c>
      <c r="F535" s="54" t="s">
        <v>266</v>
      </c>
      <c r="G535" s="60">
        <v>0.92699489473684205</v>
      </c>
      <c r="H535" s="60">
        <v>0.89473684210526316</v>
      </c>
      <c r="I535" s="60">
        <v>0.89473684210526316</v>
      </c>
      <c r="K535" s="64">
        <v>5553.2105263157891</v>
      </c>
      <c r="M535" s="62"/>
      <c r="N535" s="63">
        <v>5559</v>
      </c>
    </row>
    <row r="536" spans="1:14" x14ac:dyDescent="0.25">
      <c r="A536" s="55" t="s">
        <v>164</v>
      </c>
      <c r="B536" s="55" t="s">
        <v>237</v>
      </c>
      <c r="C536" s="55" t="s">
        <v>16</v>
      </c>
      <c r="D536" s="60">
        <v>0.93333333333333335</v>
      </c>
      <c r="E536" s="55" t="s">
        <v>12</v>
      </c>
      <c r="F536" s="54" t="s">
        <v>266</v>
      </c>
      <c r="G536" s="60">
        <v>1</v>
      </c>
      <c r="H536" s="60">
        <v>1</v>
      </c>
      <c r="I536" s="60">
        <v>1</v>
      </c>
      <c r="K536" s="64">
        <v>6909</v>
      </c>
      <c r="M536" s="65"/>
      <c r="N536" s="63">
        <v>6909</v>
      </c>
    </row>
    <row r="537" spans="1:14" x14ac:dyDescent="0.25">
      <c r="A537" s="55" t="s">
        <v>164</v>
      </c>
      <c r="B537" s="55" t="s">
        <v>237</v>
      </c>
      <c r="C537" s="55" t="s">
        <v>18</v>
      </c>
      <c r="D537" s="60">
        <v>0.84615384615384615</v>
      </c>
      <c r="E537" s="55" t="s">
        <v>238</v>
      </c>
      <c r="F537" s="54" t="s">
        <v>267</v>
      </c>
      <c r="G537" s="60">
        <v>0.83333333333333337</v>
      </c>
      <c r="H537" s="60">
        <v>0.85119041666666673</v>
      </c>
      <c r="I537" s="60">
        <v>0.91666666666666663</v>
      </c>
      <c r="K537" s="64">
        <v>6259</v>
      </c>
      <c r="M537" s="62"/>
      <c r="N537" s="63">
        <v>6259</v>
      </c>
    </row>
    <row r="538" spans="1:14" x14ac:dyDescent="0.25">
      <c r="A538" s="55" t="s">
        <v>164</v>
      </c>
      <c r="B538" s="55" t="s">
        <v>237</v>
      </c>
      <c r="C538" s="55" t="s">
        <v>18</v>
      </c>
      <c r="D538" s="60">
        <v>0.84615384615384615</v>
      </c>
      <c r="E538" s="55" t="s">
        <v>239</v>
      </c>
      <c r="F538" s="54" t="s">
        <v>267</v>
      </c>
      <c r="G538" s="60">
        <v>0</v>
      </c>
      <c r="H538" s="60">
        <v>0</v>
      </c>
      <c r="I538" s="60">
        <v>0</v>
      </c>
      <c r="K538" s="64">
        <v>6509</v>
      </c>
      <c r="M538" s="62"/>
      <c r="N538" s="63">
        <v>6509</v>
      </c>
    </row>
    <row r="539" spans="1:14" x14ac:dyDescent="0.25">
      <c r="A539" s="55" t="s">
        <v>164</v>
      </c>
      <c r="B539" s="55" t="s">
        <v>240</v>
      </c>
      <c r="C539" s="55" t="s">
        <v>10</v>
      </c>
      <c r="D539" s="60">
        <v>0.95</v>
      </c>
      <c r="E539" s="55" t="s">
        <v>17</v>
      </c>
      <c r="F539" s="54" t="s">
        <v>264</v>
      </c>
      <c r="G539" s="60">
        <v>0.96989236666666667</v>
      </c>
      <c r="H539" s="60">
        <v>0.96428566666666671</v>
      </c>
      <c r="I539" s="60">
        <v>0.98235289999999997</v>
      </c>
      <c r="K539" s="64">
        <v>400.33333333333331</v>
      </c>
      <c r="M539" s="62"/>
      <c r="N539" s="63">
        <v>409</v>
      </c>
    </row>
    <row r="540" spans="1:14" x14ac:dyDescent="0.25">
      <c r="A540" s="55" t="s">
        <v>164</v>
      </c>
      <c r="B540" s="55" t="s">
        <v>240</v>
      </c>
      <c r="C540" s="55" t="s">
        <v>10</v>
      </c>
      <c r="D540" s="60">
        <v>0.95</v>
      </c>
      <c r="E540" s="55" t="s">
        <v>44</v>
      </c>
      <c r="F540" s="54" t="s">
        <v>264</v>
      </c>
      <c r="G540" s="60">
        <v>0.96658982142857131</v>
      </c>
      <c r="H540" s="60">
        <v>0.95408160714285717</v>
      </c>
      <c r="I540" s="60">
        <v>0.98739492857142852</v>
      </c>
      <c r="K540" s="64">
        <v>351.85714285714283</v>
      </c>
      <c r="M540" s="62"/>
      <c r="N540" s="63">
        <v>359</v>
      </c>
    </row>
    <row r="541" spans="1:14" x14ac:dyDescent="0.25">
      <c r="A541" s="55" t="s">
        <v>164</v>
      </c>
      <c r="B541" s="55" t="s">
        <v>240</v>
      </c>
      <c r="C541" s="55" t="s">
        <v>10</v>
      </c>
      <c r="D541" s="60">
        <v>0.95</v>
      </c>
      <c r="E541" s="55" t="s">
        <v>30</v>
      </c>
      <c r="F541" s="54" t="s">
        <v>264</v>
      </c>
      <c r="G541" s="60">
        <v>0.98387049999999998</v>
      </c>
      <c r="H541" s="60">
        <v>0.96428550000000002</v>
      </c>
      <c r="I541" s="60">
        <v>0.85294099999999995</v>
      </c>
      <c r="K541" s="64">
        <v>409</v>
      </c>
      <c r="M541" s="62"/>
      <c r="N541" s="63">
        <v>409</v>
      </c>
    </row>
    <row r="542" spans="1:14" x14ac:dyDescent="0.25">
      <c r="A542" s="55" t="s">
        <v>164</v>
      </c>
      <c r="B542" s="55" t="s">
        <v>240</v>
      </c>
      <c r="C542" s="55" t="s">
        <v>16</v>
      </c>
      <c r="D542" s="60">
        <v>1</v>
      </c>
      <c r="E542" s="55" t="s">
        <v>17</v>
      </c>
      <c r="F542" s="54" t="s">
        <v>266</v>
      </c>
      <c r="G542" s="60">
        <v>0.91935478571428575</v>
      </c>
      <c r="H542" s="60">
        <v>0.93367335714285715</v>
      </c>
      <c r="I542" s="60">
        <v>1</v>
      </c>
      <c r="K542" s="64">
        <v>5808.2857142857147</v>
      </c>
      <c r="M542" s="62"/>
      <c r="N542" s="63">
        <v>5809</v>
      </c>
    </row>
    <row r="543" spans="1:14" x14ac:dyDescent="0.25">
      <c r="A543" s="55" t="s">
        <v>164</v>
      </c>
      <c r="B543" s="55" t="s">
        <v>240</v>
      </c>
      <c r="C543" s="55" t="s">
        <v>16</v>
      </c>
      <c r="D543" s="60">
        <v>1</v>
      </c>
      <c r="E543" s="55" t="s">
        <v>44</v>
      </c>
      <c r="F543" s="54" t="s">
        <v>266</v>
      </c>
      <c r="G543" s="60">
        <v>0.96129019999999998</v>
      </c>
      <c r="H543" s="60">
        <v>0.87142839999999988</v>
      </c>
      <c r="I543" s="60">
        <v>1</v>
      </c>
      <c r="K543" s="64">
        <v>7429</v>
      </c>
      <c r="M543" s="62"/>
      <c r="N543" s="63">
        <v>7429</v>
      </c>
    </row>
    <row r="544" spans="1:14" x14ac:dyDescent="0.25">
      <c r="A544" s="55" t="s">
        <v>164</v>
      </c>
      <c r="B544" s="55" t="s">
        <v>240</v>
      </c>
      <c r="C544" s="55" t="s">
        <v>18</v>
      </c>
      <c r="D544" s="60">
        <v>1</v>
      </c>
      <c r="E544" s="55" t="s">
        <v>33</v>
      </c>
      <c r="F544" s="54" t="s">
        <v>267</v>
      </c>
      <c r="G544" s="60">
        <v>1</v>
      </c>
      <c r="H544" s="60">
        <v>1</v>
      </c>
      <c r="I544" s="60">
        <v>0.98039208333333328</v>
      </c>
      <c r="K544" s="64">
        <v>8124.833333333333</v>
      </c>
      <c r="M544" s="62"/>
      <c r="N544" s="63">
        <v>8129</v>
      </c>
    </row>
    <row r="545" spans="1:14" x14ac:dyDescent="0.25">
      <c r="A545" s="55" t="s">
        <v>164</v>
      </c>
      <c r="B545" s="55" t="s">
        <v>240</v>
      </c>
      <c r="C545" s="55" t="s">
        <v>18</v>
      </c>
      <c r="D545" s="60">
        <v>1</v>
      </c>
      <c r="E545" s="55" t="s">
        <v>241</v>
      </c>
      <c r="F545" s="54" t="s">
        <v>267</v>
      </c>
      <c r="G545" s="60">
        <v>1</v>
      </c>
      <c r="H545" s="60">
        <v>1</v>
      </c>
      <c r="I545" s="60">
        <v>1</v>
      </c>
      <c r="K545" s="64">
        <v>10432.333333333334</v>
      </c>
      <c r="M545" s="62"/>
      <c r="N545" s="63">
        <v>10439</v>
      </c>
    </row>
    <row r="546" spans="1:14" x14ac:dyDescent="0.25">
      <c r="A546" s="55" t="s">
        <v>27</v>
      </c>
      <c r="B546" s="55" t="s">
        <v>28</v>
      </c>
      <c r="C546" s="55" t="s">
        <v>16</v>
      </c>
      <c r="D546" s="60">
        <v>0.9642857142857143</v>
      </c>
      <c r="E546" s="55" t="s">
        <v>17</v>
      </c>
      <c r="F546" s="54" t="s">
        <v>266</v>
      </c>
      <c r="G546" s="60">
        <v>0.97886537931034479</v>
      </c>
      <c r="H546" s="60">
        <v>0.99507386206896553</v>
      </c>
      <c r="I546" s="60">
        <v>0.98174437931034475</v>
      </c>
      <c r="K546" s="64">
        <v>4109.3448275862065</v>
      </c>
      <c r="M546" s="65">
        <v>2.5000000000000001E-2</v>
      </c>
      <c r="N546" s="63">
        <v>4219</v>
      </c>
    </row>
    <row r="547" spans="1:14" x14ac:dyDescent="0.25">
      <c r="A547" s="55" t="s">
        <v>27</v>
      </c>
      <c r="B547" s="55" t="s">
        <v>28</v>
      </c>
      <c r="C547" s="55" t="s">
        <v>16</v>
      </c>
      <c r="D547" s="60">
        <v>0.9642857142857143</v>
      </c>
      <c r="E547" s="55" t="s">
        <v>29</v>
      </c>
      <c r="F547" s="54" t="s">
        <v>266</v>
      </c>
      <c r="G547" s="60">
        <v>0.94044646153846156</v>
      </c>
      <c r="H547" s="60">
        <v>0.93131861538461536</v>
      </c>
      <c r="I547" s="60">
        <v>0.97737553846153835</v>
      </c>
      <c r="K547" s="64">
        <v>5365.1538461538457</v>
      </c>
      <c r="M547" s="62"/>
      <c r="N547" s="63">
        <v>5369</v>
      </c>
    </row>
    <row r="548" spans="1:14" x14ac:dyDescent="0.25">
      <c r="A548" s="55" t="s">
        <v>27</v>
      </c>
      <c r="B548" s="55" t="s">
        <v>28</v>
      </c>
      <c r="C548" s="55" t="s">
        <v>16</v>
      </c>
      <c r="D548" s="60">
        <v>0.9642857142857143</v>
      </c>
      <c r="E548" s="55" t="s">
        <v>30</v>
      </c>
      <c r="F548" s="54" t="s">
        <v>266</v>
      </c>
      <c r="G548" s="60">
        <v>1</v>
      </c>
      <c r="H548" s="60">
        <v>1</v>
      </c>
      <c r="I548" s="60">
        <v>1</v>
      </c>
      <c r="K548" s="64">
        <v>4610.666666666667</v>
      </c>
      <c r="M548" s="65">
        <v>2.5000000000000001E-2</v>
      </c>
      <c r="N548" s="63">
        <v>4729</v>
      </c>
    </row>
    <row r="549" spans="1:14" x14ac:dyDescent="0.25">
      <c r="A549" s="55" t="s">
        <v>27</v>
      </c>
      <c r="B549" s="55" t="s">
        <v>28</v>
      </c>
      <c r="C549" s="55" t="s">
        <v>16</v>
      </c>
      <c r="D549" s="60">
        <v>0.9642857142857143</v>
      </c>
      <c r="E549" s="55" t="s">
        <v>31</v>
      </c>
      <c r="F549" s="54" t="s">
        <v>266</v>
      </c>
      <c r="G549" s="60">
        <v>0.5</v>
      </c>
      <c r="H549" s="60">
        <v>0.5</v>
      </c>
      <c r="I549" s="60">
        <v>0.55882350000000003</v>
      </c>
      <c r="K549" s="64">
        <v>6499</v>
      </c>
      <c r="M549" s="62"/>
      <c r="N549" s="63">
        <v>6499</v>
      </c>
    </row>
    <row r="550" spans="1:14" x14ac:dyDescent="0.25">
      <c r="A550" s="55" t="s">
        <v>27</v>
      </c>
      <c r="B550" s="55" t="s">
        <v>28</v>
      </c>
      <c r="C550" s="55" t="s">
        <v>18</v>
      </c>
      <c r="D550" s="60">
        <v>0.65217391304347827</v>
      </c>
      <c r="E550" s="55" t="s">
        <v>32</v>
      </c>
      <c r="F550" s="54" t="s">
        <v>267</v>
      </c>
      <c r="G550" s="60">
        <v>0.69269936842105262</v>
      </c>
      <c r="H550" s="60">
        <v>0.62969915789473685</v>
      </c>
      <c r="I550" s="60">
        <v>0.62538694736842115</v>
      </c>
      <c r="K550" s="64">
        <v>6323.7368421052633</v>
      </c>
      <c r="M550" s="62"/>
      <c r="N550" s="63">
        <v>6329</v>
      </c>
    </row>
    <row r="551" spans="1:14" x14ac:dyDescent="0.25">
      <c r="A551" s="55" t="s">
        <v>27</v>
      </c>
      <c r="B551" s="55" t="s">
        <v>28</v>
      </c>
      <c r="C551" s="55" t="s">
        <v>18</v>
      </c>
      <c r="D551" s="60">
        <v>0.65217391304347827</v>
      </c>
      <c r="E551" s="55" t="s">
        <v>33</v>
      </c>
      <c r="F551" s="54" t="s">
        <v>267</v>
      </c>
      <c r="G551" s="60">
        <v>1</v>
      </c>
      <c r="H551" s="60">
        <v>1</v>
      </c>
      <c r="I551" s="60">
        <v>1</v>
      </c>
      <c r="K551" s="64">
        <v>6279</v>
      </c>
      <c r="M551" s="62"/>
      <c r="N551" s="63">
        <v>6279</v>
      </c>
    </row>
    <row r="552" spans="1:14" x14ac:dyDescent="0.25">
      <c r="A552" s="55" t="s">
        <v>27</v>
      </c>
      <c r="B552" s="55" t="s">
        <v>28</v>
      </c>
      <c r="C552" s="55" t="s">
        <v>18</v>
      </c>
      <c r="D552" s="60">
        <v>0.65217391304347827</v>
      </c>
      <c r="E552" s="55" t="s">
        <v>34</v>
      </c>
      <c r="F552" s="54" t="s">
        <v>267</v>
      </c>
      <c r="G552" s="60">
        <v>0</v>
      </c>
      <c r="H552" s="60">
        <v>0</v>
      </c>
      <c r="I552" s="60">
        <v>0</v>
      </c>
      <c r="K552" s="64">
        <v>8249</v>
      </c>
      <c r="M552" s="62"/>
      <c r="N552" s="63">
        <v>8249</v>
      </c>
    </row>
    <row r="553" spans="1:14" x14ac:dyDescent="0.25">
      <c r="A553" s="55" t="s">
        <v>27</v>
      </c>
      <c r="B553" s="55" t="s">
        <v>84</v>
      </c>
      <c r="C553" s="55" t="s">
        <v>10</v>
      </c>
      <c r="D553" s="60">
        <v>0.9285714285714286</v>
      </c>
      <c r="E553" s="55" t="s">
        <v>11</v>
      </c>
      <c r="F553" s="54" t="s">
        <v>264</v>
      </c>
      <c r="G553" s="60">
        <v>0.97067445454545453</v>
      </c>
      <c r="H553" s="60">
        <v>0.95292204545454551</v>
      </c>
      <c r="I553" s="60">
        <v>0.94919781818181825</v>
      </c>
      <c r="K553" s="64">
        <v>339</v>
      </c>
      <c r="M553" s="65">
        <v>2.5000000000000001E-2</v>
      </c>
      <c r="N553" s="63">
        <v>349</v>
      </c>
    </row>
    <row r="554" spans="1:14" x14ac:dyDescent="0.25">
      <c r="A554" s="55" t="s">
        <v>27</v>
      </c>
      <c r="B554" s="55" t="s">
        <v>84</v>
      </c>
      <c r="C554" s="55" t="s">
        <v>10</v>
      </c>
      <c r="D554" s="60">
        <v>0.9285714285714286</v>
      </c>
      <c r="E554" s="55" t="s">
        <v>12</v>
      </c>
      <c r="F554" s="54" t="s">
        <v>264</v>
      </c>
      <c r="G554" s="60">
        <v>0.95</v>
      </c>
      <c r="H554" s="60">
        <v>0.92142855000000012</v>
      </c>
      <c r="I554" s="60">
        <v>0.86470585</v>
      </c>
      <c r="K554" s="64">
        <v>299</v>
      </c>
      <c r="M554" s="62"/>
      <c r="N554" s="63">
        <v>299</v>
      </c>
    </row>
    <row r="555" spans="1:14" x14ac:dyDescent="0.25">
      <c r="A555" s="55" t="s">
        <v>27</v>
      </c>
      <c r="B555" s="55" t="s">
        <v>84</v>
      </c>
      <c r="C555" s="55" t="s">
        <v>13</v>
      </c>
      <c r="D555" s="60">
        <v>1</v>
      </c>
      <c r="E555" s="55" t="s">
        <v>14</v>
      </c>
      <c r="F555" s="54" t="s">
        <v>265</v>
      </c>
      <c r="G555" s="60">
        <v>0.93796523076923077</v>
      </c>
      <c r="H555" s="60">
        <v>0.97527469230769226</v>
      </c>
      <c r="I555" s="60">
        <v>0.96832576923076918</v>
      </c>
      <c r="K555" s="64">
        <v>359</v>
      </c>
      <c r="M555" s="65">
        <v>2.5000000000000001E-2</v>
      </c>
      <c r="N555" s="63">
        <v>369</v>
      </c>
    </row>
    <row r="556" spans="1:14" x14ac:dyDescent="0.25">
      <c r="A556" s="55" t="s">
        <v>27</v>
      </c>
      <c r="B556" s="55" t="s">
        <v>84</v>
      </c>
      <c r="C556" s="55" t="s">
        <v>16</v>
      </c>
      <c r="D556" s="60">
        <v>1</v>
      </c>
      <c r="E556" s="55" t="s">
        <v>17</v>
      </c>
      <c r="F556" s="54" t="s">
        <v>266</v>
      </c>
      <c r="G556" s="60">
        <v>0.94623655555555564</v>
      </c>
      <c r="H556" s="60">
        <v>0.98809522222222224</v>
      </c>
      <c r="I556" s="60">
        <v>1</v>
      </c>
      <c r="K556" s="64">
        <v>5619</v>
      </c>
      <c r="M556" s="65">
        <v>2.5000000000000001E-2</v>
      </c>
      <c r="N556" s="63">
        <v>5759</v>
      </c>
    </row>
    <row r="557" spans="1:14" x14ac:dyDescent="0.25">
      <c r="A557" s="55" t="s">
        <v>27</v>
      </c>
      <c r="B557" s="55" t="s">
        <v>84</v>
      </c>
      <c r="C557" s="55" t="s">
        <v>16</v>
      </c>
      <c r="D557" s="60">
        <v>1</v>
      </c>
      <c r="E557" s="55" t="s">
        <v>12</v>
      </c>
      <c r="F557" s="54" t="s">
        <v>266</v>
      </c>
      <c r="G557" s="60">
        <v>0.97311816666666662</v>
      </c>
      <c r="H557" s="60">
        <v>0.91071416666666671</v>
      </c>
      <c r="I557" s="60">
        <v>1</v>
      </c>
      <c r="K557" s="64">
        <v>6209</v>
      </c>
      <c r="M557" s="62"/>
      <c r="N557" s="63">
        <v>6209</v>
      </c>
    </row>
    <row r="558" spans="1:14" x14ac:dyDescent="0.25">
      <c r="A558" s="55" t="s">
        <v>27</v>
      </c>
      <c r="B558" s="55" t="s">
        <v>84</v>
      </c>
      <c r="C558" s="55" t="s">
        <v>46</v>
      </c>
      <c r="D558" s="60">
        <v>1</v>
      </c>
      <c r="E558" s="55" t="s">
        <v>17</v>
      </c>
      <c r="F558" s="54" t="s">
        <v>269</v>
      </c>
      <c r="G558" s="60">
        <v>1</v>
      </c>
      <c r="H558" s="60">
        <v>1</v>
      </c>
      <c r="I558" s="60">
        <v>1</v>
      </c>
      <c r="K558" s="64">
        <v>2649</v>
      </c>
      <c r="M558" s="62"/>
      <c r="N558" s="63">
        <v>2649</v>
      </c>
    </row>
    <row r="559" spans="1:14" x14ac:dyDescent="0.25">
      <c r="A559" s="55" t="s">
        <v>27</v>
      </c>
      <c r="B559" s="55" t="s">
        <v>85</v>
      </c>
      <c r="C559" s="55" t="s">
        <v>16</v>
      </c>
      <c r="D559" s="60">
        <v>0.8035714285714286</v>
      </c>
      <c r="E559" s="55" t="s">
        <v>17</v>
      </c>
      <c r="F559" s="54" t="s">
        <v>266</v>
      </c>
      <c r="G559" s="60">
        <v>0.82091210344827581</v>
      </c>
      <c r="H559" s="60">
        <v>0.75369455172413791</v>
      </c>
      <c r="I559" s="60">
        <v>0.7525354827586207</v>
      </c>
      <c r="K559" s="64">
        <v>4719</v>
      </c>
      <c r="M559" s="62"/>
      <c r="N559" s="63">
        <v>4719</v>
      </c>
    </row>
    <row r="560" spans="1:14" x14ac:dyDescent="0.25">
      <c r="A560" s="55" t="s">
        <v>27</v>
      </c>
      <c r="B560" s="55" t="s">
        <v>85</v>
      </c>
      <c r="C560" s="55" t="s">
        <v>16</v>
      </c>
      <c r="D560" s="60">
        <v>0.8035714285714286</v>
      </c>
      <c r="E560" s="55" t="s">
        <v>29</v>
      </c>
      <c r="F560" s="54" t="s">
        <v>266</v>
      </c>
      <c r="G560" s="60">
        <v>0.80397015384615389</v>
      </c>
      <c r="H560" s="60">
        <v>0.84615384615384615</v>
      </c>
      <c r="I560" s="60">
        <v>0.92307692307692313</v>
      </c>
      <c r="K560" s="64">
        <v>6049</v>
      </c>
      <c r="M560" s="62"/>
      <c r="N560" s="63">
        <v>6049</v>
      </c>
    </row>
    <row r="561" spans="1:14" x14ac:dyDescent="0.25">
      <c r="A561" s="55" t="s">
        <v>27</v>
      </c>
      <c r="B561" s="55" t="s">
        <v>85</v>
      </c>
      <c r="C561" s="55" t="s">
        <v>16</v>
      </c>
      <c r="D561" s="60">
        <v>0.8035714285714286</v>
      </c>
      <c r="E561" s="55" t="s">
        <v>30</v>
      </c>
      <c r="F561" s="54" t="s">
        <v>266</v>
      </c>
      <c r="G561" s="60">
        <v>0.83333333333333337</v>
      </c>
      <c r="H561" s="60">
        <v>0.83333333333333337</v>
      </c>
      <c r="I561" s="60">
        <v>0.83333333333333337</v>
      </c>
      <c r="K561" s="64">
        <v>5319</v>
      </c>
      <c r="M561" s="62"/>
      <c r="N561" s="63">
        <v>5319</v>
      </c>
    </row>
    <row r="562" spans="1:14" x14ac:dyDescent="0.25">
      <c r="A562" s="55" t="s">
        <v>27</v>
      </c>
      <c r="B562" s="55" t="s">
        <v>85</v>
      </c>
      <c r="C562" s="55" t="s">
        <v>16</v>
      </c>
      <c r="D562" s="60">
        <v>0.8035714285714286</v>
      </c>
      <c r="E562" s="55" t="s">
        <v>31</v>
      </c>
      <c r="F562" s="54" t="s">
        <v>266</v>
      </c>
      <c r="G562" s="60">
        <v>1</v>
      </c>
      <c r="H562" s="60">
        <v>1</v>
      </c>
      <c r="I562" s="60">
        <v>1</v>
      </c>
      <c r="K562" s="64">
        <v>7339</v>
      </c>
      <c r="M562" s="65"/>
      <c r="N562" s="63">
        <v>7339</v>
      </c>
    </row>
    <row r="563" spans="1:14" x14ac:dyDescent="0.25">
      <c r="A563" s="55" t="s">
        <v>27</v>
      </c>
      <c r="B563" s="55" t="s">
        <v>85</v>
      </c>
      <c r="C563" s="55" t="s">
        <v>18</v>
      </c>
      <c r="D563" s="60">
        <v>0.69565217391304346</v>
      </c>
      <c r="E563" s="55" t="s">
        <v>33</v>
      </c>
      <c r="F563" s="54" t="s">
        <v>267</v>
      </c>
      <c r="G563" s="60">
        <v>0.64516128571428566</v>
      </c>
      <c r="H563" s="60">
        <v>0.66326528571428567</v>
      </c>
      <c r="I563" s="60">
        <v>0.70028009523809531</v>
      </c>
      <c r="K563" s="64">
        <v>6999</v>
      </c>
      <c r="M563" s="65">
        <v>-0.05</v>
      </c>
      <c r="N563" s="63">
        <v>6649</v>
      </c>
    </row>
    <row r="564" spans="1:14" x14ac:dyDescent="0.25">
      <c r="A564" s="55" t="s">
        <v>27</v>
      </c>
      <c r="B564" s="55" t="s">
        <v>85</v>
      </c>
      <c r="C564" s="55" t="s">
        <v>18</v>
      </c>
      <c r="D564" s="60">
        <v>0.69565217391304346</v>
      </c>
      <c r="E564" s="55" t="s">
        <v>86</v>
      </c>
      <c r="F564" s="54" t="s">
        <v>267</v>
      </c>
      <c r="G564" s="60">
        <v>0.5</v>
      </c>
      <c r="H564" s="60">
        <v>0.5</v>
      </c>
      <c r="I564" s="60">
        <v>0.5</v>
      </c>
      <c r="K564" s="64">
        <v>9639</v>
      </c>
      <c r="M564" s="62"/>
      <c r="N564" s="63">
        <v>9639</v>
      </c>
    </row>
    <row r="565" spans="1:14" x14ac:dyDescent="0.25">
      <c r="A565" s="55" t="s">
        <v>27</v>
      </c>
      <c r="B565" s="55" t="s">
        <v>128</v>
      </c>
      <c r="C565" s="55" t="s">
        <v>10</v>
      </c>
      <c r="D565" s="60">
        <v>1</v>
      </c>
      <c r="E565" s="55" t="s">
        <v>17</v>
      </c>
      <c r="F565" s="54" t="s">
        <v>264</v>
      </c>
      <c r="G565" s="60">
        <v>0.94451604</v>
      </c>
      <c r="H565" s="60">
        <v>0.92142852000000008</v>
      </c>
      <c r="I565" s="60">
        <v>0.96705879999999989</v>
      </c>
      <c r="K565" s="64">
        <v>369</v>
      </c>
      <c r="M565" s="62"/>
      <c r="N565" s="63">
        <v>369</v>
      </c>
    </row>
    <row r="566" spans="1:14" x14ac:dyDescent="0.25">
      <c r="A566" s="55" t="s">
        <v>27</v>
      </c>
      <c r="B566" s="55" t="s">
        <v>128</v>
      </c>
      <c r="C566" s="55" t="s">
        <v>10</v>
      </c>
      <c r="D566" s="60">
        <v>1</v>
      </c>
      <c r="E566" s="55" t="s">
        <v>44</v>
      </c>
      <c r="F566" s="54" t="s">
        <v>264</v>
      </c>
      <c r="G566" s="60">
        <v>1</v>
      </c>
      <c r="H566" s="60">
        <v>0.98928569999999993</v>
      </c>
      <c r="I566" s="60">
        <v>1</v>
      </c>
      <c r="K566" s="64">
        <v>349</v>
      </c>
      <c r="M566" s="62"/>
      <c r="N566" s="63">
        <v>349</v>
      </c>
    </row>
    <row r="567" spans="1:14" x14ac:dyDescent="0.25">
      <c r="A567" s="55" t="s">
        <v>27</v>
      </c>
      <c r="B567" s="55" t="s">
        <v>128</v>
      </c>
      <c r="C567" s="55" t="s">
        <v>16</v>
      </c>
      <c r="D567" s="60">
        <v>0.9285714285714286</v>
      </c>
      <c r="E567" s="55" t="s">
        <v>17</v>
      </c>
      <c r="F567" s="54" t="s">
        <v>266</v>
      </c>
      <c r="G567" s="60">
        <v>0.9419354499999999</v>
      </c>
      <c r="H567" s="60">
        <v>0.98928565000000002</v>
      </c>
      <c r="I567" s="60">
        <v>0.93529404999999988</v>
      </c>
      <c r="K567" s="64">
        <v>5359</v>
      </c>
      <c r="M567" s="62"/>
      <c r="N567" s="63">
        <v>5359</v>
      </c>
    </row>
    <row r="568" spans="1:14" x14ac:dyDescent="0.25">
      <c r="A568" s="55" t="s">
        <v>27</v>
      </c>
      <c r="B568" s="55" t="s">
        <v>128</v>
      </c>
      <c r="C568" s="55" t="s">
        <v>16</v>
      </c>
      <c r="D568" s="60">
        <v>0.9285714285714286</v>
      </c>
      <c r="E568" s="55" t="s">
        <v>44</v>
      </c>
      <c r="F568" s="54" t="s">
        <v>266</v>
      </c>
      <c r="G568" s="60">
        <v>0.875</v>
      </c>
      <c r="H568" s="60">
        <v>0.94642850000000001</v>
      </c>
      <c r="I568" s="60">
        <v>1</v>
      </c>
      <c r="K568" s="64">
        <v>5999</v>
      </c>
      <c r="M568" s="62"/>
      <c r="N568" s="63">
        <v>5999</v>
      </c>
    </row>
    <row r="569" spans="1:14" x14ac:dyDescent="0.25">
      <c r="A569" s="55" t="s">
        <v>27</v>
      </c>
      <c r="B569" s="55" t="s">
        <v>128</v>
      </c>
      <c r="C569" s="55" t="s">
        <v>46</v>
      </c>
      <c r="D569" s="60">
        <v>1</v>
      </c>
      <c r="E569" s="55" t="s">
        <v>17</v>
      </c>
      <c r="F569" s="54" t="s">
        <v>269</v>
      </c>
      <c r="G569" s="60">
        <v>1</v>
      </c>
      <c r="H569" s="60">
        <v>0.78571400000000002</v>
      </c>
      <c r="I569" s="60">
        <v>1</v>
      </c>
      <c r="K569" s="64">
        <v>4159</v>
      </c>
      <c r="M569" s="62"/>
      <c r="N569" s="63">
        <v>4159</v>
      </c>
    </row>
    <row r="570" spans="1:14" x14ac:dyDescent="0.25">
      <c r="A570" s="55" t="s">
        <v>27</v>
      </c>
      <c r="B570" s="55" t="s">
        <v>128</v>
      </c>
      <c r="C570" s="55" t="s">
        <v>21</v>
      </c>
      <c r="D570" s="60">
        <v>0.66666666666666663</v>
      </c>
      <c r="E570" s="55" t="s">
        <v>129</v>
      </c>
      <c r="F570" s="54" t="s">
        <v>268</v>
      </c>
      <c r="G570" s="60" t="s">
        <v>7</v>
      </c>
      <c r="H570" s="60">
        <v>0.32142850000000001</v>
      </c>
      <c r="I570" s="60">
        <v>0.67647049999999997</v>
      </c>
      <c r="K570" s="64">
        <v>3149</v>
      </c>
      <c r="M570" s="62"/>
      <c r="N570" s="63">
        <v>3149</v>
      </c>
    </row>
    <row r="571" spans="1:14" x14ac:dyDescent="0.25">
      <c r="A571" s="55" t="s">
        <v>27</v>
      </c>
      <c r="B571" s="55" t="s">
        <v>128</v>
      </c>
      <c r="C571" s="55" t="s">
        <v>21</v>
      </c>
      <c r="D571" s="60">
        <v>0.66666666666666663</v>
      </c>
      <c r="E571" s="55" t="s">
        <v>70</v>
      </c>
      <c r="F571" s="54" t="s">
        <v>268</v>
      </c>
      <c r="G571" s="60" t="s">
        <v>7</v>
      </c>
      <c r="H571" s="60">
        <v>0.29166666666666669</v>
      </c>
      <c r="I571" s="60">
        <v>0.51818180975206574</v>
      </c>
      <c r="K571" s="64">
        <v>3499</v>
      </c>
      <c r="M571" s="62"/>
      <c r="N571" s="63">
        <v>3499</v>
      </c>
    </row>
    <row r="572" spans="1:14" x14ac:dyDescent="0.25">
      <c r="A572" s="55" t="s">
        <v>27</v>
      </c>
      <c r="B572" s="55" t="s">
        <v>142</v>
      </c>
      <c r="C572" s="55" t="s">
        <v>10</v>
      </c>
      <c r="D572" s="60">
        <v>1</v>
      </c>
      <c r="E572" s="55" t="s">
        <v>30</v>
      </c>
      <c r="F572" s="54" t="s">
        <v>264</v>
      </c>
      <c r="G572" s="60">
        <v>1</v>
      </c>
      <c r="H572" s="60">
        <v>1</v>
      </c>
      <c r="I572" s="60">
        <v>1</v>
      </c>
      <c r="K572" s="64">
        <v>419</v>
      </c>
      <c r="M572" s="62"/>
      <c r="N572" s="63">
        <v>419</v>
      </c>
    </row>
    <row r="573" spans="1:14" x14ac:dyDescent="0.25">
      <c r="A573" s="55" t="s">
        <v>27</v>
      </c>
      <c r="B573" s="55" t="s">
        <v>142</v>
      </c>
      <c r="C573" s="55" t="s">
        <v>10</v>
      </c>
      <c r="D573" s="60">
        <v>1</v>
      </c>
      <c r="E573" s="55" t="s">
        <v>17</v>
      </c>
      <c r="F573" s="54" t="s">
        <v>264</v>
      </c>
      <c r="G573" s="60">
        <v>0.88666081081081094</v>
      </c>
      <c r="H573" s="60">
        <v>0.85135129729729719</v>
      </c>
      <c r="I573" s="60">
        <v>0.8887121621621622</v>
      </c>
      <c r="K573" s="64">
        <v>409</v>
      </c>
      <c r="M573" s="62"/>
      <c r="N573" s="63">
        <v>409</v>
      </c>
    </row>
    <row r="574" spans="1:14" x14ac:dyDescent="0.25">
      <c r="A574" s="55" t="s">
        <v>27</v>
      </c>
      <c r="B574" s="55" t="s">
        <v>142</v>
      </c>
      <c r="C574" s="55" t="s">
        <v>13</v>
      </c>
      <c r="D574" s="60">
        <v>0.75</v>
      </c>
      <c r="E574" s="55" t="s">
        <v>32</v>
      </c>
      <c r="F574" s="54" t="s">
        <v>265</v>
      </c>
      <c r="G574" s="60">
        <v>0.850806375</v>
      </c>
      <c r="H574" s="60">
        <v>0.94196412500000004</v>
      </c>
      <c r="I574" s="60">
        <v>0.83823512499999997</v>
      </c>
      <c r="K574" s="64">
        <v>439</v>
      </c>
      <c r="M574" s="62"/>
      <c r="N574" s="63">
        <v>439</v>
      </c>
    </row>
    <row r="575" spans="1:14" x14ac:dyDescent="0.25">
      <c r="A575" s="55" t="s">
        <v>27</v>
      </c>
      <c r="B575" s="55" t="s">
        <v>142</v>
      </c>
      <c r="C575" s="55" t="s">
        <v>13</v>
      </c>
      <c r="D575" s="60">
        <v>0.75</v>
      </c>
      <c r="E575" s="55" t="s">
        <v>45</v>
      </c>
      <c r="F575" s="54" t="s">
        <v>265</v>
      </c>
      <c r="G575" s="60">
        <v>1</v>
      </c>
      <c r="H575" s="60">
        <v>0.97321424999999995</v>
      </c>
      <c r="I575" s="60">
        <v>0.91176449999999998</v>
      </c>
      <c r="K575" s="64">
        <v>429</v>
      </c>
      <c r="M575" s="62"/>
      <c r="N575" s="63">
        <v>429</v>
      </c>
    </row>
    <row r="576" spans="1:14" x14ac:dyDescent="0.25">
      <c r="A576" s="55" t="s">
        <v>27</v>
      </c>
      <c r="B576" s="55" t="s">
        <v>142</v>
      </c>
      <c r="C576" s="55" t="s">
        <v>16</v>
      </c>
      <c r="D576" s="60">
        <v>1</v>
      </c>
      <c r="E576" s="55" t="s">
        <v>17</v>
      </c>
      <c r="F576" s="54" t="s">
        <v>266</v>
      </c>
      <c r="G576" s="60">
        <v>0.98279559999999999</v>
      </c>
      <c r="H576" s="60">
        <v>0.94761899999999999</v>
      </c>
      <c r="I576" s="60">
        <v>1</v>
      </c>
      <c r="K576" s="64">
        <v>6409.666666666667</v>
      </c>
      <c r="M576" s="65">
        <v>2.5000000000000001E-2</v>
      </c>
      <c r="N576" s="63">
        <v>6569</v>
      </c>
    </row>
    <row r="577" spans="1:14" x14ac:dyDescent="0.25">
      <c r="A577" s="55" t="s">
        <v>27</v>
      </c>
      <c r="B577" s="55" t="s">
        <v>142</v>
      </c>
      <c r="C577" s="55" t="s">
        <v>16</v>
      </c>
      <c r="D577" s="60">
        <v>1</v>
      </c>
      <c r="E577" s="55" t="s">
        <v>44</v>
      </c>
      <c r="F577" s="54" t="s">
        <v>266</v>
      </c>
      <c r="G577" s="60">
        <v>1</v>
      </c>
      <c r="H577" s="60">
        <v>1</v>
      </c>
      <c r="I577" s="60">
        <v>1</v>
      </c>
      <c r="K577" s="64">
        <v>7099</v>
      </c>
      <c r="M577" s="62"/>
      <c r="N577" s="63">
        <v>7099</v>
      </c>
    </row>
    <row r="578" spans="1:14" x14ac:dyDescent="0.25">
      <c r="A578" s="55" t="s">
        <v>27</v>
      </c>
      <c r="B578" s="55" t="s">
        <v>142</v>
      </c>
      <c r="C578" s="55" t="s">
        <v>18</v>
      </c>
      <c r="D578" s="60">
        <v>1</v>
      </c>
      <c r="E578" s="55" t="s">
        <v>32</v>
      </c>
      <c r="F578" s="54" t="s">
        <v>267</v>
      </c>
      <c r="G578" s="60">
        <v>0.97849458333333328</v>
      </c>
      <c r="H578" s="60">
        <v>1</v>
      </c>
      <c r="I578" s="60">
        <v>1</v>
      </c>
      <c r="K578" s="64">
        <v>7527.333333333333</v>
      </c>
      <c r="M578" s="65">
        <v>2.5000000000000001E-2</v>
      </c>
      <c r="N578" s="63">
        <v>7719</v>
      </c>
    </row>
    <row r="579" spans="1:14" x14ac:dyDescent="0.25">
      <c r="A579" s="55" t="s">
        <v>27</v>
      </c>
      <c r="B579" s="55" t="s">
        <v>142</v>
      </c>
      <c r="C579" s="55" t="s">
        <v>18</v>
      </c>
      <c r="D579" s="60">
        <v>1</v>
      </c>
      <c r="E579" s="55" t="s">
        <v>45</v>
      </c>
      <c r="F579" s="54" t="s">
        <v>267</v>
      </c>
      <c r="G579" s="60">
        <v>0.89247299999999996</v>
      </c>
      <c r="H579" s="60">
        <v>0.82142833333333332</v>
      </c>
      <c r="I579" s="60">
        <v>1</v>
      </c>
      <c r="K579" s="64">
        <v>8262.3333333333339</v>
      </c>
      <c r="M579" s="62"/>
      <c r="N579" s="63">
        <v>8269</v>
      </c>
    </row>
    <row r="580" spans="1:14" x14ac:dyDescent="0.25">
      <c r="A580" s="55" t="s">
        <v>27</v>
      </c>
      <c r="B580" s="55" t="s">
        <v>142</v>
      </c>
      <c r="C580" s="55" t="s">
        <v>46</v>
      </c>
      <c r="D580" s="60">
        <v>1</v>
      </c>
      <c r="E580" s="55" t="s">
        <v>29</v>
      </c>
      <c r="F580" s="54" t="s">
        <v>269</v>
      </c>
      <c r="G580" s="60">
        <v>1</v>
      </c>
      <c r="H580" s="60">
        <v>1</v>
      </c>
      <c r="I580" s="60">
        <v>1</v>
      </c>
      <c r="K580" s="64">
        <v>3881.5</v>
      </c>
      <c r="M580" s="65">
        <v>0.05</v>
      </c>
      <c r="N580" s="63">
        <v>4079</v>
      </c>
    </row>
    <row r="581" spans="1:14" x14ac:dyDescent="0.25">
      <c r="A581" s="55" t="s">
        <v>27</v>
      </c>
      <c r="B581" s="55" t="s">
        <v>142</v>
      </c>
      <c r="C581" s="55" t="s">
        <v>46</v>
      </c>
      <c r="D581" s="60">
        <v>1</v>
      </c>
      <c r="E581" s="55" t="s">
        <v>17</v>
      </c>
      <c r="F581" s="54" t="s">
        <v>269</v>
      </c>
      <c r="G581" s="60">
        <v>1</v>
      </c>
      <c r="H581" s="60">
        <v>1</v>
      </c>
      <c r="I581" s="60">
        <v>1</v>
      </c>
      <c r="K581" s="64">
        <v>3065</v>
      </c>
      <c r="M581" s="65">
        <v>2.5000000000000001E-2</v>
      </c>
      <c r="N581" s="63">
        <v>3149</v>
      </c>
    </row>
    <row r="582" spans="1:14" x14ac:dyDescent="0.25">
      <c r="A582" s="55" t="s">
        <v>27</v>
      </c>
      <c r="B582" s="55" t="s">
        <v>156</v>
      </c>
      <c r="C582" s="55" t="s">
        <v>10</v>
      </c>
      <c r="D582" s="60">
        <v>0.92592592592592593</v>
      </c>
      <c r="E582" s="55" t="s">
        <v>11</v>
      </c>
      <c r="F582" s="54" t="s">
        <v>264</v>
      </c>
      <c r="G582" s="60">
        <v>0.9410137999999999</v>
      </c>
      <c r="H582" s="60">
        <v>0.95918365714285703</v>
      </c>
      <c r="I582" s="60">
        <v>0.96134451428571432</v>
      </c>
      <c r="K582" s="64">
        <v>439</v>
      </c>
      <c r="M582" s="65">
        <v>2.5000000000000001E-2</v>
      </c>
      <c r="N582" s="63">
        <v>449</v>
      </c>
    </row>
    <row r="583" spans="1:14" x14ac:dyDescent="0.25">
      <c r="A583" s="55" t="s">
        <v>27</v>
      </c>
      <c r="B583" s="55" t="s">
        <v>156</v>
      </c>
      <c r="C583" s="55" t="s">
        <v>10</v>
      </c>
      <c r="D583" s="60">
        <v>0.92592592592592593</v>
      </c>
      <c r="E583" s="55" t="s">
        <v>12</v>
      </c>
      <c r="F583" s="54" t="s">
        <v>264</v>
      </c>
      <c r="G583" s="60">
        <v>0.95698922222222216</v>
      </c>
      <c r="H583" s="60">
        <v>0.9285713888888889</v>
      </c>
      <c r="I583" s="60">
        <v>0.90196077777777772</v>
      </c>
      <c r="K583" s="64">
        <v>399</v>
      </c>
      <c r="M583" s="65">
        <v>2.5000000000000001E-2</v>
      </c>
      <c r="N583" s="63">
        <v>409</v>
      </c>
    </row>
    <row r="584" spans="1:14" x14ac:dyDescent="0.25">
      <c r="A584" s="55" t="s">
        <v>27</v>
      </c>
      <c r="B584" s="55" t="s">
        <v>156</v>
      </c>
      <c r="C584" s="55" t="s">
        <v>10</v>
      </c>
      <c r="D584" s="60">
        <v>0.92592592592592593</v>
      </c>
      <c r="E584" s="55" t="s">
        <v>74</v>
      </c>
      <c r="F584" s="54" t="s">
        <v>264</v>
      </c>
      <c r="G584" s="60">
        <v>0.77419300000000002</v>
      </c>
      <c r="H584" s="60">
        <v>0.85714199999999996</v>
      </c>
      <c r="I584" s="60">
        <v>0.58823499999999995</v>
      </c>
      <c r="K584" s="64">
        <v>459</v>
      </c>
      <c r="M584" s="62"/>
      <c r="N584" s="63">
        <v>459</v>
      </c>
    </row>
    <row r="585" spans="1:14" x14ac:dyDescent="0.25">
      <c r="A585" s="55" t="s">
        <v>27</v>
      </c>
      <c r="B585" s="55" t="s">
        <v>156</v>
      </c>
      <c r="C585" s="55" t="s">
        <v>18</v>
      </c>
      <c r="D585" s="60">
        <v>1</v>
      </c>
      <c r="E585" s="55" t="s">
        <v>119</v>
      </c>
      <c r="F585" s="54" t="s">
        <v>267</v>
      </c>
      <c r="G585" s="60">
        <v>0.7473116666666666</v>
      </c>
      <c r="H585" s="60">
        <v>0.66666666666666663</v>
      </c>
      <c r="I585" s="60">
        <v>0.85294116666666664</v>
      </c>
      <c r="K585" s="64">
        <v>7479</v>
      </c>
      <c r="M585" s="62"/>
      <c r="N585" s="63">
        <v>7479</v>
      </c>
    </row>
    <row r="586" spans="1:14" x14ac:dyDescent="0.25">
      <c r="A586" s="55" t="s">
        <v>27</v>
      </c>
      <c r="B586" s="55" t="s">
        <v>156</v>
      </c>
      <c r="C586" s="55" t="s">
        <v>18</v>
      </c>
      <c r="D586" s="60">
        <v>1</v>
      </c>
      <c r="E586" s="55" t="s">
        <v>15</v>
      </c>
      <c r="F586" s="54" t="s">
        <v>267</v>
      </c>
      <c r="G586" s="60">
        <v>1</v>
      </c>
      <c r="H586" s="60">
        <v>1</v>
      </c>
      <c r="I586" s="60">
        <v>1</v>
      </c>
      <c r="K586" s="64">
        <v>8249</v>
      </c>
      <c r="M586" s="62"/>
      <c r="N586" s="63">
        <v>8249</v>
      </c>
    </row>
    <row r="587" spans="1:14" x14ac:dyDescent="0.25">
      <c r="A587" s="55" t="s">
        <v>27</v>
      </c>
      <c r="B587" s="55" t="s">
        <v>156</v>
      </c>
      <c r="C587" s="55" t="s">
        <v>16</v>
      </c>
      <c r="D587" s="60">
        <v>0.94736842105263153</v>
      </c>
      <c r="E587" s="55" t="s">
        <v>17</v>
      </c>
      <c r="F587" s="54" t="s">
        <v>266</v>
      </c>
      <c r="G587" s="60">
        <v>0.97379031250000003</v>
      </c>
      <c r="H587" s="60">
        <v>0.94866068749999999</v>
      </c>
      <c r="I587" s="60">
        <v>0.97794112499999997</v>
      </c>
      <c r="K587" s="64">
        <v>5769</v>
      </c>
      <c r="M587" s="65">
        <v>2.5000000000000001E-2</v>
      </c>
      <c r="N587" s="63">
        <v>5919</v>
      </c>
    </row>
    <row r="588" spans="1:14" x14ac:dyDescent="0.25">
      <c r="A588" s="55" t="s">
        <v>27</v>
      </c>
      <c r="B588" s="55" t="s">
        <v>156</v>
      </c>
      <c r="C588" s="55" t="s">
        <v>16</v>
      </c>
      <c r="D588" s="60">
        <v>0.94736842105263153</v>
      </c>
      <c r="E588" s="55" t="s">
        <v>12</v>
      </c>
      <c r="F588" s="54" t="s">
        <v>266</v>
      </c>
      <c r="G588" s="60">
        <v>0.79569866666666667</v>
      </c>
      <c r="H588" s="60">
        <v>0.98809499999999995</v>
      </c>
      <c r="I588" s="60">
        <v>1</v>
      </c>
      <c r="K588" s="64">
        <v>6299</v>
      </c>
      <c r="M588" s="62"/>
      <c r="N588" s="63">
        <v>6299</v>
      </c>
    </row>
    <row r="589" spans="1:14" x14ac:dyDescent="0.25">
      <c r="A589" s="55" t="s">
        <v>27</v>
      </c>
      <c r="B589" s="55" t="s">
        <v>156</v>
      </c>
      <c r="C589" s="55" t="s">
        <v>46</v>
      </c>
      <c r="D589" s="60">
        <v>1</v>
      </c>
      <c r="E589" s="55" t="s">
        <v>17</v>
      </c>
      <c r="F589" s="54" t="s">
        <v>269</v>
      </c>
      <c r="G589" s="60">
        <v>1</v>
      </c>
      <c r="H589" s="60">
        <v>1</v>
      </c>
      <c r="I589" s="60">
        <v>1</v>
      </c>
      <c r="K589" s="64">
        <v>3589</v>
      </c>
      <c r="M589" s="65">
        <v>2.5000000000000001E-2</v>
      </c>
      <c r="N589" s="63">
        <v>3679</v>
      </c>
    </row>
    <row r="590" spans="1:14" x14ac:dyDescent="0.25">
      <c r="A590" s="55" t="s">
        <v>27</v>
      </c>
      <c r="B590" s="55" t="s">
        <v>157</v>
      </c>
      <c r="C590" s="55" t="s">
        <v>10</v>
      </c>
      <c r="D590" s="60">
        <v>0.94444444444444442</v>
      </c>
      <c r="E590" s="55" t="s">
        <v>11</v>
      </c>
      <c r="F590" s="54" t="s">
        <v>264</v>
      </c>
      <c r="G590" s="60">
        <v>0.95635673529411758</v>
      </c>
      <c r="H590" s="60">
        <v>0.96323529411764708</v>
      </c>
      <c r="I590" s="60">
        <v>0.99134947058823542</v>
      </c>
      <c r="K590" s="64">
        <v>409</v>
      </c>
      <c r="M590" s="65">
        <v>2.5000000000000001E-2</v>
      </c>
      <c r="N590" s="63">
        <v>419</v>
      </c>
    </row>
    <row r="591" spans="1:14" x14ac:dyDescent="0.25">
      <c r="A591" s="55" t="s">
        <v>27</v>
      </c>
      <c r="B591" s="55" t="s">
        <v>157</v>
      </c>
      <c r="C591" s="55" t="s">
        <v>10</v>
      </c>
      <c r="D591" s="60">
        <v>0.94444444444444442</v>
      </c>
      <c r="E591" s="55" t="s">
        <v>74</v>
      </c>
      <c r="F591" s="54" t="s">
        <v>264</v>
      </c>
      <c r="G591" s="60">
        <v>0.97580624999999999</v>
      </c>
      <c r="H591" s="60">
        <v>0.97321424999999995</v>
      </c>
      <c r="I591" s="60">
        <v>0.97058800000000001</v>
      </c>
      <c r="K591" s="64">
        <v>459</v>
      </c>
      <c r="M591" s="65">
        <v>2.5000000000000001E-2</v>
      </c>
      <c r="N591" s="63">
        <v>479</v>
      </c>
    </row>
    <row r="592" spans="1:14" x14ac:dyDescent="0.25">
      <c r="A592" s="55" t="s">
        <v>27</v>
      </c>
      <c r="B592" s="55" t="s">
        <v>157</v>
      </c>
      <c r="C592" s="55" t="s">
        <v>10</v>
      </c>
      <c r="D592" s="60">
        <v>0.94444444444444442</v>
      </c>
      <c r="E592" s="55" t="s">
        <v>12</v>
      </c>
      <c r="F592" s="54" t="s">
        <v>264</v>
      </c>
      <c r="G592" s="60">
        <v>0.85685481249999995</v>
      </c>
      <c r="H592" s="60">
        <v>0.86830356249999996</v>
      </c>
      <c r="I592" s="60">
        <v>0.91544112499999997</v>
      </c>
      <c r="K592" s="64">
        <v>339</v>
      </c>
      <c r="M592" s="65">
        <v>2.5000000000000001E-2</v>
      </c>
      <c r="N592" s="63">
        <v>349</v>
      </c>
    </row>
    <row r="593" spans="1:14" x14ac:dyDescent="0.25">
      <c r="A593" s="55" t="s">
        <v>27</v>
      </c>
      <c r="B593" s="55" t="s">
        <v>157</v>
      </c>
      <c r="C593" s="55" t="s">
        <v>16</v>
      </c>
      <c r="D593" s="60">
        <v>0.95652173913043481</v>
      </c>
      <c r="E593" s="55" t="s">
        <v>17</v>
      </c>
      <c r="F593" s="54" t="s">
        <v>266</v>
      </c>
      <c r="G593" s="60">
        <v>0.95285353846153842</v>
      </c>
      <c r="H593" s="60">
        <v>0.98901092307692307</v>
      </c>
      <c r="I593" s="60">
        <v>0.98642530769230774</v>
      </c>
      <c r="K593" s="64">
        <v>6119</v>
      </c>
      <c r="M593" s="62"/>
      <c r="N593" s="63">
        <v>6119</v>
      </c>
    </row>
    <row r="594" spans="1:14" x14ac:dyDescent="0.25">
      <c r="A594" s="55" t="s">
        <v>27</v>
      </c>
      <c r="B594" s="55" t="s">
        <v>157</v>
      </c>
      <c r="C594" s="55" t="s">
        <v>16</v>
      </c>
      <c r="D594" s="60">
        <v>0.95652173913043481</v>
      </c>
      <c r="E594" s="55" t="s">
        <v>12</v>
      </c>
      <c r="F594" s="54" t="s">
        <v>266</v>
      </c>
      <c r="G594" s="60">
        <v>0.94758062499999995</v>
      </c>
      <c r="H594" s="60">
        <v>0.94196424999999995</v>
      </c>
      <c r="I594" s="60">
        <v>1</v>
      </c>
      <c r="K594" s="64">
        <v>6579</v>
      </c>
      <c r="M594" s="65">
        <v>2.5000000000000001E-2</v>
      </c>
      <c r="N594" s="63">
        <v>6749</v>
      </c>
    </row>
    <row r="595" spans="1:14" x14ac:dyDescent="0.25">
      <c r="A595" s="55" t="s">
        <v>27</v>
      </c>
      <c r="B595" s="55" t="s">
        <v>157</v>
      </c>
      <c r="C595" s="55" t="s">
        <v>16</v>
      </c>
      <c r="D595" s="60">
        <v>0.95652173913043481</v>
      </c>
      <c r="E595" s="55" t="s">
        <v>158</v>
      </c>
      <c r="F595" s="54" t="s">
        <v>266</v>
      </c>
      <c r="G595" s="60">
        <v>0.59677400000000003</v>
      </c>
      <c r="H595" s="60">
        <v>0.55357100000000004</v>
      </c>
      <c r="I595" s="60">
        <v>1</v>
      </c>
      <c r="K595" s="64">
        <v>6629</v>
      </c>
      <c r="M595" s="62"/>
      <c r="N595" s="63">
        <v>6629</v>
      </c>
    </row>
    <row r="596" spans="1:14" x14ac:dyDescent="0.25">
      <c r="A596" s="55" t="s">
        <v>27</v>
      </c>
      <c r="B596" s="55" t="s">
        <v>159</v>
      </c>
      <c r="C596" s="55" t="s">
        <v>10</v>
      </c>
      <c r="D596" s="60">
        <v>0.84905660377358494</v>
      </c>
      <c r="E596" s="55" t="s">
        <v>11</v>
      </c>
      <c r="F596" s="54" t="s">
        <v>264</v>
      </c>
      <c r="G596" s="60">
        <v>0.97235021428571422</v>
      </c>
      <c r="H596" s="60">
        <v>0.93494896428571439</v>
      </c>
      <c r="I596" s="60">
        <v>0.9285714285714286</v>
      </c>
      <c r="K596" s="64">
        <v>409</v>
      </c>
      <c r="M596" s="62"/>
      <c r="N596" s="63">
        <v>409</v>
      </c>
    </row>
    <row r="597" spans="1:14" x14ac:dyDescent="0.25">
      <c r="A597" s="55" t="s">
        <v>27</v>
      </c>
      <c r="B597" s="55" t="s">
        <v>159</v>
      </c>
      <c r="C597" s="55" t="s">
        <v>10</v>
      </c>
      <c r="D597" s="60">
        <v>0.84905660377358494</v>
      </c>
      <c r="E597" s="55" t="s">
        <v>74</v>
      </c>
      <c r="F597" s="54" t="s">
        <v>264</v>
      </c>
      <c r="G597" s="60">
        <v>0.90909090909090906</v>
      </c>
      <c r="H597" s="60">
        <v>0.8896103636363637</v>
      </c>
      <c r="I597" s="60">
        <v>0.86631009090909084</v>
      </c>
      <c r="K597" s="64">
        <v>419</v>
      </c>
      <c r="M597" s="62"/>
      <c r="N597" s="63">
        <v>419</v>
      </c>
    </row>
    <row r="598" spans="1:14" x14ac:dyDescent="0.25">
      <c r="A598" s="55" t="s">
        <v>27</v>
      </c>
      <c r="B598" s="55" t="s">
        <v>159</v>
      </c>
      <c r="C598" s="55" t="s">
        <v>10</v>
      </c>
      <c r="D598" s="60">
        <v>0.84905660377358494</v>
      </c>
      <c r="E598" s="55" t="s">
        <v>12</v>
      </c>
      <c r="F598" s="54" t="s">
        <v>264</v>
      </c>
      <c r="G598" s="60">
        <v>0.84792621428571435</v>
      </c>
      <c r="H598" s="60">
        <v>0.8392857142857143</v>
      </c>
      <c r="I598" s="60">
        <v>0.81512600000000002</v>
      </c>
      <c r="K598" s="64">
        <v>349</v>
      </c>
      <c r="M598" s="62"/>
      <c r="N598" s="63">
        <v>349</v>
      </c>
    </row>
    <row r="599" spans="1:14" x14ac:dyDescent="0.25">
      <c r="A599" s="55" t="s">
        <v>27</v>
      </c>
      <c r="B599" s="55" t="s">
        <v>159</v>
      </c>
      <c r="C599" s="55" t="s">
        <v>13</v>
      </c>
      <c r="D599" s="60">
        <v>1</v>
      </c>
      <c r="E599" s="55" t="s">
        <v>14</v>
      </c>
      <c r="F599" s="54" t="s">
        <v>265</v>
      </c>
      <c r="G599" s="60">
        <v>0.88387080000000007</v>
      </c>
      <c r="H599" s="60">
        <v>0.8</v>
      </c>
      <c r="I599" s="60">
        <v>0.90588219999999997</v>
      </c>
      <c r="K599" s="64">
        <v>439</v>
      </c>
      <c r="M599" s="65">
        <v>2.5000000000000001E-2</v>
      </c>
      <c r="N599" s="63">
        <v>449</v>
      </c>
    </row>
    <row r="600" spans="1:14" x14ac:dyDescent="0.25">
      <c r="A600" s="55" t="s">
        <v>27</v>
      </c>
      <c r="B600" s="55" t="s">
        <v>159</v>
      </c>
      <c r="C600" s="55" t="s">
        <v>13</v>
      </c>
      <c r="D600" s="60">
        <v>1</v>
      </c>
      <c r="E600" s="55" t="s">
        <v>15</v>
      </c>
      <c r="F600" s="54" t="s">
        <v>265</v>
      </c>
      <c r="G600" s="60">
        <v>1</v>
      </c>
      <c r="H600" s="60">
        <v>1</v>
      </c>
      <c r="I600" s="60">
        <v>1</v>
      </c>
      <c r="K600" s="64">
        <v>389</v>
      </c>
      <c r="M600" s="65">
        <v>2.5000000000000001E-2</v>
      </c>
      <c r="N600" s="63">
        <v>399</v>
      </c>
    </row>
    <row r="601" spans="1:14" x14ac:dyDescent="0.25">
      <c r="A601" s="55" t="s">
        <v>27</v>
      </c>
      <c r="B601" s="55" t="s">
        <v>159</v>
      </c>
      <c r="C601" s="55" t="s">
        <v>16</v>
      </c>
      <c r="D601" s="60">
        <v>0.96875</v>
      </c>
      <c r="E601" s="55" t="s">
        <v>17</v>
      </c>
      <c r="F601" s="54" t="s">
        <v>266</v>
      </c>
      <c r="G601" s="60">
        <v>0.72931273913043482</v>
      </c>
      <c r="H601" s="60">
        <v>0.82763973913043476</v>
      </c>
      <c r="I601" s="60">
        <v>0.89514065217391303</v>
      </c>
      <c r="K601" s="64">
        <v>5259</v>
      </c>
      <c r="M601" s="62"/>
      <c r="N601" s="63">
        <v>5259</v>
      </c>
    </row>
    <row r="602" spans="1:14" x14ac:dyDescent="0.25">
      <c r="A602" s="55" t="s">
        <v>27</v>
      </c>
      <c r="B602" s="55" t="s">
        <v>159</v>
      </c>
      <c r="C602" s="55" t="s">
        <v>16</v>
      </c>
      <c r="D602" s="60">
        <v>0.96875</v>
      </c>
      <c r="E602" s="55" t="s">
        <v>12</v>
      </c>
      <c r="F602" s="54" t="s">
        <v>266</v>
      </c>
      <c r="G602" s="60">
        <v>1</v>
      </c>
      <c r="H602" s="60">
        <v>1</v>
      </c>
      <c r="I602" s="60">
        <v>1</v>
      </c>
      <c r="K602" s="64">
        <v>5609</v>
      </c>
      <c r="M602" s="65">
        <v>2.5000000000000001E-2</v>
      </c>
      <c r="N602" s="63">
        <v>5749</v>
      </c>
    </row>
    <row r="603" spans="1:14" x14ac:dyDescent="0.25">
      <c r="A603" s="55" t="s">
        <v>27</v>
      </c>
      <c r="B603" s="55" t="s">
        <v>159</v>
      </c>
      <c r="C603" s="55" t="s">
        <v>16</v>
      </c>
      <c r="D603" s="60">
        <v>0.96875</v>
      </c>
      <c r="E603" s="55" t="s">
        <v>106</v>
      </c>
      <c r="F603" s="54" t="s">
        <v>266</v>
      </c>
      <c r="G603" s="60">
        <v>0</v>
      </c>
      <c r="H603" s="60">
        <v>0.71428550000000002</v>
      </c>
      <c r="I603" s="60">
        <v>1</v>
      </c>
      <c r="K603" s="64">
        <v>3699</v>
      </c>
      <c r="M603" s="62"/>
      <c r="N603" s="63">
        <v>3699</v>
      </c>
    </row>
    <row r="604" spans="1:14" x14ac:dyDescent="0.25">
      <c r="A604" s="55" t="s">
        <v>27</v>
      </c>
      <c r="B604" s="55" t="s">
        <v>159</v>
      </c>
      <c r="C604" s="55" t="s">
        <v>18</v>
      </c>
      <c r="D604" s="60">
        <v>0.8571428571428571</v>
      </c>
      <c r="E604" s="55" t="s">
        <v>160</v>
      </c>
      <c r="F604" s="54" t="s">
        <v>267</v>
      </c>
      <c r="G604" s="60">
        <v>0.94686905882352945</v>
      </c>
      <c r="H604" s="60">
        <v>0.98739494117647053</v>
      </c>
      <c r="I604" s="60">
        <v>0.85121105882352932</v>
      </c>
      <c r="K604" s="64">
        <v>7459</v>
      </c>
      <c r="M604" s="62"/>
      <c r="N604" s="63">
        <v>7459</v>
      </c>
    </row>
    <row r="605" spans="1:14" x14ac:dyDescent="0.25">
      <c r="A605" s="55" t="s">
        <v>27</v>
      </c>
      <c r="B605" s="55" t="s">
        <v>159</v>
      </c>
      <c r="C605" s="55" t="s">
        <v>18</v>
      </c>
      <c r="D605" s="60">
        <v>0.8571428571428571</v>
      </c>
      <c r="E605" s="55" t="s">
        <v>20</v>
      </c>
      <c r="F605" s="54" t="s">
        <v>267</v>
      </c>
      <c r="G605" s="60">
        <v>0.82258050000000005</v>
      </c>
      <c r="H605" s="60">
        <v>0.76785700000000001</v>
      </c>
      <c r="I605" s="60">
        <v>1</v>
      </c>
      <c r="K605" s="64">
        <v>7739</v>
      </c>
      <c r="M605" s="62"/>
      <c r="N605" s="63">
        <v>7739</v>
      </c>
    </row>
    <row r="606" spans="1:14" x14ac:dyDescent="0.25">
      <c r="A606" s="55" t="s">
        <v>27</v>
      </c>
      <c r="B606" s="55" t="s">
        <v>159</v>
      </c>
      <c r="C606" s="55" t="s">
        <v>46</v>
      </c>
      <c r="D606" s="60">
        <v>0</v>
      </c>
      <c r="E606" s="55" t="s">
        <v>17</v>
      </c>
      <c r="F606" s="54" t="s">
        <v>269</v>
      </c>
      <c r="G606" s="60">
        <v>0</v>
      </c>
      <c r="H606" s="60">
        <v>0</v>
      </c>
      <c r="I606" s="60">
        <v>0</v>
      </c>
      <c r="K606" s="64">
        <v>3099</v>
      </c>
      <c r="M606" s="62"/>
      <c r="N606" s="63">
        <v>3099</v>
      </c>
    </row>
    <row r="607" spans="1:14" x14ac:dyDescent="0.25">
      <c r="A607" s="55" t="s">
        <v>27</v>
      </c>
      <c r="B607" s="55" t="s">
        <v>189</v>
      </c>
      <c r="C607" s="55" t="s">
        <v>13</v>
      </c>
      <c r="D607" s="60">
        <v>0.84615384615384615</v>
      </c>
      <c r="E607" s="55" t="s">
        <v>32</v>
      </c>
      <c r="F607" s="54" t="s">
        <v>265</v>
      </c>
      <c r="G607" s="60">
        <v>0.98156671428571429</v>
      </c>
      <c r="H607" s="60">
        <v>0.95408157142857142</v>
      </c>
      <c r="I607" s="60">
        <v>1</v>
      </c>
      <c r="K607" s="64">
        <v>520.42857142857144</v>
      </c>
      <c r="M607" s="62"/>
      <c r="N607" s="63">
        <v>529</v>
      </c>
    </row>
    <row r="608" spans="1:14" x14ac:dyDescent="0.25">
      <c r="A608" s="55" t="s">
        <v>27</v>
      </c>
      <c r="B608" s="55" t="s">
        <v>189</v>
      </c>
      <c r="C608" s="55" t="s">
        <v>13</v>
      </c>
      <c r="D608" s="60">
        <v>0.84615384615384615</v>
      </c>
      <c r="E608" s="55" t="s">
        <v>45</v>
      </c>
      <c r="F608" s="54" t="s">
        <v>265</v>
      </c>
      <c r="G608" s="60">
        <v>0.99462349999999999</v>
      </c>
      <c r="H608" s="60">
        <v>0.83333333333333337</v>
      </c>
      <c r="I608" s="60">
        <v>0.88235283333333336</v>
      </c>
      <c r="K608" s="64">
        <v>455.66666666666669</v>
      </c>
      <c r="M608" s="62"/>
      <c r="N608" s="63">
        <v>459</v>
      </c>
    </row>
    <row r="609" spans="1:14" x14ac:dyDescent="0.25">
      <c r="A609" s="55" t="s">
        <v>27</v>
      </c>
      <c r="B609" s="55" t="s">
        <v>189</v>
      </c>
      <c r="C609" s="55" t="s">
        <v>10</v>
      </c>
      <c r="D609" s="60">
        <v>0.97619047619047616</v>
      </c>
      <c r="E609" s="55" t="s">
        <v>17</v>
      </c>
      <c r="F609" s="54" t="s">
        <v>264</v>
      </c>
      <c r="G609" s="60">
        <v>0.96774180769230767</v>
      </c>
      <c r="H609" s="60">
        <v>0.94230761538461527</v>
      </c>
      <c r="I609" s="60">
        <v>0.93665146153846157</v>
      </c>
      <c r="K609" s="64">
        <v>453.23076923076923</v>
      </c>
      <c r="M609" s="65">
        <v>2.5000000000000001E-2</v>
      </c>
      <c r="N609" s="63">
        <v>469</v>
      </c>
    </row>
    <row r="610" spans="1:14" x14ac:dyDescent="0.25">
      <c r="A610" s="55" t="s">
        <v>27</v>
      </c>
      <c r="B610" s="55" t="s">
        <v>189</v>
      </c>
      <c r="C610" s="55" t="s">
        <v>10</v>
      </c>
      <c r="D610" s="60">
        <v>0.97619047619047616</v>
      </c>
      <c r="E610" s="55" t="s">
        <v>44</v>
      </c>
      <c r="F610" s="54" t="s">
        <v>264</v>
      </c>
      <c r="G610" s="60">
        <v>0.95362893749999988</v>
      </c>
      <c r="H610" s="60">
        <v>0.90624993750000005</v>
      </c>
      <c r="I610" s="60">
        <v>0.91544112500000008</v>
      </c>
      <c r="K610" s="64">
        <v>395.25</v>
      </c>
      <c r="M610" s="65">
        <v>2.5000000000000001E-2</v>
      </c>
      <c r="N610" s="63">
        <v>409</v>
      </c>
    </row>
    <row r="611" spans="1:14" x14ac:dyDescent="0.25">
      <c r="A611" s="55" t="s">
        <v>27</v>
      </c>
      <c r="B611" s="55" t="s">
        <v>189</v>
      </c>
      <c r="C611" s="55" t="s">
        <v>16</v>
      </c>
      <c r="D611" s="60">
        <v>0.94736842105263153</v>
      </c>
      <c r="E611" s="55" t="s">
        <v>17</v>
      </c>
      <c r="F611" s="54" t="s">
        <v>266</v>
      </c>
      <c r="G611" s="60">
        <v>0.96774193333333325</v>
      </c>
      <c r="H611" s="60">
        <v>0.98571426666666673</v>
      </c>
      <c r="I611" s="60">
        <v>0.98431366666666664</v>
      </c>
      <c r="K611" s="64">
        <v>5263.666666666667</v>
      </c>
      <c r="M611" s="65">
        <v>2.5000000000000001E-2</v>
      </c>
      <c r="N611" s="63">
        <v>5399</v>
      </c>
    </row>
    <row r="612" spans="1:14" x14ac:dyDescent="0.25">
      <c r="A612" s="55" t="s">
        <v>27</v>
      </c>
      <c r="B612" s="55" t="s">
        <v>189</v>
      </c>
      <c r="C612" s="55" t="s">
        <v>16</v>
      </c>
      <c r="D612" s="60">
        <v>0.94736842105263153</v>
      </c>
      <c r="E612" s="55" t="s">
        <v>44</v>
      </c>
      <c r="F612" s="54" t="s">
        <v>266</v>
      </c>
      <c r="G612" s="60">
        <v>1</v>
      </c>
      <c r="H612" s="60">
        <v>1</v>
      </c>
      <c r="I612" s="60">
        <v>1</v>
      </c>
      <c r="K612" s="64">
        <v>6129</v>
      </c>
      <c r="M612" s="65">
        <v>2.5000000000000001E-2</v>
      </c>
      <c r="N612" s="63">
        <v>6289</v>
      </c>
    </row>
    <row r="613" spans="1:14" x14ac:dyDescent="0.25">
      <c r="A613" s="55" t="s">
        <v>27</v>
      </c>
      <c r="B613" s="55" t="s">
        <v>189</v>
      </c>
      <c r="C613" s="55" t="s">
        <v>18</v>
      </c>
      <c r="D613" s="60">
        <v>0.8666666666666667</v>
      </c>
      <c r="E613" s="55" t="s">
        <v>32</v>
      </c>
      <c r="F613" s="54" t="s">
        <v>267</v>
      </c>
      <c r="G613" s="60">
        <v>0.86559133333333327</v>
      </c>
      <c r="H613" s="60">
        <v>0.9285713333333333</v>
      </c>
      <c r="I613" s="60">
        <v>0.91666666666666663</v>
      </c>
      <c r="K613" s="64">
        <v>6953.166666666667</v>
      </c>
      <c r="M613" s="62"/>
      <c r="N613" s="63">
        <v>6959</v>
      </c>
    </row>
    <row r="614" spans="1:14" s="66" customFormat="1" x14ac:dyDescent="0.25">
      <c r="A614" s="55" t="s">
        <v>27</v>
      </c>
      <c r="B614" s="55" t="s">
        <v>189</v>
      </c>
      <c r="C614" s="55" t="s">
        <v>18</v>
      </c>
      <c r="D614" s="60">
        <v>0.8666666666666667</v>
      </c>
      <c r="E614" s="55" t="s">
        <v>45</v>
      </c>
      <c r="F614" s="54" t="s">
        <v>267</v>
      </c>
      <c r="G614" s="60">
        <v>0.45161266666666666</v>
      </c>
      <c r="H614" s="60">
        <v>0.66666666666666663</v>
      </c>
      <c r="I614" s="60">
        <v>0.66666666666666663</v>
      </c>
      <c r="J614" s="55"/>
      <c r="K614" s="64">
        <v>7945.666666666667</v>
      </c>
      <c r="L614" s="55"/>
      <c r="M614" s="62"/>
      <c r="N614" s="63">
        <v>7949</v>
      </c>
    </row>
    <row r="615" spans="1:14" x14ac:dyDescent="0.25">
      <c r="A615" s="55" t="s">
        <v>27</v>
      </c>
      <c r="B615" s="55" t="s">
        <v>220</v>
      </c>
      <c r="C615" s="55" t="s">
        <v>16</v>
      </c>
      <c r="D615" s="60">
        <v>0.9821428571428571</v>
      </c>
      <c r="E615" s="55" t="s">
        <v>17</v>
      </c>
      <c r="F615" s="54" t="s">
        <v>266</v>
      </c>
      <c r="G615" s="60">
        <v>0.9933258965517241</v>
      </c>
      <c r="H615" s="60">
        <v>1</v>
      </c>
      <c r="I615" s="60">
        <v>1</v>
      </c>
      <c r="K615" s="64">
        <v>4720.0344827586205</v>
      </c>
      <c r="M615" s="65">
        <v>2.5000000000000001E-2</v>
      </c>
      <c r="N615" s="63">
        <v>4839</v>
      </c>
    </row>
    <row r="616" spans="1:14" x14ac:dyDescent="0.25">
      <c r="A616" s="55" t="s">
        <v>27</v>
      </c>
      <c r="B616" s="55" t="s">
        <v>220</v>
      </c>
      <c r="C616" s="55" t="s">
        <v>16</v>
      </c>
      <c r="D616" s="60">
        <v>0.9821428571428571</v>
      </c>
      <c r="E616" s="55" t="s">
        <v>29</v>
      </c>
      <c r="F616" s="54" t="s">
        <v>266</v>
      </c>
      <c r="G616" s="60">
        <v>1</v>
      </c>
      <c r="H616" s="60">
        <v>1</v>
      </c>
      <c r="I616" s="60">
        <v>1</v>
      </c>
      <c r="K616" s="64">
        <v>6019</v>
      </c>
      <c r="M616" s="62"/>
      <c r="N616" s="63">
        <v>6019</v>
      </c>
    </row>
    <row r="617" spans="1:14" x14ac:dyDescent="0.25">
      <c r="A617" s="55" t="s">
        <v>27</v>
      </c>
      <c r="B617" s="55" t="s">
        <v>220</v>
      </c>
      <c r="C617" s="55" t="s">
        <v>16</v>
      </c>
      <c r="D617" s="60">
        <v>0.9821428571428571</v>
      </c>
      <c r="E617" s="55" t="s">
        <v>30</v>
      </c>
      <c r="F617" s="54" t="s">
        <v>266</v>
      </c>
      <c r="G617" s="60">
        <v>1</v>
      </c>
      <c r="H617" s="60">
        <v>1</v>
      </c>
      <c r="I617" s="60">
        <v>0.97058816666666659</v>
      </c>
      <c r="K617" s="64">
        <v>5234</v>
      </c>
      <c r="M617" s="65">
        <v>2.5000000000000001E-2</v>
      </c>
      <c r="N617" s="63">
        <v>5369</v>
      </c>
    </row>
    <row r="618" spans="1:14" x14ac:dyDescent="0.25">
      <c r="A618" s="55" t="s">
        <v>27</v>
      </c>
      <c r="B618" s="55" t="s">
        <v>220</v>
      </c>
      <c r="C618" s="55" t="s">
        <v>16</v>
      </c>
      <c r="D618" s="60">
        <v>0.9821428571428571</v>
      </c>
      <c r="E618" s="55" t="s">
        <v>31</v>
      </c>
      <c r="F618" s="54" t="s">
        <v>266</v>
      </c>
      <c r="G618" s="60">
        <v>0.79032250000000004</v>
      </c>
      <c r="H618" s="60">
        <v>1</v>
      </c>
      <c r="I618" s="60">
        <v>1</v>
      </c>
      <c r="K618" s="64">
        <v>8199</v>
      </c>
      <c r="M618" s="62"/>
      <c r="N618" s="63">
        <v>8199</v>
      </c>
    </row>
    <row r="619" spans="1:14" x14ac:dyDescent="0.25">
      <c r="A619" s="55" t="s">
        <v>27</v>
      </c>
      <c r="B619" s="55" t="s">
        <v>220</v>
      </c>
      <c r="C619" s="55" t="s">
        <v>18</v>
      </c>
      <c r="D619" s="60">
        <v>1</v>
      </c>
      <c r="E619" s="55" t="s">
        <v>32</v>
      </c>
      <c r="F619" s="54" t="s">
        <v>267</v>
      </c>
      <c r="G619" s="60">
        <v>1</v>
      </c>
      <c r="H619" s="60">
        <v>1</v>
      </c>
      <c r="I619" s="60">
        <v>0.98319323809523818</v>
      </c>
      <c r="K619" s="64">
        <v>7385.1904761904761</v>
      </c>
      <c r="M619" s="62"/>
      <c r="N619" s="63">
        <v>7389</v>
      </c>
    </row>
    <row r="620" spans="1:14" x14ac:dyDescent="0.25">
      <c r="A620" s="55" t="s">
        <v>27</v>
      </c>
      <c r="B620" s="55" t="s">
        <v>220</v>
      </c>
      <c r="C620" s="55" t="s">
        <v>18</v>
      </c>
      <c r="D620" s="60">
        <v>1</v>
      </c>
      <c r="E620" s="55" t="s">
        <v>34</v>
      </c>
      <c r="F620" s="54" t="s">
        <v>267</v>
      </c>
      <c r="G620" s="60">
        <v>1</v>
      </c>
      <c r="H620" s="60">
        <v>1</v>
      </c>
      <c r="I620" s="60">
        <v>1</v>
      </c>
      <c r="K620" s="64">
        <v>9769</v>
      </c>
      <c r="M620" s="62"/>
      <c r="N620" s="63">
        <v>9769</v>
      </c>
    </row>
    <row r="621" spans="1:14" x14ac:dyDescent="0.25">
      <c r="A621" s="55" t="s">
        <v>27</v>
      </c>
      <c r="B621" s="55" t="s">
        <v>249</v>
      </c>
      <c r="C621" s="55" t="s">
        <v>16</v>
      </c>
      <c r="D621" s="60">
        <v>0.9285714285714286</v>
      </c>
      <c r="E621" s="55" t="s">
        <v>17</v>
      </c>
      <c r="F621" s="54" t="s">
        <v>266</v>
      </c>
      <c r="G621" s="60">
        <v>0.80422686206896554</v>
      </c>
      <c r="H621" s="60">
        <v>0.86699506896551726</v>
      </c>
      <c r="I621" s="60">
        <v>0.86206896551724133</v>
      </c>
      <c r="K621" s="64">
        <v>4656.2413793103451</v>
      </c>
      <c r="M621" s="62"/>
      <c r="N621" s="63">
        <v>4659</v>
      </c>
    </row>
    <row r="622" spans="1:14" x14ac:dyDescent="0.25">
      <c r="A622" s="55" t="s">
        <v>27</v>
      </c>
      <c r="B622" s="55" t="s">
        <v>249</v>
      </c>
      <c r="C622" s="55" t="s">
        <v>16</v>
      </c>
      <c r="D622" s="60">
        <v>0.9285714285714286</v>
      </c>
      <c r="E622" s="55" t="s">
        <v>29</v>
      </c>
      <c r="F622" s="54" t="s">
        <v>266</v>
      </c>
      <c r="G622" s="60">
        <v>1</v>
      </c>
      <c r="H622" s="60">
        <v>1</v>
      </c>
      <c r="I622" s="60">
        <v>0.9954750769230768</v>
      </c>
      <c r="K622" s="64">
        <v>5375.1538461538457</v>
      </c>
      <c r="M622" s="65">
        <v>0.05</v>
      </c>
      <c r="N622" s="63">
        <v>5649</v>
      </c>
    </row>
    <row r="623" spans="1:14" s="66" customFormat="1" x14ac:dyDescent="0.25">
      <c r="A623" s="55" t="s">
        <v>27</v>
      </c>
      <c r="B623" s="55" t="s">
        <v>249</v>
      </c>
      <c r="C623" s="55" t="s">
        <v>16</v>
      </c>
      <c r="D623" s="60">
        <v>0.9285714285714286</v>
      </c>
      <c r="E623" s="55" t="s">
        <v>30</v>
      </c>
      <c r="F623" s="54" t="s">
        <v>266</v>
      </c>
      <c r="G623" s="60">
        <v>1</v>
      </c>
      <c r="H623" s="60">
        <v>1</v>
      </c>
      <c r="I623" s="60">
        <v>1</v>
      </c>
      <c r="J623" s="55"/>
      <c r="K623" s="64">
        <v>4935.666666666667</v>
      </c>
      <c r="L623" s="55"/>
      <c r="M623" s="65">
        <v>2.5000000000000001E-2</v>
      </c>
      <c r="N623" s="63">
        <v>5059</v>
      </c>
    </row>
    <row r="624" spans="1:14" x14ac:dyDescent="0.25">
      <c r="A624" s="55" t="s">
        <v>27</v>
      </c>
      <c r="B624" s="55" t="s">
        <v>249</v>
      </c>
      <c r="C624" s="55" t="s">
        <v>16</v>
      </c>
      <c r="D624" s="60">
        <v>0.9285714285714286</v>
      </c>
      <c r="E624" s="55" t="s">
        <v>31</v>
      </c>
      <c r="F624" s="54" t="s">
        <v>266</v>
      </c>
      <c r="G624" s="60">
        <v>1</v>
      </c>
      <c r="H624" s="60">
        <v>1</v>
      </c>
      <c r="I624" s="60">
        <v>1</v>
      </c>
      <c r="K624" s="64">
        <v>6414</v>
      </c>
      <c r="M624" s="65">
        <v>2.5000000000000001E-2</v>
      </c>
      <c r="N624" s="63">
        <v>6579</v>
      </c>
    </row>
    <row r="625" spans="1:14" x14ac:dyDescent="0.25">
      <c r="A625" s="55" t="s">
        <v>27</v>
      </c>
      <c r="B625" s="55" t="s">
        <v>249</v>
      </c>
      <c r="C625" s="55" t="s">
        <v>18</v>
      </c>
      <c r="D625" s="60">
        <v>0.86956521739130432</v>
      </c>
      <c r="E625" s="55" t="s">
        <v>32</v>
      </c>
      <c r="F625" s="54" t="s">
        <v>267</v>
      </c>
      <c r="G625" s="60">
        <v>0.9155145714285714</v>
      </c>
      <c r="H625" s="60">
        <v>0.87755100000000008</v>
      </c>
      <c r="I625" s="60">
        <v>0.87394957142857144</v>
      </c>
      <c r="K625" s="64">
        <v>7439</v>
      </c>
      <c r="M625" s="62"/>
      <c r="N625" s="63">
        <v>7439</v>
      </c>
    </row>
    <row r="626" spans="1:14" x14ac:dyDescent="0.25">
      <c r="A626" s="55" t="s">
        <v>27</v>
      </c>
      <c r="B626" s="55" t="s">
        <v>249</v>
      </c>
      <c r="C626" s="55" t="s">
        <v>18</v>
      </c>
      <c r="D626" s="60">
        <v>0.86956521739130432</v>
      </c>
      <c r="E626" s="55" t="s">
        <v>34</v>
      </c>
      <c r="F626" s="54" t="s">
        <v>267</v>
      </c>
      <c r="G626" s="60">
        <v>0.709677</v>
      </c>
      <c r="H626" s="60">
        <v>0.5</v>
      </c>
      <c r="I626" s="60">
        <v>0.5</v>
      </c>
      <c r="K626" s="64">
        <v>9699</v>
      </c>
      <c r="M626" s="62"/>
      <c r="N626" s="63">
        <v>9699</v>
      </c>
    </row>
    <row r="627" spans="1:14" x14ac:dyDescent="0.25">
      <c r="A627" s="55" t="s">
        <v>35</v>
      </c>
      <c r="B627" s="55" t="s">
        <v>36</v>
      </c>
      <c r="C627" s="55" t="s">
        <v>10</v>
      </c>
      <c r="D627" s="60">
        <v>0.96721311475409832</v>
      </c>
      <c r="E627" s="55" t="s">
        <v>11</v>
      </c>
      <c r="F627" s="54" t="s">
        <v>264</v>
      </c>
      <c r="G627" s="60">
        <v>0.94134890909090918</v>
      </c>
      <c r="H627" s="60">
        <v>0.92857136363636361</v>
      </c>
      <c r="I627" s="60">
        <v>0.87165772727272717</v>
      </c>
      <c r="K627" s="64">
        <v>339</v>
      </c>
      <c r="M627" s="65">
        <v>2.5000000000000001E-2</v>
      </c>
      <c r="N627" s="63">
        <v>349</v>
      </c>
    </row>
    <row r="628" spans="1:14" x14ac:dyDescent="0.25">
      <c r="A628" s="55" t="s">
        <v>35</v>
      </c>
      <c r="B628" s="55" t="s">
        <v>36</v>
      </c>
      <c r="C628" s="55" t="s">
        <v>10</v>
      </c>
      <c r="D628" s="60">
        <v>0.96721311475409832</v>
      </c>
      <c r="E628" s="55" t="s">
        <v>12</v>
      </c>
      <c r="F628" s="54" t="s">
        <v>264</v>
      </c>
      <c r="G628" s="60">
        <v>0.96451611999999998</v>
      </c>
      <c r="H628" s="60">
        <v>0.93714284000000003</v>
      </c>
      <c r="I628" s="60">
        <v>0.97294115999999997</v>
      </c>
      <c r="K628" s="64">
        <v>289</v>
      </c>
      <c r="M628" s="65">
        <v>2.5000000000000001E-2</v>
      </c>
      <c r="N628" s="63">
        <v>299</v>
      </c>
    </row>
    <row r="629" spans="1:14" x14ac:dyDescent="0.25">
      <c r="A629" s="55" t="s">
        <v>35</v>
      </c>
      <c r="B629" s="55" t="s">
        <v>36</v>
      </c>
      <c r="C629" s="55" t="s">
        <v>18</v>
      </c>
      <c r="D629" s="60">
        <v>1</v>
      </c>
      <c r="E629" s="55" t="s">
        <v>14</v>
      </c>
      <c r="F629" s="54" t="s">
        <v>267</v>
      </c>
      <c r="G629" s="60">
        <v>0.9964156666666667</v>
      </c>
      <c r="H629" s="60">
        <v>0.95238088888888883</v>
      </c>
      <c r="I629" s="60">
        <v>0.99346400000000001</v>
      </c>
      <c r="K629" s="64">
        <v>8699</v>
      </c>
      <c r="M629" s="65">
        <v>2.5000000000000001E-2</v>
      </c>
      <c r="N629" s="63">
        <v>8919</v>
      </c>
    </row>
    <row r="630" spans="1:14" x14ac:dyDescent="0.25">
      <c r="A630" s="55" t="s">
        <v>35</v>
      </c>
      <c r="B630" s="55" t="s">
        <v>36</v>
      </c>
      <c r="C630" s="55" t="s">
        <v>18</v>
      </c>
      <c r="D630" s="60">
        <v>1</v>
      </c>
      <c r="E630" s="55" t="s">
        <v>15</v>
      </c>
      <c r="F630" s="54" t="s">
        <v>267</v>
      </c>
      <c r="G630" s="60">
        <v>1</v>
      </c>
      <c r="H630" s="60">
        <v>1</v>
      </c>
      <c r="I630" s="60">
        <v>1</v>
      </c>
      <c r="K630" s="64">
        <v>11779</v>
      </c>
      <c r="M630" s="62"/>
      <c r="N630" s="63">
        <v>11779</v>
      </c>
    </row>
    <row r="631" spans="1:14" x14ac:dyDescent="0.25">
      <c r="A631" s="55" t="s">
        <v>35</v>
      </c>
      <c r="B631" s="55" t="s">
        <v>36</v>
      </c>
      <c r="C631" s="55" t="s">
        <v>16</v>
      </c>
      <c r="D631" s="60">
        <v>1</v>
      </c>
      <c r="E631" s="55" t="s">
        <v>17</v>
      </c>
      <c r="F631" s="54" t="s">
        <v>266</v>
      </c>
      <c r="G631" s="60">
        <v>0.98924727777777777</v>
      </c>
      <c r="H631" s="60">
        <v>1</v>
      </c>
      <c r="I631" s="60">
        <v>1</v>
      </c>
      <c r="K631" s="64">
        <v>6339</v>
      </c>
      <c r="M631" s="65">
        <v>2.5000000000000001E-2</v>
      </c>
      <c r="N631" s="63">
        <v>6499</v>
      </c>
    </row>
    <row r="632" spans="1:14" x14ac:dyDescent="0.25">
      <c r="A632" s="55" t="s">
        <v>35</v>
      </c>
      <c r="B632" s="55" t="s">
        <v>36</v>
      </c>
      <c r="C632" s="55" t="s">
        <v>16</v>
      </c>
      <c r="D632" s="60">
        <v>1</v>
      </c>
      <c r="E632" s="55" t="s">
        <v>12</v>
      </c>
      <c r="F632" s="54" t="s">
        <v>266</v>
      </c>
      <c r="G632" s="60">
        <v>1</v>
      </c>
      <c r="H632" s="60">
        <v>1</v>
      </c>
      <c r="I632" s="60">
        <v>1</v>
      </c>
      <c r="K632" s="64">
        <v>7929</v>
      </c>
      <c r="M632" s="62"/>
      <c r="N632" s="63">
        <v>7929</v>
      </c>
    </row>
    <row r="633" spans="1:14" x14ac:dyDescent="0.25">
      <c r="A633" s="55" t="s">
        <v>35</v>
      </c>
      <c r="B633" s="55" t="s">
        <v>39</v>
      </c>
      <c r="C633" s="55" t="s">
        <v>10</v>
      </c>
      <c r="D633" s="60">
        <v>0.8970588235294118</v>
      </c>
      <c r="E633" s="55" t="s">
        <v>11</v>
      </c>
      <c r="F633" s="54" t="s">
        <v>264</v>
      </c>
      <c r="G633" s="60">
        <v>0.87390027272727266</v>
      </c>
      <c r="H633" s="60">
        <v>0.73701290909090911</v>
      </c>
      <c r="I633" s="60">
        <v>0.63636359090909089</v>
      </c>
      <c r="K633" s="64">
        <v>389.45454545454544</v>
      </c>
      <c r="M633" s="62"/>
      <c r="N633" s="63">
        <v>389</v>
      </c>
    </row>
    <row r="634" spans="1:14" x14ac:dyDescent="0.25">
      <c r="A634" s="55" t="s">
        <v>35</v>
      </c>
      <c r="B634" s="55" t="s">
        <v>39</v>
      </c>
      <c r="C634" s="55" t="s">
        <v>10</v>
      </c>
      <c r="D634" s="60">
        <v>0.8970588235294118</v>
      </c>
      <c r="E634" s="55" t="s">
        <v>40</v>
      </c>
      <c r="F634" s="54" t="s">
        <v>264</v>
      </c>
      <c r="G634" s="60">
        <v>0.91935475</v>
      </c>
      <c r="H634" s="60">
        <v>0.72321424999999995</v>
      </c>
      <c r="I634" s="60">
        <v>0.82352924999999999</v>
      </c>
      <c r="K634" s="64">
        <v>569</v>
      </c>
      <c r="M634" s="62"/>
      <c r="N634" s="63">
        <v>569</v>
      </c>
    </row>
    <row r="635" spans="1:14" x14ac:dyDescent="0.25">
      <c r="A635" s="55" t="s">
        <v>35</v>
      </c>
      <c r="B635" s="55" t="s">
        <v>39</v>
      </c>
      <c r="C635" s="55" t="s">
        <v>10</v>
      </c>
      <c r="D635" s="60">
        <v>0.8970588235294118</v>
      </c>
      <c r="E635" s="55" t="s">
        <v>12</v>
      </c>
      <c r="F635" s="54" t="s">
        <v>264</v>
      </c>
      <c r="G635" s="60">
        <v>0.95545314285714289</v>
      </c>
      <c r="H635" s="60">
        <v>0.96003399999999994</v>
      </c>
      <c r="I635" s="60">
        <v>0.96078430952380955</v>
      </c>
      <c r="K635" s="64">
        <v>289</v>
      </c>
      <c r="M635" s="62"/>
      <c r="N635" s="63">
        <v>289</v>
      </c>
    </row>
    <row r="636" spans="1:14" x14ac:dyDescent="0.25">
      <c r="A636" s="55" t="s">
        <v>35</v>
      </c>
      <c r="B636" s="55" t="s">
        <v>39</v>
      </c>
      <c r="C636" s="55" t="s">
        <v>18</v>
      </c>
      <c r="D636" s="60">
        <v>0.90909090909090906</v>
      </c>
      <c r="E636" s="55" t="s">
        <v>14</v>
      </c>
      <c r="F636" s="54" t="s">
        <v>267</v>
      </c>
      <c r="G636" s="60">
        <v>0.86290312499999999</v>
      </c>
      <c r="H636" s="60">
        <v>0.9375</v>
      </c>
      <c r="I636" s="60">
        <v>0.99264699999999995</v>
      </c>
      <c r="K636" s="64">
        <v>6619</v>
      </c>
      <c r="M636" s="62"/>
      <c r="N636" s="63">
        <v>6619</v>
      </c>
    </row>
    <row r="637" spans="1:14" x14ac:dyDescent="0.25">
      <c r="A637" s="55" t="s">
        <v>35</v>
      </c>
      <c r="B637" s="55" t="s">
        <v>39</v>
      </c>
      <c r="C637" s="55" t="s">
        <v>18</v>
      </c>
      <c r="D637" s="60">
        <v>0.90909090909090906</v>
      </c>
      <c r="E637" s="55" t="s">
        <v>15</v>
      </c>
      <c r="F637" s="54" t="s">
        <v>267</v>
      </c>
      <c r="G637" s="60">
        <v>1</v>
      </c>
      <c r="H637" s="60">
        <v>0.9642856666666666</v>
      </c>
      <c r="I637" s="60">
        <v>0.66666666666666663</v>
      </c>
      <c r="K637" s="64">
        <v>7169</v>
      </c>
      <c r="M637" s="62"/>
      <c r="N637" s="63">
        <v>7169</v>
      </c>
    </row>
    <row r="638" spans="1:14" x14ac:dyDescent="0.25">
      <c r="A638" s="55" t="s">
        <v>35</v>
      </c>
      <c r="B638" s="55" t="s">
        <v>39</v>
      </c>
      <c r="C638" s="55" t="s">
        <v>16</v>
      </c>
      <c r="D638" s="60">
        <v>1</v>
      </c>
      <c r="E638" s="55" t="s">
        <v>17</v>
      </c>
      <c r="F638" s="54" t="s">
        <v>266</v>
      </c>
      <c r="G638" s="60">
        <v>0.92293905555555555</v>
      </c>
      <c r="H638" s="60">
        <v>0.89285711111111121</v>
      </c>
      <c r="I638" s="60">
        <v>0.98366011111111129</v>
      </c>
      <c r="K638" s="64">
        <v>5759</v>
      </c>
      <c r="M638" s="62"/>
      <c r="N638" s="63">
        <v>5759</v>
      </c>
    </row>
    <row r="639" spans="1:14" x14ac:dyDescent="0.25">
      <c r="A639" s="55" t="s">
        <v>35</v>
      </c>
      <c r="B639" s="55" t="s">
        <v>39</v>
      </c>
      <c r="C639" s="55" t="s">
        <v>16</v>
      </c>
      <c r="D639" s="60">
        <v>1</v>
      </c>
      <c r="E639" s="55" t="s">
        <v>12</v>
      </c>
      <c r="F639" s="54" t="s">
        <v>266</v>
      </c>
      <c r="G639" s="60">
        <v>0.93548374999999995</v>
      </c>
      <c r="H639" s="60">
        <v>1</v>
      </c>
      <c r="I639" s="60">
        <v>1</v>
      </c>
      <c r="K639" s="64">
        <v>5899</v>
      </c>
      <c r="M639" s="62"/>
      <c r="N639" s="63">
        <v>5899</v>
      </c>
    </row>
    <row r="640" spans="1:14" x14ac:dyDescent="0.25">
      <c r="A640" s="55" t="s">
        <v>35</v>
      </c>
      <c r="B640" s="55" t="s">
        <v>47</v>
      </c>
      <c r="C640" s="55" t="s">
        <v>10</v>
      </c>
      <c r="D640" s="60">
        <v>0.859375</v>
      </c>
      <c r="E640" s="55" t="s">
        <v>11</v>
      </c>
      <c r="F640" s="54" t="s">
        <v>264</v>
      </c>
      <c r="G640" s="60">
        <v>0.92903223333333329</v>
      </c>
      <c r="H640" s="60">
        <v>0.97261903333333344</v>
      </c>
      <c r="I640" s="60">
        <v>0.95098036666666663</v>
      </c>
      <c r="K640" s="64">
        <v>359</v>
      </c>
      <c r="M640" s="62"/>
      <c r="N640" s="63">
        <v>359</v>
      </c>
    </row>
    <row r="641" spans="1:14" x14ac:dyDescent="0.25">
      <c r="A641" s="55" t="s">
        <v>35</v>
      </c>
      <c r="B641" s="55" t="s">
        <v>47</v>
      </c>
      <c r="C641" s="55" t="s">
        <v>10</v>
      </c>
      <c r="D641" s="60">
        <v>0.859375</v>
      </c>
      <c r="E641" s="55" t="s">
        <v>48</v>
      </c>
      <c r="F641" s="54" t="s">
        <v>264</v>
      </c>
      <c r="G641" s="60">
        <v>0.90322575000000005</v>
      </c>
      <c r="H641" s="60">
        <v>0.89285700000000001</v>
      </c>
      <c r="I641" s="60">
        <v>0.735294</v>
      </c>
      <c r="K641" s="64">
        <v>319</v>
      </c>
      <c r="M641" s="62"/>
      <c r="N641" s="63">
        <v>319</v>
      </c>
    </row>
    <row r="642" spans="1:14" x14ac:dyDescent="0.25">
      <c r="A642" s="55" t="s">
        <v>35</v>
      </c>
      <c r="B642" s="55" t="s">
        <v>47</v>
      </c>
      <c r="C642" s="55" t="s">
        <v>10</v>
      </c>
      <c r="D642" s="60">
        <v>0.859375</v>
      </c>
      <c r="E642" s="55" t="s">
        <v>12</v>
      </c>
      <c r="F642" s="54" t="s">
        <v>264</v>
      </c>
      <c r="G642" s="60">
        <v>0.85913976666666669</v>
      </c>
      <c r="H642" s="60">
        <v>0.87142856666666668</v>
      </c>
      <c r="I642" s="60">
        <v>0.8647058666666666</v>
      </c>
      <c r="K642" s="64">
        <v>299</v>
      </c>
      <c r="M642" s="62"/>
      <c r="N642" s="63">
        <v>299</v>
      </c>
    </row>
    <row r="643" spans="1:14" x14ac:dyDescent="0.25">
      <c r="A643" s="55" t="s">
        <v>35</v>
      </c>
      <c r="B643" s="55" t="s">
        <v>47</v>
      </c>
      <c r="C643" s="55" t="s">
        <v>16</v>
      </c>
      <c r="D643" s="60">
        <v>0.91176470588235292</v>
      </c>
      <c r="E643" s="55" t="s">
        <v>17</v>
      </c>
      <c r="F643" s="54" t="s">
        <v>266</v>
      </c>
      <c r="G643" s="60">
        <v>0.96129031999999992</v>
      </c>
      <c r="H643" s="60">
        <v>0.91571427999999999</v>
      </c>
      <c r="I643" s="60">
        <v>0.94117644</v>
      </c>
      <c r="K643" s="64">
        <v>5208.6000000000004</v>
      </c>
      <c r="M643" s="62"/>
      <c r="N643" s="63">
        <v>5209</v>
      </c>
    </row>
    <row r="644" spans="1:14" x14ac:dyDescent="0.25">
      <c r="A644" s="55" t="s">
        <v>35</v>
      </c>
      <c r="B644" s="55" t="s">
        <v>47</v>
      </c>
      <c r="C644" s="55" t="s">
        <v>16</v>
      </c>
      <c r="D644" s="60">
        <v>0.91176470588235292</v>
      </c>
      <c r="E644" s="55" t="s">
        <v>12</v>
      </c>
      <c r="F644" s="54" t="s">
        <v>266</v>
      </c>
      <c r="G644" s="60">
        <v>0.94982077777777774</v>
      </c>
      <c r="H644" s="60">
        <v>0.96031744444444433</v>
      </c>
      <c r="I644" s="60">
        <v>1</v>
      </c>
      <c r="K644" s="64">
        <v>5739</v>
      </c>
      <c r="M644" s="65">
        <v>0.05</v>
      </c>
      <c r="N644" s="63">
        <v>6029</v>
      </c>
    </row>
    <row r="645" spans="1:14" x14ac:dyDescent="0.25">
      <c r="A645" s="55" t="s">
        <v>35</v>
      </c>
      <c r="B645" s="55" t="s">
        <v>47</v>
      </c>
      <c r="C645" s="55" t="s">
        <v>18</v>
      </c>
      <c r="D645" s="60">
        <v>0.89655172413793105</v>
      </c>
      <c r="E645" s="55" t="s">
        <v>19</v>
      </c>
      <c r="F645" s="54" t="s">
        <v>267</v>
      </c>
      <c r="G645" s="60">
        <v>0.95483870000000004</v>
      </c>
      <c r="H645" s="60">
        <v>0.88571425000000004</v>
      </c>
      <c r="I645" s="60">
        <v>0.85</v>
      </c>
      <c r="K645" s="64">
        <v>7139</v>
      </c>
      <c r="M645" s="62"/>
      <c r="N645" s="63">
        <v>7139</v>
      </c>
    </row>
    <row r="646" spans="1:14" x14ac:dyDescent="0.25">
      <c r="A646" s="55" t="s">
        <v>35</v>
      </c>
      <c r="B646" s="55" t="s">
        <v>47</v>
      </c>
      <c r="C646" s="55" t="s">
        <v>18</v>
      </c>
      <c r="D646" s="60">
        <v>0.89655172413793105</v>
      </c>
      <c r="E646" s="55" t="s">
        <v>20</v>
      </c>
      <c r="F646" s="54" t="s">
        <v>267</v>
      </c>
      <c r="G646" s="60">
        <v>0.97132611111111111</v>
      </c>
      <c r="H646" s="60">
        <v>1</v>
      </c>
      <c r="I646" s="60">
        <v>1</v>
      </c>
      <c r="K646" s="64">
        <v>7139</v>
      </c>
      <c r="M646" s="65">
        <v>2.5000000000000001E-2</v>
      </c>
      <c r="N646" s="63">
        <v>7319</v>
      </c>
    </row>
    <row r="647" spans="1:14" x14ac:dyDescent="0.25">
      <c r="A647" s="55" t="s">
        <v>35</v>
      </c>
      <c r="B647" s="55" t="s">
        <v>49</v>
      </c>
      <c r="C647" s="55" t="s">
        <v>10</v>
      </c>
      <c r="D647" s="60">
        <v>1</v>
      </c>
      <c r="E647" s="55" t="s">
        <v>11</v>
      </c>
      <c r="F647" s="54" t="s">
        <v>264</v>
      </c>
      <c r="G647" s="60">
        <v>0.9887797826086957</v>
      </c>
      <c r="H647" s="60">
        <v>0.96661489130434775</v>
      </c>
      <c r="I647" s="60">
        <v>0.98209717391304352</v>
      </c>
      <c r="K647" s="64">
        <v>349</v>
      </c>
      <c r="M647" s="65">
        <v>2.5000000000000001E-2</v>
      </c>
      <c r="N647" s="63">
        <v>359</v>
      </c>
    </row>
    <row r="648" spans="1:14" x14ac:dyDescent="0.25">
      <c r="A648" s="55" t="s">
        <v>35</v>
      </c>
      <c r="B648" s="55" t="s">
        <v>49</v>
      </c>
      <c r="C648" s="55" t="s">
        <v>10</v>
      </c>
      <c r="D648" s="60">
        <v>1</v>
      </c>
      <c r="E648" s="55" t="s">
        <v>12</v>
      </c>
      <c r="F648" s="54" t="s">
        <v>264</v>
      </c>
      <c r="G648" s="60">
        <v>0.94193539999999998</v>
      </c>
      <c r="H648" s="60">
        <v>0.9928570000000001</v>
      </c>
      <c r="I648" s="60">
        <v>1</v>
      </c>
      <c r="K648" s="64">
        <v>319</v>
      </c>
      <c r="M648" s="65">
        <v>2.5000000000000001E-2</v>
      </c>
      <c r="N648" s="63">
        <v>329</v>
      </c>
    </row>
    <row r="649" spans="1:14" x14ac:dyDescent="0.25">
      <c r="A649" s="55" t="s">
        <v>35</v>
      </c>
      <c r="B649" s="55" t="s">
        <v>49</v>
      </c>
      <c r="C649" s="55" t="s">
        <v>10</v>
      </c>
      <c r="D649" s="60">
        <v>1</v>
      </c>
      <c r="E649" s="55" t="s">
        <v>50</v>
      </c>
      <c r="F649" s="54" t="s">
        <v>264</v>
      </c>
      <c r="G649" s="60">
        <v>1</v>
      </c>
      <c r="H649" s="60">
        <v>0.98214250000000003</v>
      </c>
      <c r="I649" s="60">
        <v>1</v>
      </c>
      <c r="K649" s="64">
        <v>319</v>
      </c>
      <c r="M649" s="65">
        <v>2.5000000000000001E-2</v>
      </c>
      <c r="N649" s="63">
        <v>329</v>
      </c>
    </row>
    <row r="650" spans="1:14" x14ac:dyDescent="0.25">
      <c r="A650" s="55" t="s">
        <v>35</v>
      </c>
      <c r="B650" s="55" t="s">
        <v>49</v>
      </c>
      <c r="C650" s="55" t="s">
        <v>10</v>
      </c>
      <c r="D650" s="60">
        <v>1</v>
      </c>
      <c r="E650" s="55" t="s">
        <v>51</v>
      </c>
      <c r="F650" s="54" t="s">
        <v>264</v>
      </c>
      <c r="G650" s="60">
        <v>1</v>
      </c>
      <c r="H650" s="60">
        <v>1</v>
      </c>
      <c r="I650" s="60">
        <v>1</v>
      </c>
      <c r="K650" s="64">
        <v>579</v>
      </c>
      <c r="M650" s="65">
        <v>2.5000000000000001E-2</v>
      </c>
      <c r="N650" s="63">
        <v>599</v>
      </c>
    </row>
    <row r="651" spans="1:14" x14ac:dyDescent="0.25">
      <c r="A651" s="55" t="s">
        <v>35</v>
      </c>
      <c r="B651" s="55" t="s">
        <v>49</v>
      </c>
      <c r="C651" s="55" t="s">
        <v>16</v>
      </c>
      <c r="D651" s="60">
        <v>1</v>
      </c>
      <c r="E651" s="55" t="s">
        <v>25</v>
      </c>
      <c r="F651" s="54" t="s">
        <v>266</v>
      </c>
      <c r="G651" s="60">
        <v>1</v>
      </c>
      <c r="H651" s="60">
        <v>0.98214274999999995</v>
      </c>
      <c r="I651" s="60">
        <v>1</v>
      </c>
      <c r="K651" s="64">
        <v>7299</v>
      </c>
      <c r="M651" s="62"/>
      <c r="N651" s="63">
        <v>7299</v>
      </c>
    </row>
    <row r="652" spans="1:14" x14ac:dyDescent="0.25">
      <c r="A652" s="55" t="s">
        <v>35</v>
      </c>
      <c r="B652" s="55" t="s">
        <v>49</v>
      </c>
      <c r="C652" s="55" t="s">
        <v>16</v>
      </c>
      <c r="D652" s="60">
        <v>1</v>
      </c>
      <c r="E652" s="55" t="s">
        <v>52</v>
      </c>
      <c r="F652" s="54" t="s">
        <v>266</v>
      </c>
      <c r="G652" s="60">
        <v>1</v>
      </c>
      <c r="H652" s="60">
        <v>1</v>
      </c>
      <c r="I652" s="60">
        <v>1</v>
      </c>
      <c r="K652" s="64">
        <v>7879</v>
      </c>
      <c r="M652" s="62"/>
      <c r="N652" s="63">
        <v>7879</v>
      </c>
    </row>
    <row r="653" spans="1:14" x14ac:dyDescent="0.25">
      <c r="A653" s="55" t="s">
        <v>35</v>
      </c>
      <c r="B653" s="55" t="s">
        <v>49</v>
      </c>
      <c r="C653" s="55" t="s">
        <v>16</v>
      </c>
      <c r="D653" s="60">
        <v>1</v>
      </c>
      <c r="E653" s="55" t="s">
        <v>17</v>
      </c>
      <c r="F653" s="54" t="s">
        <v>266</v>
      </c>
      <c r="G653" s="60">
        <v>1</v>
      </c>
      <c r="H653" s="60">
        <v>1</v>
      </c>
      <c r="I653" s="60">
        <v>1</v>
      </c>
      <c r="K653" s="64">
        <v>5759</v>
      </c>
      <c r="M653" s="62"/>
      <c r="N653" s="63">
        <v>5759</v>
      </c>
    </row>
    <row r="654" spans="1:14" x14ac:dyDescent="0.25">
      <c r="A654" s="55" t="s">
        <v>35</v>
      </c>
      <c r="B654" s="55" t="s">
        <v>49</v>
      </c>
      <c r="C654" s="55" t="s">
        <v>16</v>
      </c>
      <c r="D654" s="60">
        <v>1</v>
      </c>
      <c r="E654" s="55" t="s">
        <v>26</v>
      </c>
      <c r="F654" s="54" t="s">
        <v>266</v>
      </c>
      <c r="G654" s="60">
        <v>1</v>
      </c>
      <c r="H654" s="60">
        <v>0.92857124999999996</v>
      </c>
      <c r="I654" s="60">
        <v>1</v>
      </c>
      <c r="K654" s="64">
        <v>6499</v>
      </c>
      <c r="M654" s="62"/>
      <c r="N654" s="63">
        <v>6499</v>
      </c>
    </row>
    <row r="655" spans="1:14" x14ac:dyDescent="0.25">
      <c r="A655" s="55" t="s">
        <v>35</v>
      </c>
      <c r="B655" s="55" t="s">
        <v>49</v>
      </c>
      <c r="C655" s="55" t="s">
        <v>18</v>
      </c>
      <c r="D655" s="60">
        <v>0.84615384615384615</v>
      </c>
      <c r="E655" s="55" t="s">
        <v>53</v>
      </c>
      <c r="F655" s="54" t="s">
        <v>267</v>
      </c>
      <c r="G655" s="60">
        <v>1</v>
      </c>
      <c r="H655" s="60">
        <v>0.88988083333333334</v>
      </c>
      <c r="I655" s="60">
        <v>0.91666666666666663</v>
      </c>
      <c r="K655" s="64">
        <v>7434.833333333333</v>
      </c>
      <c r="M655" s="62"/>
      <c r="N655" s="63">
        <v>7439</v>
      </c>
    </row>
    <row r="656" spans="1:14" x14ac:dyDescent="0.25">
      <c r="A656" s="55" t="s">
        <v>35</v>
      </c>
      <c r="B656" s="55" t="s">
        <v>49</v>
      </c>
      <c r="C656" s="55" t="s">
        <v>18</v>
      </c>
      <c r="D656" s="60">
        <v>0.84615384615384615</v>
      </c>
      <c r="E656" s="55" t="s">
        <v>54</v>
      </c>
      <c r="F656" s="54" t="s">
        <v>267</v>
      </c>
      <c r="G656" s="60">
        <v>1</v>
      </c>
      <c r="H656" s="60">
        <v>1</v>
      </c>
      <c r="I656" s="60">
        <v>1</v>
      </c>
      <c r="K656" s="64">
        <v>8989</v>
      </c>
      <c r="M656" s="62"/>
      <c r="N656" s="63">
        <v>8989</v>
      </c>
    </row>
    <row r="657" spans="1:14" x14ac:dyDescent="0.25">
      <c r="A657" s="55" t="s">
        <v>35</v>
      </c>
      <c r="B657" s="55" t="s">
        <v>71</v>
      </c>
      <c r="C657" s="55" t="s">
        <v>10</v>
      </c>
      <c r="D657" s="60">
        <v>0.82352941176470584</v>
      </c>
      <c r="E657" s="55" t="s">
        <v>11</v>
      </c>
      <c r="F657" s="54" t="s">
        <v>264</v>
      </c>
      <c r="G657" s="60">
        <v>0.83467740624999998</v>
      </c>
      <c r="H657" s="60">
        <v>0.80245534375000005</v>
      </c>
      <c r="I657" s="60">
        <v>0.85845587499999998</v>
      </c>
      <c r="K657" s="64">
        <v>419</v>
      </c>
      <c r="M657" s="62"/>
      <c r="N657" s="63">
        <v>419</v>
      </c>
    </row>
    <row r="658" spans="1:14" x14ac:dyDescent="0.25">
      <c r="A658" s="55" t="s">
        <v>35</v>
      </c>
      <c r="B658" s="55" t="s">
        <v>71</v>
      </c>
      <c r="C658" s="55" t="s">
        <v>10</v>
      </c>
      <c r="D658" s="60">
        <v>0.82352941176470584</v>
      </c>
      <c r="E658" s="55" t="s">
        <v>12</v>
      </c>
      <c r="F658" s="54" t="s">
        <v>264</v>
      </c>
      <c r="G658" s="60">
        <v>0.9023297222222223</v>
      </c>
      <c r="H658" s="60">
        <v>0.83630950000000004</v>
      </c>
      <c r="I658" s="60">
        <v>0.88888888888888884</v>
      </c>
      <c r="K658" s="64">
        <v>339</v>
      </c>
      <c r="M658" s="62"/>
      <c r="N658" s="63">
        <v>339</v>
      </c>
    </row>
    <row r="659" spans="1:14" x14ac:dyDescent="0.25">
      <c r="A659" s="55" t="s">
        <v>35</v>
      </c>
      <c r="B659" s="55" t="s">
        <v>71</v>
      </c>
      <c r="C659" s="55" t="s">
        <v>18</v>
      </c>
      <c r="D659" s="60">
        <v>0.90909090909090906</v>
      </c>
      <c r="E659" s="55" t="s">
        <v>14</v>
      </c>
      <c r="F659" s="54" t="s">
        <v>267</v>
      </c>
      <c r="G659" s="60">
        <v>0.9</v>
      </c>
      <c r="H659" s="60">
        <v>0.96071419999999996</v>
      </c>
      <c r="I659" s="60">
        <v>0.91764699999999999</v>
      </c>
      <c r="K659" s="64">
        <v>9179</v>
      </c>
      <c r="M659" s="62"/>
      <c r="N659" s="63">
        <v>9179</v>
      </c>
    </row>
    <row r="660" spans="1:14" x14ac:dyDescent="0.25">
      <c r="A660" s="55" t="s">
        <v>35</v>
      </c>
      <c r="B660" s="55" t="s">
        <v>71</v>
      </c>
      <c r="C660" s="55" t="s">
        <v>18</v>
      </c>
      <c r="D660" s="60">
        <v>0.90909090909090906</v>
      </c>
      <c r="E660" s="55" t="s">
        <v>15</v>
      </c>
      <c r="F660" s="54" t="s">
        <v>267</v>
      </c>
      <c r="G660" s="60">
        <v>1</v>
      </c>
      <c r="H660" s="60">
        <v>1</v>
      </c>
      <c r="I660" s="60">
        <v>1</v>
      </c>
      <c r="K660" s="64">
        <v>9179</v>
      </c>
      <c r="M660" s="65">
        <v>2.5000000000000001E-2</v>
      </c>
      <c r="N660" s="63">
        <v>9409</v>
      </c>
    </row>
    <row r="661" spans="1:14" x14ac:dyDescent="0.25">
      <c r="A661" s="55" t="s">
        <v>35</v>
      </c>
      <c r="B661" s="55" t="s">
        <v>71</v>
      </c>
      <c r="C661" s="55" t="s">
        <v>16</v>
      </c>
      <c r="D661" s="60">
        <v>0.81818181818181823</v>
      </c>
      <c r="E661" s="55" t="s">
        <v>17</v>
      </c>
      <c r="F661" s="54" t="s">
        <v>266</v>
      </c>
      <c r="G661" s="60">
        <v>0.76523288888888896</v>
      </c>
      <c r="H661" s="60">
        <v>0.79166666666666663</v>
      </c>
      <c r="I661" s="60">
        <v>0.77450977777777774</v>
      </c>
      <c r="K661" s="64">
        <v>5999</v>
      </c>
      <c r="M661" s="62"/>
      <c r="N661" s="63">
        <v>5999</v>
      </c>
    </row>
    <row r="662" spans="1:14" x14ac:dyDescent="0.25">
      <c r="A662" s="55" t="s">
        <v>35</v>
      </c>
      <c r="B662" s="55" t="s">
        <v>71</v>
      </c>
      <c r="C662" s="55" t="s">
        <v>16</v>
      </c>
      <c r="D662" s="60">
        <v>0.81818181818181823</v>
      </c>
      <c r="E662" s="55" t="s">
        <v>12</v>
      </c>
      <c r="F662" s="54" t="s">
        <v>266</v>
      </c>
      <c r="G662" s="60">
        <v>1</v>
      </c>
      <c r="H662" s="60">
        <v>1</v>
      </c>
      <c r="I662" s="60">
        <v>1</v>
      </c>
      <c r="K662" s="64">
        <v>8759</v>
      </c>
      <c r="M662" s="62"/>
      <c r="N662" s="63">
        <v>8759</v>
      </c>
    </row>
    <row r="663" spans="1:14" x14ac:dyDescent="0.25">
      <c r="A663" s="55" t="s">
        <v>35</v>
      </c>
      <c r="B663" s="55" t="s">
        <v>124</v>
      </c>
      <c r="C663" s="55" t="s">
        <v>10</v>
      </c>
      <c r="D663" s="60">
        <v>0.6875</v>
      </c>
      <c r="E663" s="55" t="s">
        <v>11</v>
      </c>
      <c r="F663" s="54" t="s">
        <v>264</v>
      </c>
      <c r="G663" s="60">
        <v>0.44301073333333335</v>
      </c>
      <c r="H663" s="60">
        <v>0.43809523333333333</v>
      </c>
      <c r="I663" s="60">
        <v>0.38823526666666663</v>
      </c>
      <c r="K663" s="64">
        <v>319</v>
      </c>
      <c r="M663" s="65"/>
      <c r="N663" s="63">
        <v>319</v>
      </c>
    </row>
    <row r="664" spans="1:14" x14ac:dyDescent="0.25">
      <c r="A664" s="55" t="s">
        <v>35</v>
      </c>
      <c r="B664" s="55" t="s">
        <v>124</v>
      </c>
      <c r="C664" s="55" t="s">
        <v>10</v>
      </c>
      <c r="D664" s="60">
        <v>0.6875</v>
      </c>
      <c r="E664" s="55" t="s">
        <v>12</v>
      </c>
      <c r="F664" s="54" t="s">
        <v>264</v>
      </c>
      <c r="G664" s="60">
        <v>0.88709676470588239</v>
      </c>
      <c r="H664" s="60">
        <v>0.94432770588235304</v>
      </c>
      <c r="I664" s="60">
        <v>0.95501729411764702</v>
      </c>
      <c r="K664" s="64">
        <v>309</v>
      </c>
      <c r="M664" s="62"/>
      <c r="N664" s="63">
        <v>309</v>
      </c>
    </row>
    <row r="665" spans="1:14" x14ac:dyDescent="0.25">
      <c r="A665" s="55" t="s">
        <v>35</v>
      </c>
      <c r="B665" s="55" t="s">
        <v>124</v>
      </c>
      <c r="C665" s="55" t="s">
        <v>18</v>
      </c>
      <c r="D665" s="60">
        <v>0.81818181818181823</v>
      </c>
      <c r="E665" s="55" t="s">
        <v>14</v>
      </c>
      <c r="F665" s="54" t="s">
        <v>267</v>
      </c>
      <c r="G665" s="60">
        <v>0.84587811111111111</v>
      </c>
      <c r="H665" s="60">
        <v>0.77777777777777779</v>
      </c>
      <c r="I665" s="60">
        <v>0.76470577777777782</v>
      </c>
      <c r="K665" s="64">
        <v>8079</v>
      </c>
      <c r="M665" s="62"/>
      <c r="N665" s="63">
        <v>8079</v>
      </c>
    </row>
    <row r="666" spans="1:14" x14ac:dyDescent="0.25">
      <c r="A666" s="55" t="s">
        <v>35</v>
      </c>
      <c r="B666" s="55" t="s">
        <v>124</v>
      </c>
      <c r="C666" s="55" t="s">
        <v>18</v>
      </c>
      <c r="D666" s="60">
        <v>0.81818181818181823</v>
      </c>
      <c r="E666" s="55" t="s">
        <v>15</v>
      </c>
      <c r="F666" s="54" t="s">
        <v>267</v>
      </c>
      <c r="G666" s="60">
        <v>1</v>
      </c>
      <c r="H666" s="60">
        <v>1</v>
      </c>
      <c r="I666" s="60">
        <v>1</v>
      </c>
      <c r="K666" s="64">
        <v>9669</v>
      </c>
      <c r="M666" s="62"/>
      <c r="N666" s="63">
        <v>9669</v>
      </c>
    </row>
    <row r="667" spans="1:14" x14ac:dyDescent="0.25">
      <c r="A667" s="55" t="s">
        <v>35</v>
      </c>
      <c r="B667" s="55" t="s">
        <v>124</v>
      </c>
      <c r="C667" s="55" t="s">
        <v>16</v>
      </c>
      <c r="D667" s="60">
        <v>0.90909090909090906</v>
      </c>
      <c r="E667" s="55" t="s">
        <v>17</v>
      </c>
      <c r="F667" s="54" t="s">
        <v>266</v>
      </c>
      <c r="G667" s="60">
        <v>0.86917561111111108</v>
      </c>
      <c r="H667" s="60">
        <v>0.85559004347826073</v>
      </c>
      <c r="I667" s="60">
        <v>0.88235288888888896</v>
      </c>
      <c r="K667" s="64">
        <v>5339</v>
      </c>
      <c r="M667" s="62"/>
      <c r="N667" s="63">
        <v>5339</v>
      </c>
    </row>
    <row r="668" spans="1:14" x14ac:dyDescent="0.25">
      <c r="A668" s="55" t="s">
        <v>35</v>
      </c>
      <c r="B668" s="55" t="s">
        <v>124</v>
      </c>
      <c r="C668" s="55" t="s">
        <v>16</v>
      </c>
      <c r="D668" s="60">
        <v>0.90909090909090906</v>
      </c>
      <c r="E668" s="55" t="s">
        <v>12</v>
      </c>
      <c r="F668" s="54" t="s">
        <v>266</v>
      </c>
      <c r="G668" s="60">
        <v>1</v>
      </c>
      <c r="H668" s="60">
        <v>1</v>
      </c>
      <c r="I668" s="60">
        <v>1</v>
      </c>
      <c r="K668" s="64">
        <v>6489</v>
      </c>
      <c r="M668" s="65"/>
      <c r="N668" s="63">
        <v>6489</v>
      </c>
    </row>
    <row r="669" spans="1:14" x14ac:dyDescent="0.25">
      <c r="A669" s="55" t="s">
        <v>35</v>
      </c>
      <c r="B669" s="55" t="s">
        <v>126</v>
      </c>
      <c r="C669" s="55" t="s">
        <v>13</v>
      </c>
      <c r="D669" s="60">
        <v>0.94736842105263153</v>
      </c>
      <c r="E669" s="55" t="s">
        <v>15</v>
      </c>
      <c r="F669" s="54" t="s">
        <v>265</v>
      </c>
      <c r="G669" s="60">
        <v>0.98028672222222235</v>
      </c>
      <c r="H669" s="60">
        <v>0.97420633333333329</v>
      </c>
      <c r="I669" s="60">
        <v>0.94444444444444442</v>
      </c>
      <c r="K669" s="64">
        <v>339</v>
      </c>
      <c r="M669" s="65">
        <v>2.5000000000000001E-2</v>
      </c>
      <c r="N669" s="63">
        <v>349</v>
      </c>
    </row>
    <row r="670" spans="1:14" x14ac:dyDescent="0.25">
      <c r="A670" s="55" t="s">
        <v>35</v>
      </c>
      <c r="B670" s="55" t="s">
        <v>126</v>
      </c>
      <c r="C670" s="55" t="s">
        <v>13</v>
      </c>
      <c r="D670" s="60">
        <v>0.94736842105263153</v>
      </c>
      <c r="E670" s="55" t="s">
        <v>14</v>
      </c>
      <c r="F670" s="54" t="s">
        <v>265</v>
      </c>
      <c r="G670" s="60">
        <v>1</v>
      </c>
      <c r="H670" s="60">
        <v>1</v>
      </c>
      <c r="I670" s="60">
        <v>1</v>
      </c>
      <c r="K670" s="64">
        <v>399</v>
      </c>
      <c r="M670" s="65">
        <v>2.5000000000000001E-2</v>
      </c>
      <c r="N670" s="63">
        <v>409</v>
      </c>
    </row>
    <row r="671" spans="1:14" x14ac:dyDescent="0.25">
      <c r="A671" s="55" t="s">
        <v>35</v>
      </c>
      <c r="B671" s="55" t="s">
        <v>126</v>
      </c>
      <c r="C671" s="55" t="s">
        <v>10</v>
      </c>
      <c r="D671" s="60">
        <v>0.88888888888888884</v>
      </c>
      <c r="E671" s="55" t="s">
        <v>12</v>
      </c>
      <c r="F671" s="54" t="s">
        <v>264</v>
      </c>
      <c r="G671" s="60">
        <v>0.88004031250000003</v>
      </c>
      <c r="H671" s="60">
        <v>0.84040178124999998</v>
      </c>
      <c r="I671" s="60">
        <v>0.84375</v>
      </c>
      <c r="K671" s="64">
        <v>339</v>
      </c>
      <c r="M671" s="62"/>
      <c r="N671" s="63">
        <v>339</v>
      </c>
    </row>
    <row r="672" spans="1:14" x14ac:dyDescent="0.25">
      <c r="A672" s="55" t="s">
        <v>35</v>
      </c>
      <c r="B672" s="55" t="s">
        <v>126</v>
      </c>
      <c r="C672" s="55" t="s">
        <v>10</v>
      </c>
      <c r="D672" s="60">
        <v>0.88888888888888884</v>
      </c>
      <c r="E672" s="55" t="s">
        <v>11</v>
      </c>
      <c r="F672" s="54" t="s">
        <v>264</v>
      </c>
      <c r="G672" s="60">
        <v>0.80645149999999999</v>
      </c>
      <c r="H672" s="60">
        <v>0.76785700000000001</v>
      </c>
      <c r="I672" s="60">
        <v>0.85294099999999995</v>
      </c>
      <c r="K672" s="64">
        <v>399</v>
      </c>
      <c r="M672" s="62"/>
      <c r="N672" s="63">
        <v>399</v>
      </c>
    </row>
    <row r="673" spans="1:14" x14ac:dyDescent="0.25">
      <c r="A673" s="55" t="s">
        <v>35</v>
      </c>
      <c r="B673" s="55" t="s">
        <v>126</v>
      </c>
      <c r="C673" s="55" t="s">
        <v>16</v>
      </c>
      <c r="D673" s="60">
        <v>1</v>
      </c>
      <c r="E673" s="55" t="s">
        <v>17</v>
      </c>
      <c r="F673" s="54" t="s">
        <v>266</v>
      </c>
      <c r="G673" s="60">
        <v>0.99677414999999991</v>
      </c>
      <c r="H673" s="60">
        <v>1</v>
      </c>
      <c r="I673" s="60">
        <v>1</v>
      </c>
      <c r="K673" s="64">
        <v>4240</v>
      </c>
      <c r="M673" s="65">
        <v>2.5000000000000001E-2</v>
      </c>
      <c r="N673" s="63">
        <v>4349</v>
      </c>
    </row>
    <row r="674" spans="1:14" x14ac:dyDescent="0.25">
      <c r="A674" s="55" t="s">
        <v>35</v>
      </c>
      <c r="B674" s="55" t="s">
        <v>126</v>
      </c>
      <c r="C674" s="55" t="s">
        <v>16</v>
      </c>
      <c r="D674" s="60">
        <v>1</v>
      </c>
      <c r="E674" s="55" t="s">
        <v>25</v>
      </c>
      <c r="F674" s="54" t="s">
        <v>266</v>
      </c>
      <c r="G674" s="60">
        <v>1</v>
      </c>
      <c r="H674" s="60">
        <v>1</v>
      </c>
      <c r="I674" s="60">
        <v>1</v>
      </c>
      <c r="K674" s="64">
        <v>5959</v>
      </c>
      <c r="M674" s="62"/>
      <c r="N674" s="63">
        <v>5959</v>
      </c>
    </row>
    <row r="675" spans="1:14" x14ac:dyDescent="0.25">
      <c r="A675" s="55" t="s">
        <v>35</v>
      </c>
      <c r="B675" s="55" t="s">
        <v>150</v>
      </c>
      <c r="C675" s="55" t="s">
        <v>10</v>
      </c>
      <c r="D675" s="60">
        <v>0.93442622950819676</v>
      </c>
      <c r="E675" s="55" t="s">
        <v>11</v>
      </c>
      <c r="F675" s="54" t="s">
        <v>264</v>
      </c>
      <c r="G675" s="60">
        <v>0.9197907567567567</v>
      </c>
      <c r="H675" s="60">
        <v>0.96621621621621623</v>
      </c>
      <c r="I675" s="60">
        <v>0.97456278378378369</v>
      </c>
      <c r="K675" s="64">
        <v>339</v>
      </c>
      <c r="M675" s="65">
        <v>2.5000000000000001E-2</v>
      </c>
      <c r="N675" s="63">
        <v>349</v>
      </c>
    </row>
    <row r="676" spans="1:14" x14ac:dyDescent="0.25">
      <c r="A676" s="55" t="s">
        <v>35</v>
      </c>
      <c r="B676" s="55" t="s">
        <v>150</v>
      </c>
      <c r="C676" s="55" t="s">
        <v>10</v>
      </c>
      <c r="D676" s="60">
        <v>0.93442622950819676</v>
      </c>
      <c r="E676" s="55" t="s">
        <v>12</v>
      </c>
      <c r="F676" s="54" t="s">
        <v>264</v>
      </c>
      <c r="G676" s="60">
        <v>0.94489245833333335</v>
      </c>
      <c r="H676" s="60">
        <v>0.91517854166666668</v>
      </c>
      <c r="I676" s="60">
        <v>0.88970587500000009</v>
      </c>
      <c r="K676" s="64">
        <v>309</v>
      </c>
      <c r="M676" s="65">
        <v>2.5000000000000001E-2</v>
      </c>
      <c r="N676" s="63">
        <v>319</v>
      </c>
    </row>
    <row r="677" spans="1:14" x14ac:dyDescent="0.25">
      <c r="A677" s="55" t="s">
        <v>35</v>
      </c>
      <c r="B677" s="55" t="s">
        <v>150</v>
      </c>
      <c r="C677" s="55" t="s">
        <v>13</v>
      </c>
      <c r="D677" s="60">
        <v>1</v>
      </c>
      <c r="E677" s="55" t="s">
        <v>14</v>
      </c>
      <c r="F677" s="54" t="s">
        <v>265</v>
      </c>
      <c r="G677" s="60">
        <v>1</v>
      </c>
      <c r="H677" s="60">
        <v>1</v>
      </c>
      <c r="I677" s="60">
        <v>1</v>
      </c>
      <c r="K677" s="64">
        <v>439</v>
      </c>
      <c r="M677" s="65">
        <v>2.5000000000000001E-2</v>
      </c>
      <c r="N677" s="63">
        <v>449</v>
      </c>
    </row>
    <row r="678" spans="1:14" x14ac:dyDescent="0.25">
      <c r="A678" s="55" t="s">
        <v>35</v>
      </c>
      <c r="B678" s="55" t="s">
        <v>150</v>
      </c>
      <c r="C678" s="55" t="s">
        <v>13</v>
      </c>
      <c r="D678" s="60">
        <v>1</v>
      </c>
      <c r="E678" s="55" t="s">
        <v>15</v>
      </c>
      <c r="F678" s="54" t="s">
        <v>265</v>
      </c>
      <c r="G678" s="60">
        <v>0.95161275000000001</v>
      </c>
      <c r="H678" s="60">
        <v>0.96428550000000002</v>
      </c>
      <c r="I678" s="60">
        <v>0.79411750000000003</v>
      </c>
      <c r="K678" s="64">
        <v>369</v>
      </c>
      <c r="M678" s="65">
        <v>2.5000000000000001E-2</v>
      </c>
      <c r="N678" s="63">
        <v>379</v>
      </c>
    </row>
    <row r="679" spans="1:14" x14ac:dyDescent="0.25">
      <c r="A679" s="55" t="s">
        <v>35</v>
      </c>
      <c r="B679" s="55" t="s">
        <v>150</v>
      </c>
      <c r="C679" s="55" t="s">
        <v>16</v>
      </c>
      <c r="D679" s="60">
        <v>1</v>
      </c>
      <c r="E679" s="55" t="s">
        <v>17</v>
      </c>
      <c r="F679" s="54" t="s">
        <v>266</v>
      </c>
      <c r="G679" s="60">
        <v>0.97886537931034479</v>
      </c>
      <c r="H679" s="60">
        <v>0.96059110344827581</v>
      </c>
      <c r="I679" s="60">
        <v>0.96146041379310343</v>
      </c>
      <c r="K679" s="64">
        <v>6109</v>
      </c>
      <c r="M679" s="62"/>
      <c r="N679" s="63">
        <v>6109</v>
      </c>
    </row>
    <row r="680" spans="1:14" x14ac:dyDescent="0.25">
      <c r="A680" s="55" t="s">
        <v>35</v>
      </c>
      <c r="B680" s="55" t="s">
        <v>150</v>
      </c>
      <c r="C680" s="55" t="s">
        <v>16</v>
      </c>
      <c r="D680" s="60">
        <v>1</v>
      </c>
      <c r="E680" s="55" t="s">
        <v>12</v>
      </c>
      <c r="F680" s="54" t="s">
        <v>266</v>
      </c>
      <c r="G680" s="60">
        <v>0.90322580000000008</v>
      </c>
      <c r="H680" s="60">
        <v>1</v>
      </c>
      <c r="I680" s="60">
        <v>1</v>
      </c>
      <c r="K680" s="64">
        <v>7639</v>
      </c>
      <c r="M680" s="62"/>
      <c r="N680" s="63">
        <v>7639</v>
      </c>
    </row>
    <row r="681" spans="1:14" x14ac:dyDescent="0.25">
      <c r="A681" s="55" t="s">
        <v>35</v>
      </c>
      <c r="B681" s="55" t="s">
        <v>150</v>
      </c>
      <c r="C681" s="55" t="s">
        <v>18</v>
      </c>
      <c r="D681" s="60">
        <v>1</v>
      </c>
      <c r="E681" s="55" t="s">
        <v>19</v>
      </c>
      <c r="F681" s="54" t="s">
        <v>267</v>
      </c>
      <c r="G681" s="60">
        <v>0.86774190000000007</v>
      </c>
      <c r="H681" s="60">
        <v>0.96071424999999999</v>
      </c>
      <c r="I681" s="60">
        <v>0.95</v>
      </c>
      <c r="K681" s="64">
        <v>8079</v>
      </c>
      <c r="M681" s="65">
        <v>2.5000000000000001E-2</v>
      </c>
      <c r="N681" s="63">
        <v>8289</v>
      </c>
    </row>
    <row r="682" spans="1:14" x14ac:dyDescent="0.25">
      <c r="A682" s="55" t="s">
        <v>35</v>
      </c>
      <c r="B682" s="55" t="s">
        <v>150</v>
      </c>
      <c r="C682" s="55" t="s">
        <v>18</v>
      </c>
      <c r="D682" s="60">
        <v>1</v>
      </c>
      <c r="E682" s="55" t="s">
        <v>20</v>
      </c>
      <c r="F682" s="54" t="s">
        <v>267</v>
      </c>
      <c r="G682" s="60">
        <v>1</v>
      </c>
      <c r="H682" s="60">
        <v>1</v>
      </c>
      <c r="I682" s="60">
        <v>1</v>
      </c>
      <c r="K682" s="64">
        <v>10019</v>
      </c>
      <c r="M682" s="62"/>
      <c r="N682" s="63">
        <v>10019</v>
      </c>
    </row>
    <row r="683" spans="1:14" s="66" customFormat="1" x14ac:dyDescent="0.25">
      <c r="A683" s="55" t="s">
        <v>35</v>
      </c>
      <c r="B683" s="55" t="s">
        <v>183</v>
      </c>
      <c r="C683" s="55" t="s">
        <v>10</v>
      </c>
      <c r="D683" s="60">
        <v>0.78</v>
      </c>
      <c r="E683" s="55" t="s">
        <v>51</v>
      </c>
      <c r="F683" s="54" t="s">
        <v>264</v>
      </c>
      <c r="G683" s="60">
        <v>0.92961872727272732</v>
      </c>
      <c r="H683" s="60">
        <v>0.83766227272727278</v>
      </c>
      <c r="I683" s="60">
        <v>0.84491972727272724</v>
      </c>
      <c r="J683" s="55"/>
      <c r="K683" s="64">
        <v>749</v>
      </c>
      <c r="L683" s="55"/>
      <c r="M683" s="62"/>
      <c r="N683" s="63">
        <v>749</v>
      </c>
    </row>
    <row r="684" spans="1:14" x14ac:dyDescent="0.25">
      <c r="A684" s="55" t="s">
        <v>35</v>
      </c>
      <c r="B684" s="55" t="s">
        <v>183</v>
      </c>
      <c r="C684" s="55" t="s">
        <v>10</v>
      </c>
      <c r="D684" s="60">
        <v>0.78</v>
      </c>
      <c r="E684" s="55" t="s">
        <v>12</v>
      </c>
      <c r="F684" s="54" t="s">
        <v>264</v>
      </c>
      <c r="G684" s="60">
        <v>0.9390680555555555</v>
      </c>
      <c r="H684" s="60">
        <v>0.82936505555555551</v>
      </c>
      <c r="I684" s="60">
        <v>0.86274505555555558</v>
      </c>
      <c r="K684" s="64">
        <v>329</v>
      </c>
      <c r="M684" s="62"/>
      <c r="N684" s="63">
        <v>329</v>
      </c>
    </row>
    <row r="685" spans="1:14" x14ac:dyDescent="0.25">
      <c r="A685" s="55" t="s">
        <v>35</v>
      </c>
      <c r="B685" s="55" t="s">
        <v>183</v>
      </c>
      <c r="C685" s="55" t="s">
        <v>10</v>
      </c>
      <c r="D685" s="60">
        <v>0.78</v>
      </c>
      <c r="E685" s="55" t="s">
        <v>11</v>
      </c>
      <c r="F685" s="54" t="s">
        <v>264</v>
      </c>
      <c r="G685" s="60">
        <v>0.78187399999999996</v>
      </c>
      <c r="H685" s="60">
        <v>0.77551019047619041</v>
      </c>
      <c r="I685" s="60">
        <v>0.84873947619047618</v>
      </c>
      <c r="K685" s="64">
        <v>369</v>
      </c>
      <c r="M685" s="62"/>
      <c r="N685" s="63">
        <v>369</v>
      </c>
    </row>
    <row r="686" spans="1:14" x14ac:dyDescent="0.25">
      <c r="A686" s="55" t="s">
        <v>35</v>
      </c>
      <c r="B686" s="55" t="s">
        <v>183</v>
      </c>
      <c r="C686" s="55" t="s">
        <v>16</v>
      </c>
      <c r="D686" s="60">
        <v>1</v>
      </c>
      <c r="E686" s="55" t="s">
        <v>17</v>
      </c>
      <c r="F686" s="54" t="s">
        <v>266</v>
      </c>
      <c r="G686" s="60">
        <v>0.96639783333333329</v>
      </c>
      <c r="H686" s="60">
        <v>0.96726187500000005</v>
      </c>
      <c r="I686" s="60">
        <v>0.95833333333333337</v>
      </c>
      <c r="K686" s="64">
        <v>5679</v>
      </c>
      <c r="M686" s="62"/>
      <c r="N686" s="63">
        <v>5679</v>
      </c>
    </row>
    <row r="687" spans="1:14" x14ac:dyDescent="0.25">
      <c r="A687" s="55" t="s">
        <v>35</v>
      </c>
      <c r="B687" s="55" t="s">
        <v>183</v>
      </c>
      <c r="C687" s="55" t="s">
        <v>16</v>
      </c>
      <c r="D687" s="60">
        <v>1</v>
      </c>
      <c r="E687" s="55" t="s">
        <v>12</v>
      </c>
      <c r="F687" s="54" t="s">
        <v>266</v>
      </c>
      <c r="G687" s="60">
        <v>1</v>
      </c>
      <c r="H687" s="60">
        <v>1</v>
      </c>
      <c r="I687" s="60">
        <v>1</v>
      </c>
      <c r="K687" s="64">
        <v>7639</v>
      </c>
      <c r="M687" s="62"/>
      <c r="N687" s="63">
        <v>7639</v>
      </c>
    </row>
    <row r="688" spans="1:14" x14ac:dyDescent="0.25">
      <c r="A688" s="55" t="s">
        <v>35</v>
      </c>
      <c r="B688" s="55" t="s">
        <v>183</v>
      </c>
      <c r="C688" s="55" t="s">
        <v>46</v>
      </c>
      <c r="D688" s="60">
        <v>0.875</v>
      </c>
      <c r="E688" s="55" t="s">
        <v>31</v>
      </c>
      <c r="F688" s="54" t="s">
        <v>269</v>
      </c>
      <c r="G688" s="60">
        <v>0.875</v>
      </c>
      <c r="H688" s="60">
        <v>0.875</v>
      </c>
      <c r="I688" s="60">
        <v>0.875</v>
      </c>
      <c r="K688" s="64">
        <v>4124</v>
      </c>
      <c r="M688" s="62"/>
      <c r="N688" s="63">
        <v>4129</v>
      </c>
    </row>
    <row r="689" spans="1:14" x14ac:dyDescent="0.25">
      <c r="A689" s="55" t="s">
        <v>35</v>
      </c>
      <c r="B689" s="55" t="s">
        <v>183</v>
      </c>
      <c r="C689" s="55" t="s">
        <v>46</v>
      </c>
      <c r="D689" s="60">
        <v>0.875</v>
      </c>
      <c r="E689" s="55" t="s">
        <v>29</v>
      </c>
      <c r="F689" s="54" t="s">
        <v>269</v>
      </c>
      <c r="G689" s="60">
        <v>0.91244235714285715</v>
      </c>
      <c r="H689" s="60">
        <v>0.8571428571428571</v>
      </c>
      <c r="I689" s="60">
        <v>0.88235292857142855</v>
      </c>
      <c r="K689" s="64">
        <v>3395.4285714285716</v>
      </c>
      <c r="M689" s="62"/>
      <c r="N689" s="63">
        <v>3399</v>
      </c>
    </row>
    <row r="690" spans="1:14" x14ac:dyDescent="0.25">
      <c r="A690" s="55" t="s">
        <v>35</v>
      </c>
      <c r="B690" s="55" t="s">
        <v>183</v>
      </c>
      <c r="C690" s="55" t="s">
        <v>46</v>
      </c>
      <c r="D690" s="60">
        <v>0.875</v>
      </c>
      <c r="E690" s="55" t="s">
        <v>17</v>
      </c>
      <c r="F690" s="54" t="s">
        <v>269</v>
      </c>
      <c r="G690" s="60">
        <v>0.51612849999999999</v>
      </c>
      <c r="H690" s="60">
        <v>0.30357100000000004</v>
      </c>
      <c r="I690" s="60">
        <v>0.735294</v>
      </c>
      <c r="K690" s="64">
        <v>2819</v>
      </c>
      <c r="M690" s="62"/>
      <c r="N690" s="63">
        <v>2819</v>
      </c>
    </row>
    <row r="691" spans="1:14" x14ac:dyDescent="0.25">
      <c r="A691" s="55" t="s">
        <v>35</v>
      </c>
      <c r="B691" s="55" t="s">
        <v>217</v>
      </c>
      <c r="C691" s="55" t="s">
        <v>10</v>
      </c>
      <c r="D691" s="60">
        <v>0.80281690140845074</v>
      </c>
      <c r="E691" s="55" t="s">
        <v>11</v>
      </c>
      <c r="F691" s="54" t="s">
        <v>264</v>
      </c>
      <c r="G691" s="60">
        <v>0.73476700000000006</v>
      </c>
      <c r="H691" s="60">
        <v>0.77116400000000007</v>
      </c>
      <c r="I691" s="60">
        <v>0.69498907407407406</v>
      </c>
      <c r="K691" s="64">
        <v>349</v>
      </c>
      <c r="M691" s="65"/>
      <c r="N691" s="63">
        <v>349</v>
      </c>
    </row>
    <row r="692" spans="1:14" x14ac:dyDescent="0.25">
      <c r="A692" s="55" t="s">
        <v>35</v>
      </c>
      <c r="B692" s="55" t="s">
        <v>217</v>
      </c>
      <c r="C692" s="55" t="s">
        <v>10</v>
      </c>
      <c r="D692" s="60">
        <v>0.80281690140845074</v>
      </c>
      <c r="E692" s="55" t="s">
        <v>12</v>
      </c>
      <c r="F692" s="54" t="s">
        <v>264</v>
      </c>
      <c r="G692" s="60">
        <v>0.98826977272727279</v>
      </c>
      <c r="H692" s="60">
        <v>0.94561686363636366</v>
      </c>
      <c r="I692" s="60">
        <v>0.94251336363636362</v>
      </c>
      <c r="K692" s="64">
        <v>339</v>
      </c>
      <c r="M692" s="62"/>
      <c r="N692" s="63">
        <v>339</v>
      </c>
    </row>
    <row r="693" spans="1:14" x14ac:dyDescent="0.25">
      <c r="A693" s="55" t="s">
        <v>35</v>
      </c>
      <c r="B693" s="55" t="s">
        <v>217</v>
      </c>
      <c r="C693" s="55" t="s">
        <v>16</v>
      </c>
      <c r="D693" s="60">
        <v>0.95454545454545459</v>
      </c>
      <c r="E693" s="55" t="s">
        <v>17</v>
      </c>
      <c r="F693" s="54" t="s">
        <v>266</v>
      </c>
      <c r="G693" s="60">
        <v>0.89964155555555558</v>
      </c>
      <c r="H693" s="60">
        <v>0.94444444444444442</v>
      </c>
      <c r="I693" s="60">
        <v>0.94444444444444442</v>
      </c>
      <c r="K693" s="64">
        <v>5499</v>
      </c>
      <c r="M693" s="62"/>
      <c r="N693" s="63">
        <v>5499</v>
      </c>
    </row>
    <row r="694" spans="1:14" x14ac:dyDescent="0.25">
      <c r="A694" s="55" t="s">
        <v>35</v>
      </c>
      <c r="B694" s="55" t="s">
        <v>217</v>
      </c>
      <c r="C694" s="55" t="s">
        <v>16</v>
      </c>
      <c r="D694" s="60">
        <v>0.95454545454545459</v>
      </c>
      <c r="E694" s="55" t="s">
        <v>26</v>
      </c>
      <c r="F694" s="54" t="s">
        <v>266</v>
      </c>
      <c r="G694" s="60">
        <v>1</v>
      </c>
      <c r="H694" s="60">
        <v>1</v>
      </c>
      <c r="I694" s="60">
        <v>1</v>
      </c>
      <c r="K694" s="64">
        <v>7579</v>
      </c>
      <c r="M694" s="62"/>
      <c r="N694" s="63">
        <v>7579</v>
      </c>
    </row>
    <row r="695" spans="1:14" x14ac:dyDescent="0.25">
      <c r="A695" s="55" t="s">
        <v>35</v>
      </c>
      <c r="B695" s="55" t="s">
        <v>218</v>
      </c>
      <c r="C695" s="55" t="s">
        <v>10</v>
      </c>
      <c r="D695" s="60">
        <v>0.65517241379310343</v>
      </c>
      <c r="E695" s="55" t="s">
        <v>11</v>
      </c>
      <c r="F695" s="54" t="s">
        <v>264</v>
      </c>
      <c r="G695" s="60">
        <v>0.85483849999999995</v>
      </c>
      <c r="H695" s="60">
        <v>0.89285700000000001</v>
      </c>
      <c r="I695" s="60">
        <v>1</v>
      </c>
      <c r="K695" s="64">
        <v>329</v>
      </c>
      <c r="M695" s="62"/>
      <c r="N695" s="63">
        <v>329</v>
      </c>
    </row>
    <row r="696" spans="1:14" x14ac:dyDescent="0.25">
      <c r="A696" s="55" t="s">
        <v>35</v>
      </c>
      <c r="B696" s="55" t="s">
        <v>218</v>
      </c>
      <c r="C696" s="55" t="s">
        <v>10</v>
      </c>
      <c r="D696" s="60">
        <v>0.65517241379310343</v>
      </c>
      <c r="E696" s="55" t="s">
        <v>12</v>
      </c>
      <c r="F696" s="54" t="s">
        <v>264</v>
      </c>
      <c r="G696" s="60">
        <v>0.73240468181818175</v>
      </c>
      <c r="H696" s="60">
        <v>0.66233765909090903</v>
      </c>
      <c r="I696" s="60">
        <v>0.61096254545454542</v>
      </c>
      <c r="K696" s="64">
        <v>299</v>
      </c>
      <c r="M696" s="65"/>
      <c r="N696" s="63">
        <v>299</v>
      </c>
    </row>
    <row r="697" spans="1:14" x14ac:dyDescent="0.25">
      <c r="A697" s="55" t="s">
        <v>35</v>
      </c>
      <c r="B697" s="55" t="s">
        <v>218</v>
      </c>
      <c r="C697" s="55" t="s">
        <v>10</v>
      </c>
      <c r="D697" s="60">
        <v>0.65517241379310343</v>
      </c>
      <c r="E697" s="55" t="s">
        <v>51</v>
      </c>
      <c r="F697" s="54" t="s">
        <v>264</v>
      </c>
      <c r="G697" s="60">
        <v>0.65591391666666665</v>
      </c>
      <c r="H697" s="60">
        <v>0.70535708333333336</v>
      </c>
      <c r="I697" s="60">
        <v>0.69607841666666659</v>
      </c>
      <c r="K697" s="64">
        <v>559</v>
      </c>
      <c r="M697" s="62"/>
      <c r="N697" s="63">
        <v>559</v>
      </c>
    </row>
    <row r="698" spans="1:14" x14ac:dyDescent="0.25">
      <c r="A698" s="55" t="s">
        <v>35</v>
      </c>
      <c r="B698" s="55" t="s">
        <v>218</v>
      </c>
      <c r="C698" s="55" t="s">
        <v>13</v>
      </c>
      <c r="D698" s="60">
        <v>1</v>
      </c>
      <c r="E698" s="55" t="s">
        <v>14</v>
      </c>
      <c r="F698" s="54" t="s">
        <v>265</v>
      </c>
      <c r="G698" s="60">
        <v>1</v>
      </c>
      <c r="H698" s="60">
        <v>1</v>
      </c>
      <c r="I698" s="60">
        <v>1</v>
      </c>
      <c r="K698" s="64">
        <v>329</v>
      </c>
      <c r="M698" s="62"/>
      <c r="N698" s="63">
        <v>329</v>
      </c>
    </row>
    <row r="699" spans="1:14" x14ac:dyDescent="0.25">
      <c r="A699" s="55" t="s">
        <v>35</v>
      </c>
      <c r="B699" s="55" t="s">
        <v>218</v>
      </c>
      <c r="C699" s="55" t="s">
        <v>13</v>
      </c>
      <c r="D699" s="60">
        <v>1</v>
      </c>
      <c r="E699" s="55" t="s">
        <v>15</v>
      </c>
      <c r="F699" s="54" t="s">
        <v>265</v>
      </c>
      <c r="G699" s="60">
        <v>1</v>
      </c>
      <c r="H699" s="60">
        <v>1</v>
      </c>
      <c r="I699" s="60">
        <v>1</v>
      </c>
      <c r="K699" s="64">
        <v>319</v>
      </c>
      <c r="M699" s="62"/>
      <c r="N699" s="63">
        <v>319</v>
      </c>
    </row>
    <row r="700" spans="1:14" x14ac:dyDescent="0.25">
      <c r="A700" s="55" t="s">
        <v>35</v>
      </c>
      <c r="B700" s="55" t="s">
        <v>218</v>
      </c>
      <c r="C700" s="55" t="s">
        <v>18</v>
      </c>
      <c r="D700" s="60">
        <v>0.66666666666666663</v>
      </c>
      <c r="E700" s="55" t="s">
        <v>14</v>
      </c>
      <c r="F700" s="54" t="s">
        <v>267</v>
      </c>
      <c r="G700" s="60">
        <v>1</v>
      </c>
      <c r="H700" s="60">
        <v>0.6785713333333333</v>
      </c>
      <c r="I700" s="60">
        <v>0.66666666666666663</v>
      </c>
      <c r="K700" s="64">
        <v>8709</v>
      </c>
      <c r="M700" s="65">
        <v>-2.5000000000000001E-2</v>
      </c>
      <c r="N700" s="63">
        <v>8499</v>
      </c>
    </row>
    <row r="701" spans="1:14" x14ac:dyDescent="0.25">
      <c r="A701" s="55" t="s">
        <v>35</v>
      </c>
      <c r="B701" s="55" t="s">
        <v>218</v>
      </c>
      <c r="C701" s="55" t="s">
        <v>16</v>
      </c>
      <c r="D701" s="60">
        <v>0.95454545454545459</v>
      </c>
      <c r="E701" s="55" t="s">
        <v>17</v>
      </c>
      <c r="F701" s="54" t="s">
        <v>266</v>
      </c>
      <c r="G701" s="60">
        <v>0.95161288888888884</v>
      </c>
      <c r="H701" s="60">
        <v>0.95039677777777776</v>
      </c>
      <c r="I701" s="60">
        <v>0.92810455555555549</v>
      </c>
      <c r="K701" s="64">
        <v>4119</v>
      </c>
      <c r="M701" s="62"/>
      <c r="N701" s="63">
        <v>4119</v>
      </c>
    </row>
    <row r="702" spans="1:14" x14ac:dyDescent="0.25">
      <c r="A702" s="55" t="s">
        <v>35</v>
      </c>
      <c r="B702" s="55" t="s">
        <v>218</v>
      </c>
      <c r="C702" s="55" t="s">
        <v>16</v>
      </c>
      <c r="D702" s="60">
        <v>0.95454545454545459</v>
      </c>
      <c r="E702" s="55" t="s">
        <v>12</v>
      </c>
      <c r="F702" s="54" t="s">
        <v>266</v>
      </c>
      <c r="G702" s="60">
        <v>1</v>
      </c>
      <c r="H702" s="60">
        <v>1</v>
      </c>
      <c r="I702" s="60">
        <v>1</v>
      </c>
      <c r="K702" s="64">
        <v>4839</v>
      </c>
      <c r="M702" s="62"/>
      <c r="N702" s="63">
        <v>4839</v>
      </c>
    </row>
    <row r="703" spans="1:14" x14ac:dyDescent="0.25">
      <c r="A703" s="55" t="s">
        <v>35</v>
      </c>
      <c r="B703" s="55" t="s">
        <v>219</v>
      </c>
      <c r="C703" s="55" t="s">
        <v>10</v>
      </c>
      <c r="D703" s="60">
        <v>0.98333333333333328</v>
      </c>
      <c r="E703" s="55" t="s">
        <v>11</v>
      </c>
      <c r="F703" s="54" t="s">
        <v>264</v>
      </c>
      <c r="G703" s="60">
        <v>0.94193539999999998</v>
      </c>
      <c r="H703" s="60">
        <v>0.91428560000000003</v>
      </c>
      <c r="I703" s="60">
        <v>0.94117640000000002</v>
      </c>
      <c r="K703" s="64">
        <v>349</v>
      </c>
      <c r="M703" s="65">
        <v>2.5000000000000001E-2</v>
      </c>
      <c r="N703" s="63">
        <v>359</v>
      </c>
    </row>
    <row r="704" spans="1:14" x14ac:dyDescent="0.25">
      <c r="A704" s="55" t="s">
        <v>35</v>
      </c>
      <c r="B704" s="55" t="s">
        <v>219</v>
      </c>
      <c r="C704" s="55" t="s">
        <v>10</v>
      </c>
      <c r="D704" s="60">
        <v>0.98333333333333328</v>
      </c>
      <c r="E704" s="55" t="s">
        <v>12</v>
      </c>
      <c r="F704" s="54" t="s">
        <v>264</v>
      </c>
      <c r="G704" s="60">
        <v>0.91816009259259257</v>
      </c>
      <c r="H704" s="60">
        <v>0.94202898737851104</v>
      </c>
      <c r="I704" s="60">
        <v>0.96042780000000005</v>
      </c>
      <c r="K704" s="64">
        <v>319</v>
      </c>
      <c r="M704" s="65">
        <v>2.5000000000000001E-2</v>
      </c>
      <c r="N704" s="63">
        <v>329</v>
      </c>
    </row>
    <row r="705" spans="1:14" x14ac:dyDescent="0.25">
      <c r="A705" s="55" t="s">
        <v>35</v>
      </c>
      <c r="B705" s="55" t="s">
        <v>219</v>
      </c>
      <c r="C705" s="55" t="s">
        <v>18</v>
      </c>
      <c r="D705" s="60">
        <v>1</v>
      </c>
      <c r="E705" s="55" t="s">
        <v>14</v>
      </c>
      <c r="F705" s="54" t="s">
        <v>267</v>
      </c>
      <c r="G705" s="60">
        <v>1</v>
      </c>
      <c r="H705" s="60">
        <v>0.87946424999999995</v>
      </c>
      <c r="I705" s="60">
        <v>0.94117637499999995</v>
      </c>
      <c r="K705" s="64">
        <v>7629</v>
      </c>
      <c r="M705" s="62"/>
      <c r="N705" s="63">
        <v>7629</v>
      </c>
    </row>
    <row r="706" spans="1:14" x14ac:dyDescent="0.25">
      <c r="A706" s="55" t="s">
        <v>35</v>
      </c>
      <c r="B706" s="55" t="s">
        <v>219</v>
      </c>
      <c r="C706" s="55" t="s">
        <v>18</v>
      </c>
      <c r="D706" s="60">
        <v>1</v>
      </c>
      <c r="E706" s="55" t="s">
        <v>15</v>
      </c>
      <c r="F706" s="54" t="s">
        <v>267</v>
      </c>
      <c r="G706" s="60">
        <v>1</v>
      </c>
      <c r="H706" s="60">
        <v>0.88095233333333345</v>
      </c>
      <c r="I706" s="60">
        <v>1</v>
      </c>
      <c r="K706" s="64">
        <v>8329</v>
      </c>
      <c r="M706" s="62"/>
      <c r="N706" s="63">
        <v>8329</v>
      </c>
    </row>
    <row r="707" spans="1:14" x14ac:dyDescent="0.25">
      <c r="A707" s="55" t="s">
        <v>35</v>
      </c>
      <c r="B707" s="55" t="s">
        <v>219</v>
      </c>
      <c r="C707" s="55" t="s">
        <v>16</v>
      </c>
      <c r="D707" s="60">
        <v>0.95454545454545459</v>
      </c>
      <c r="E707" s="55" t="s">
        <v>17</v>
      </c>
      <c r="F707" s="54" t="s">
        <v>266</v>
      </c>
      <c r="G707" s="60">
        <v>1</v>
      </c>
      <c r="H707" s="60">
        <v>1</v>
      </c>
      <c r="I707" s="60">
        <v>0.98961935294117653</v>
      </c>
      <c r="K707" s="64">
        <v>6189</v>
      </c>
      <c r="M707" s="62"/>
      <c r="N707" s="63">
        <v>6189</v>
      </c>
    </row>
    <row r="708" spans="1:14" x14ac:dyDescent="0.25">
      <c r="A708" s="55" t="s">
        <v>35</v>
      </c>
      <c r="B708" s="55" t="s">
        <v>219</v>
      </c>
      <c r="C708" s="55" t="s">
        <v>16</v>
      </c>
      <c r="D708" s="60">
        <v>0.95454545454545459</v>
      </c>
      <c r="E708" s="55" t="s">
        <v>12</v>
      </c>
      <c r="F708" s="54" t="s">
        <v>266</v>
      </c>
      <c r="G708" s="60">
        <v>1</v>
      </c>
      <c r="H708" s="60">
        <v>1</v>
      </c>
      <c r="I708" s="60">
        <v>0.85882340000000001</v>
      </c>
      <c r="K708" s="64">
        <v>7159</v>
      </c>
      <c r="M708" s="62"/>
      <c r="N708" s="63">
        <v>7159</v>
      </c>
    </row>
    <row r="709" spans="1:14" x14ac:dyDescent="0.25">
      <c r="A709" s="55" t="s">
        <v>35</v>
      </c>
      <c r="B709" s="55" t="s">
        <v>219</v>
      </c>
      <c r="C709" s="55" t="s">
        <v>21</v>
      </c>
      <c r="D709" s="60">
        <v>0.84210526315789469</v>
      </c>
      <c r="E709" s="55" t="s">
        <v>22</v>
      </c>
      <c r="F709" s="54" t="s">
        <v>268</v>
      </c>
      <c r="G709" s="60">
        <v>0.86587431578947371</v>
      </c>
      <c r="H709" s="60">
        <v>0.79511273684210526</v>
      </c>
      <c r="I709" s="60">
        <v>0.84210526315789469</v>
      </c>
      <c r="K709" s="64">
        <v>3289</v>
      </c>
      <c r="M709" s="62"/>
      <c r="N709" s="63">
        <v>3289</v>
      </c>
    </row>
    <row r="710" spans="1:14" x14ac:dyDescent="0.25">
      <c r="A710" s="55" t="s">
        <v>88</v>
      </c>
      <c r="B710" s="55" t="s">
        <v>89</v>
      </c>
      <c r="C710" s="55" t="s">
        <v>10</v>
      </c>
      <c r="D710" s="60">
        <v>0.77777777777777779</v>
      </c>
      <c r="E710" s="55" t="s">
        <v>17</v>
      </c>
      <c r="F710" s="54" t="s">
        <v>264</v>
      </c>
      <c r="G710" s="60">
        <v>0.88045535294117649</v>
      </c>
      <c r="H710" s="60">
        <v>0.91596635294117656</v>
      </c>
      <c r="I710" s="60">
        <v>0.85640135294117647</v>
      </c>
      <c r="K710" s="64">
        <v>332.52941176470586</v>
      </c>
      <c r="M710" s="62"/>
      <c r="N710" s="63">
        <v>339</v>
      </c>
    </row>
    <row r="711" spans="1:14" x14ac:dyDescent="0.25">
      <c r="A711" s="55" t="s">
        <v>88</v>
      </c>
      <c r="B711" s="55" t="s">
        <v>89</v>
      </c>
      <c r="C711" s="55" t="s">
        <v>10</v>
      </c>
      <c r="D711" s="60">
        <v>0.77777777777777779</v>
      </c>
      <c r="E711" s="55" t="s">
        <v>44</v>
      </c>
      <c r="F711" s="54" t="s">
        <v>264</v>
      </c>
      <c r="G711" s="60">
        <v>0.84879024999999997</v>
      </c>
      <c r="H711" s="60">
        <v>0.78125</v>
      </c>
      <c r="I711" s="60">
        <v>0.6875</v>
      </c>
      <c r="K711" s="64">
        <v>309</v>
      </c>
      <c r="M711" s="62"/>
      <c r="N711" s="63">
        <v>309</v>
      </c>
    </row>
    <row r="712" spans="1:14" x14ac:dyDescent="0.25">
      <c r="A712" s="55" t="s">
        <v>88</v>
      </c>
      <c r="B712" s="55" t="s">
        <v>89</v>
      </c>
      <c r="C712" s="55" t="s">
        <v>10</v>
      </c>
      <c r="D712" s="60">
        <v>0.77777777777777779</v>
      </c>
      <c r="E712" s="55" t="s">
        <v>90</v>
      </c>
      <c r="F712" s="54" t="s">
        <v>264</v>
      </c>
      <c r="G712" s="60">
        <v>0.87903224999999996</v>
      </c>
      <c r="H712" s="60">
        <v>1</v>
      </c>
      <c r="I712" s="60">
        <v>1</v>
      </c>
      <c r="K712" s="64">
        <v>366.5</v>
      </c>
      <c r="M712" s="62"/>
      <c r="N712" s="63">
        <v>369</v>
      </c>
    </row>
    <row r="713" spans="1:14" x14ac:dyDescent="0.25">
      <c r="A713" s="55" t="s">
        <v>88</v>
      </c>
      <c r="B713" s="55" t="s">
        <v>89</v>
      </c>
      <c r="C713" s="55" t="s">
        <v>59</v>
      </c>
      <c r="D713" s="60">
        <v>0.94120000000000004</v>
      </c>
      <c r="E713" s="55" t="s">
        <v>17</v>
      </c>
      <c r="F713" s="54" t="s">
        <v>269</v>
      </c>
      <c r="G713" s="60">
        <v>0.76105133333333341</v>
      </c>
      <c r="H713" s="60">
        <v>0.80026451851851854</v>
      </c>
      <c r="I713" s="60">
        <v>0.88888881481481474</v>
      </c>
      <c r="K713" s="64">
        <v>3049</v>
      </c>
      <c r="M713" s="62"/>
      <c r="N713" s="63">
        <v>3049</v>
      </c>
    </row>
    <row r="714" spans="1:14" x14ac:dyDescent="0.25">
      <c r="A714" s="55" t="s">
        <v>88</v>
      </c>
      <c r="B714" s="55" t="s">
        <v>89</v>
      </c>
      <c r="C714" s="55" t="s">
        <v>16</v>
      </c>
      <c r="D714" s="60">
        <v>0.94117647058823528</v>
      </c>
      <c r="E714" s="55" t="s">
        <v>17</v>
      </c>
      <c r="F714" s="54" t="s">
        <v>266</v>
      </c>
      <c r="G714" s="60">
        <v>0.76105133333333341</v>
      </c>
      <c r="H714" s="60">
        <v>0.80026451851851854</v>
      </c>
      <c r="I714" s="60">
        <v>0.88888881481481474</v>
      </c>
      <c r="K714" s="64">
        <v>4412.181818181818</v>
      </c>
      <c r="M714" s="62"/>
      <c r="N714" s="63">
        <v>4419</v>
      </c>
    </row>
    <row r="715" spans="1:14" x14ac:dyDescent="0.25">
      <c r="A715" s="55" t="s">
        <v>88</v>
      </c>
      <c r="B715" s="55" t="s">
        <v>89</v>
      </c>
      <c r="C715" s="55" t="s">
        <v>16</v>
      </c>
      <c r="D715" s="60">
        <v>0.94117647058823528</v>
      </c>
      <c r="E715" s="55" t="s">
        <v>44</v>
      </c>
      <c r="F715" s="54" t="s">
        <v>266</v>
      </c>
      <c r="G715" s="60">
        <v>0.5714285714285714</v>
      </c>
      <c r="H715" s="60">
        <v>0.60204071428571437</v>
      </c>
      <c r="I715" s="60">
        <v>0.83193271428571425</v>
      </c>
      <c r="K715" s="64">
        <v>4691.8571428571431</v>
      </c>
      <c r="M715" s="62"/>
      <c r="N715" s="63">
        <v>4699</v>
      </c>
    </row>
    <row r="716" spans="1:14" x14ac:dyDescent="0.25">
      <c r="A716" s="55" t="s">
        <v>88</v>
      </c>
      <c r="B716" s="55" t="s">
        <v>113</v>
      </c>
      <c r="C716" s="55" t="s">
        <v>10</v>
      </c>
      <c r="D716" s="60">
        <v>0.91379310344827591</v>
      </c>
      <c r="E716" s="55" t="s">
        <v>17</v>
      </c>
      <c r="F716" s="54" t="s">
        <v>264</v>
      </c>
      <c r="G716" s="60">
        <v>0.92030352941176474</v>
      </c>
      <c r="H716" s="60">
        <v>0.92752091176470586</v>
      </c>
      <c r="I716" s="60">
        <v>0.93771620588235294</v>
      </c>
      <c r="K716" s="64">
        <v>376.05882352941177</v>
      </c>
      <c r="M716" s="62"/>
      <c r="N716" s="63">
        <v>379</v>
      </c>
    </row>
    <row r="717" spans="1:14" x14ac:dyDescent="0.25">
      <c r="A717" s="55" t="s">
        <v>88</v>
      </c>
      <c r="B717" s="55" t="s">
        <v>113</v>
      </c>
      <c r="C717" s="55" t="s">
        <v>10</v>
      </c>
      <c r="D717" s="60">
        <v>0.91379310344827591</v>
      </c>
      <c r="E717" s="55" t="s">
        <v>44</v>
      </c>
      <c r="F717" s="54" t="s">
        <v>264</v>
      </c>
      <c r="G717" s="60">
        <v>0.81048379166666662</v>
      </c>
      <c r="H717" s="60">
        <v>0.86458325000000003</v>
      </c>
      <c r="I717" s="60">
        <v>0.8970587499999999</v>
      </c>
      <c r="K717" s="64">
        <v>309</v>
      </c>
      <c r="M717" s="62"/>
      <c r="N717" s="63">
        <v>309</v>
      </c>
    </row>
    <row r="718" spans="1:14" x14ac:dyDescent="0.25">
      <c r="A718" s="55" t="s">
        <v>88</v>
      </c>
      <c r="B718" s="55" t="s">
        <v>113</v>
      </c>
      <c r="C718" s="55" t="s">
        <v>16</v>
      </c>
      <c r="D718" s="60">
        <v>0.94736842105263153</v>
      </c>
      <c r="E718" s="55" t="s">
        <v>17</v>
      </c>
      <c r="F718" s="54" t="s">
        <v>266</v>
      </c>
      <c r="G718" s="60">
        <v>1</v>
      </c>
      <c r="H718" s="60">
        <v>0.99047613333333329</v>
      </c>
      <c r="I718" s="60">
        <v>0.98823526666666672</v>
      </c>
      <c r="K718" s="64">
        <v>5316.333333333333</v>
      </c>
      <c r="M718" s="65">
        <v>2.5000000000000001E-2</v>
      </c>
      <c r="N718" s="63">
        <v>5449</v>
      </c>
    </row>
    <row r="719" spans="1:14" x14ac:dyDescent="0.25">
      <c r="A719" s="55" t="s">
        <v>88</v>
      </c>
      <c r="B719" s="55" t="s">
        <v>113</v>
      </c>
      <c r="C719" s="55" t="s">
        <v>16</v>
      </c>
      <c r="D719" s="60">
        <v>0.94736842105263153</v>
      </c>
      <c r="E719" s="55" t="s">
        <v>44</v>
      </c>
      <c r="F719" s="54" t="s">
        <v>266</v>
      </c>
      <c r="G719" s="60">
        <v>0.96774175000000007</v>
      </c>
      <c r="H719" s="60">
        <v>0.97321425000000006</v>
      </c>
      <c r="I719" s="60">
        <v>0.89705875000000002</v>
      </c>
      <c r="K719" s="64">
        <v>5854</v>
      </c>
      <c r="M719" s="62"/>
      <c r="N719" s="63">
        <v>5859</v>
      </c>
    </row>
    <row r="720" spans="1:14" x14ac:dyDescent="0.25">
      <c r="A720" s="55" t="s">
        <v>88</v>
      </c>
      <c r="B720" s="55" t="s">
        <v>113</v>
      </c>
      <c r="C720" s="55" t="s">
        <v>18</v>
      </c>
      <c r="D720" s="60">
        <v>0.8</v>
      </c>
      <c r="E720" s="55" t="s">
        <v>32</v>
      </c>
      <c r="F720" s="54" t="s">
        <v>267</v>
      </c>
      <c r="G720" s="60">
        <v>0.69086016666666661</v>
      </c>
      <c r="H720" s="60">
        <v>0.77380941666666658</v>
      </c>
      <c r="I720" s="60">
        <v>0.75</v>
      </c>
      <c r="K720" s="64">
        <v>7190.666666666667</v>
      </c>
      <c r="M720" s="65"/>
      <c r="N720" s="63">
        <v>7199</v>
      </c>
    </row>
    <row r="721" spans="1:14" x14ac:dyDescent="0.25">
      <c r="A721" s="55" t="s">
        <v>88</v>
      </c>
      <c r="B721" s="55" t="s">
        <v>113</v>
      </c>
      <c r="C721" s="55" t="s">
        <v>18</v>
      </c>
      <c r="D721" s="60">
        <v>0.8</v>
      </c>
      <c r="E721" s="55" t="s">
        <v>45</v>
      </c>
      <c r="F721" s="54" t="s">
        <v>267</v>
      </c>
      <c r="G721" s="60">
        <v>0.66666666666666663</v>
      </c>
      <c r="H721" s="60">
        <v>0.66666666666666663</v>
      </c>
      <c r="I721" s="60">
        <v>1</v>
      </c>
      <c r="K721" s="64">
        <v>8155.666666666667</v>
      </c>
      <c r="M721" s="62"/>
      <c r="N721" s="63">
        <v>8159</v>
      </c>
    </row>
    <row r="722" spans="1:14" x14ac:dyDescent="0.25">
      <c r="A722" s="55" t="s">
        <v>88</v>
      </c>
      <c r="B722" s="55" t="s">
        <v>113</v>
      </c>
      <c r="C722" s="55" t="s">
        <v>46</v>
      </c>
      <c r="D722" s="60">
        <v>0.59090909090909094</v>
      </c>
      <c r="E722" s="55" t="s">
        <v>29</v>
      </c>
      <c r="F722" s="54" t="s">
        <v>269</v>
      </c>
      <c r="G722" s="60">
        <v>0.59856627777777782</v>
      </c>
      <c r="H722" s="60">
        <v>0.55952377777777784</v>
      </c>
      <c r="I722" s="60">
        <v>0.56535944444444441</v>
      </c>
      <c r="K722" s="64">
        <v>3295.6666666666665</v>
      </c>
      <c r="M722" s="65"/>
      <c r="N722" s="63">
        <v>3299</v>
      </c>
    </row>
    <row r="723" spans="1:14" x14ac:dyDescent="0.25">
      <c r="A723" s="55" t="s">
        <v>88</v>
      </c>
      <c r="B723" s="55" t="s">
        <v>113</v>
      </c>
      <c r="C723" s="55" t="s">
        <v>46</v>
      </c>
      <c r="D723" s="60">
        <v>0.59090909090909094</v>
      </c>
      <c r="E723" s="55" t="s">
        <v>17</v>
      </c>
      <c r="F723" s="54" t="s">
        <v>269</v>
      </c>
      <c r="G723" s="60">
        <v>1</v>
      </c>
      <c r="H723" s="60">
        <v>1</v>
      </c>
      <c r="I723" s="60">
        <v>0.79411750000000003</v>
      </c>
      <c r="K723" s="64">
        <v>2819</v>
      </c>
      <c r="M723" s="62"/>
      <c r="N723" s="63">
        <v>2819</v>
      </c>
    </row>
    <row r="724" spans="1:14" x14ac:dyDescent="0.25">
      <c r="A724" s="55" t="s">
        <v>88</v>
      </c>
      <c r="B724" s="55" t="s">
        <v>130</v>
      </c>
      <c r="C724" s="55" t="s">
        <v>10</v>
      </c>
      <c r="D724" s="60">
        <v>0.98148148148148151</v>
      </c>
      <c r="E724" s="55" t="s">
        <v>30</v>
      </c>
      <c r="F724" s="54" t="s">
        <v>264</v>
      </c>
      <c r="G724" s="60">
        <v>1</v>
      </c>
      <c r="H724" s="60">
        <v>1</v>
      </c>
      <c r="I724" s="60">
        <v>1</v>
      </c>
      <c r="K724" s="64">
        <v>439</v>
      </c>
      <c r="M724" s="65">
        <v>2.5000000000000001E-2</v>
      </c>
      <c r="N724" s="63">
        <v>449</v>
      </c>
    </row>
    <row r="725" spans="1:14" x14ac:dyDescent="0.25">
      <c r="A725" s="55" t="s">
        <v>88</v>
      </c>
      <c r="B725" s="55" t="s">
        <v>130</v>
      </c>
      <c r="C725" s="55" t="s">
        <v>10</v>
      </c>
      <c r="D725" s="60">
        <v>0.98148148148148151</v>
      </c>
      <c r="E725" s="55" t="s">
        <v>17</v>
      </c>
      <c r="F725" s="54" t="s">
        <v>264</v>
      </c>
      <c r="G725" s="60">
        <v>0.99120224242424237</v>
      </c>
      <c r="H725" s="60">
        <v>0.95887439393939389</v>
      </c>
      <c r="I725" s="60">
        <v>0.9340462424242425</v>
      </c>
      <c r="K725" s="64">
        <v>405.66666666666669</v>
      </c>
      <c r="M725" s="65">
        <v>2.5000000000000001E-2</v>
      </c>
      <c r="N725" s="63">
        <v>419</v>
      </c>
    </row>
    <row r="726" spans="1:14" x14ac:dyDescent="0.25">
      <c r="A726" s="55" t="s">
        <v>88</v>
      </c>
      <c r="B726" s="55" t="s">
        <v>130</v>
      </c>
      <c r="C726" s="55" t="s">
        <v>10</v>
      </c>
      <c r="D726" s="60">
        <v>0.98148148148148151</v>
      </c>
      <c r="E726" s="55" t="s">
        <v>44</v>
      </c>
      <c r="F726" s="54" t="s">
        <v>264</v>
      </c>
      <c r="G726" s="60">
        <v>0.91451604999999991</v>
      </c>
      <c r="H726" s="60">
        <v>0.94821425000000004</v>
      </c>
      <c r="I726" s="60">
        <v>0.93823524999999997</v>
      </c>
      <c r="K726" s="64">
        <v>353</v>
      </c>
      <c r="M726" s="65">
        <v>2.5000000000000001E-2</v>
      </c>
      <c r="N726" s="63">
        <v>369</v>
      </c>
    </row>
    <row r="727" spans="1:14" x14ac:dyDescent="0.25">
      <c r="A727" s="55" t="s">
        <v>88</v>
      </c>
      <c r="B727" s="55" t="s">
        <v>130</v>
      </c>
      <c r="C727" s="55" t="s">
        <v>16</v>
      </c>
      <c r="D727" s="60">
        <v>1</v>
      </c>
      <c r="E727" s="55" t="s">
        <v>17</v>
      </c>
      <c r="F727" s="54" t="s">
        <v>266</v>
      </c>
      <c r="G727" s="60">
        <v>1</v>
      </c>
      <c r="H727" s="60">
        <v>1</v>
      </c>
      <c r="I727" s="60">
        <v>1</v>
      </c>
      <c r="K727" s="64">
        <v>5626.333333333333</v>
      </c>
      <c r="M727" s="65">
        <v>0.05</v>
      </c>
      <c r="N727" s="63">
        <v>5909</v>
      </c>
    </row>
    <row r="728" spans="1:14" x14ac:dyDescent="0.25">
      <c r="A728" s="55" t="s">
        <v>88</v>
      </c>
      <c r="B728" s="55" t="s">
        <v>130</v>
      </c>
      <c r="C728" s="55" t="s">
        <v>16</v>
      </c>
      <c r="D728" s="60">
        <v>1</v>
      </c>
      <c r="E728" s="55" t="s">
        <v>44</v>
      </c>
      <c r="F728" s="54" t="s">
        <v>266</v>
      </c>
      <c r="G728" s="60">
        <v>1</v>
      </c>
      <c r="H728" s="60">
        <v>1</v>
      </c>
      <c r="I728" s="60">
        <v>1</v>
      </c>
      <c r="K728" s="64">
        <v>6251.5</v>
      </c>
      <c r="M728" s="62"/>
      <c r="N728" s="63">
        <v>6259</v>
      </c>
    </row>
    <row r="729" spans="1:14" x14ac:dyDescent="0.25">
      <c r="A729" s="55" t="s">
        <v>88</v>
      </c>
      <c r="B729" s="55" t="s">
        <v>130</v>
      </c>
      <c r="C729" s="55" t="s">
        <v>18</v>
      </c>
      <c r="D729" s="60">
        <v>0.93333333333333335</v>
      </c>
      <c r="E729" s="55" t="s">
        <v>32</v>
      </c>
      <c r="F729" s="54" t="s">
        <v>267</v>
      </c>
      <c r="G729" s="60">
        <v>0.99462358333333334</v>
      </c>
      <c r="H729" s="60">
        <v>0.96726183333333327</v>
      </c>
      <c r="I729" s="60">
        <v>1</v>
      </c>
      <c r="K729" s="64">
        <v>7098.166666666667</v>
      </c>
      <c r="M729" s="65">
        <v>0.05</v>
      </c>
      <c r="N729" s="63">
        <v>7459</v>
      </c>
    </row>
    <row r="730" spans="1:14" x14ac:dyDescent="0.25">
      <c r="A730" s="55" t="s">
        <v>88</v>
      </c>
      <c r="B730" s="55" t="s">
        <v>130</v>
      </c>
      <c r="C730" s="55" t="s">
        <v>18</v>
      </c>
      <c r="D730" s="60">
        <v>0.93333333333333335</v>
      </c>
      <c r="E730" s="55" t="s">
        <v>45</v>
      </c>
      <c r="F730" s="54" t="s">
        <v>267</v>
      </c>
      <c r="G730" s="60">
        <v>1</v>
      </c>
      <c r="H730" s="60">
        <v>0.86904733333333339</v>
      </c>
      <c r="I730" s="60">
        <v>0.66666666666666663</v>
      </c>
      <c r="K730" s="64">
        <v>8205.6666666666661</v>
      </c>
      <c r="M730" s="62"/>
      <c r="N730" s="63">
        <v>8209</v>
      </c>
    </row>
    <row r="731" spans="1:14" x14ac:dyDescent="0.25">
      <c r="A731" s="55" t="s">
        <v>88</v>
      </c>
      <c r="B731" s="55" t="s">
        <v>130</v>
      </c>
      <c r="C731" s="55" t="s">
        <v>46</v>
      </c>
      <c r="D731" s="60">
        <v>0.75</v>
      </c>
      <c r="E731" s="55" t="s">
        <v>29</v>
      </c>
      <c r="F731" s="54" t="s">
        <v>269</v>
      </c>
      <c r="G731" s="60">
        <v>0.8</v>
      </c>
      <c r="H731" s="60">
        <v>0.8</v>
      </c>
      <c r="I731" s="60">
        <v>0.75</v>
      </c>
      <c r="K731" s="64">
        <v>4726.5</v>
      </c>
      <c r="M731" s="62"/>
      <c r="N731" s="63">
        <v>4729</v>
      </c>
    </row>
    <row r="732" spans="1:14" x14ac:dyDescent="0.25">
      <c r="A732" s="55" t="s">
        <v>88</v>
      </c>
      <c r="B732" s="55" t="s">
        <v>130</v>
      </c>
      <c r="C732" s="55" t="s">
        <v>46</v>
      </c>
      <c r="D732" s="60">
        <v>0.75</v>
      </c>
      <c r="E732" s="55" t="s">
        <v>17</v>
      </c>
      <c r="F732" s="54" t="s">
        <v>269</v>
      </c>
      <c r="G732" s="60">
        <v>1</v>
      </c>
      <c r="H732" s="60">
        <v>0.84821425000000006</v>
      </c>
      <c r="I732" s="60">
        <v>0.75</v>
      </c>
      <c r="K732" s="64">
        <v>4051.5</v>
      </c>
      <c r="M732" s="62"/>
      <c r="N732" s="63">
        <v>4059</v>
      </c>
    </row>
    <row r="733" spans="1:14" x14ac:dyDescent="0.25">
      <c r="A733" s="55" t="s">
        <v>88</v>
      </c>
      <c r="B733" s="55" t="s">
        <v>147</v>
      </c>
      <c r="C733" s="55" t="s">
        <v>10</v>
      </c>
      <c r="D733" s="60">
        <v>0.82692307692307687</v>
      </c>
      <c r="E733" s="55" t="s">
        <v>30</v>
      </c>
      <c r="F733" s="54" t="s">
        <v>264</v>
      </c>
      <c r="G733" s="60">
        <v>0.87096700000000005</v>
      </c>
      <c r="H733" s="60">
        <v>0.75</v>
      </c>
      <c r="I733" s="60">
        <v>0.82352899999999996</v>
      </c>
      <c r="K733" s="64">
        <v>359</v>
      </c>
      <c r="M733" s="62"/>
      <c r="N733" s="63">
        <v>359</v>
      </c>
    </row>
    <row r="734" spans="1:14" x14ac:dyDescent="0.25">
      <c r="A734" s="55" t="s">
        <v>88</v>
      </c>
      <c r="B734" s="55" t="s">
        <v>147</v>
      </c>
      <c r="C734" s="55" t="s">
        <v>10</v>
      </c>
      <c r="D734" s="60">
        <v>0.82692307692307687</v>
      </c>
      <c r="E734" s="55" t="s">
        <v>17</v>
      </c>
      <c r="F734" s="54" t="s">
        <v>264</v>
      </c>
      <c r="G734" s="60">
        <v>0.80957332258064507</v>
      </c>
      <c r="H734" s="60">
        <v>0.89861748387096774</v>
      </c>
      <c r="I734" s="60">
        <v>0.86148006451612902</v>
      </c>
      <c r="K734" s="64">
        <v>341.25806451612902</v>
      </c>
      <c r="M734" s="62"/>
      <c r="N734" s="63">
        <v>349</v>
      </c>
    </row>
    <row r="735" spans="1:14" x14ac:dyDescent="0.25">
      <c r="A735" s="55" t="s">
        <v>88</v>
      </c>
      <c r="B735" s="55" t="s">
        <v>147</v>
      </c>
      <c r="C735" s="55" t="s">
        <v>10</v>
      </c>
      <c r="D735" s="60">
        <v>0.82692307692307687</v>
      </c>
      <c r="E735" s="55" t="s">
        <v>44</v>
      </c>
      <c r="F735" s="54" t="s">
        <v>264</v>
      </c>
      <c r="G735" s="60">
        <v>0.72419349999999993</v>
      </c>
      <c r="H735" s="60">
        <v>0.72678569999999998</v>
      </c>
      <c r="I735" s="60">
        <v>0.74117644999999999</v>
      </c>
      <c r="K735" s="64">
        <v>319</v>
      </c>
      <c r="M735" s="62"/>
      <c r="N735" s="63">
        <v>319</v>
      </c>
    </row>
    <row r="736" spans="1:14" x14ac:dyDescent="0.25">
      <c r="A736" s="55" t="s">
        <v>88</v>
      </c>
      <c r="B736" s="55" t="s">
        <v>147</v>
      </c>
      <c r="C736" s="55" t="s">
        <v>16</v>
      </c>
      <c r="D736" s="60">
        <v>0.8571428571428571</v>
      </c>
      <c r="E736" s="55" t="s">
        <v>17</v>
      </c>
      <c r="F736" s="54" t="s">
        <v>266</v>
      </c>
      <c r="G736" s="60">
        <v>0.78279566666666667</v>
      </c>
      <c r="H736" s="60">
        <v>0.73809520000000006</v>
      </c>
      <c r="I736" s="60">
        <v>0.75294113333333335</v>
      </c>
      <c r="K736" s="64">
        <v>5732.333333333333</v>
      </c>
      <c r="M736" s="62"/>
      <c r="N736" s="63">
        <v>5739</v>
      </c>
    </row>
    <row r="737" spans="1:14" x14ac:dyDescent="0.25">
      <c r="A737" s="55" t="s">
        <v>88</v>
      </c>
      <c r="B737" s="55" t="s">
        <v>147</v>
      </c>
      <c r="C737" s="55" t="s">
        <v>16</v>
      </c>
      <c r="D737" s="60">
        <v>0.8571428571428571</v>
      </c>
      <c r="E737" s="55" t="s">
        <v>44</v>
      </c>
      <c r="F737" s="54" t="s">
        <v>266</v>
      </c>
      <c r="G737" s="60">
        <v>0.66935475</v>
      </c>
      <c r="H737" s="60">
        <v>0.66071424999999995</v>
      </c>
      <c r="I737" s="60">
        <v>1</v>
      </c>
      <c r="K737" s="64">
        <v>6149</v>
      </c>
      <c r="M737" s="62"/>
      <c r="N737" s="63">
        <v>6149</v>
      </c>
    </row>
    <row r="738" spans="1:14" x14ac:dyDescent="0.25">
      <c r="A738" s="55" t="s">
        <v>88</v>
      </c>
      <c r="B738" s="55" t="s">
        <v>147</v>
      </c>
      <c r="C738" s="55" t="s">
        <v>18</v>
      </c>
      <c r="D738" s="60">
        <v>0.93333333333333335</v>
      </c>
      <c r="E738" s="55" t="s">
        <v>32</v>
      </c>
      <c r="F738" s="54" t="s">
        <v>267</v>
      </c>
      <c r="G738" s="60">
        <v>0.8897849166666667</v>
      </c>
      <c r="H738" s="60">
        <v>0.88988091666666669</v>
      </c>
      <c r="I738" s="60">
        <v>1</v>
      </c>
      <c r="K738" s="64">
        <v>7879</v>
      </c>
      <c r="M738" s="65">
        <v>1.4999999999999999E-2</v>
      </c>
      <c r="N738" s="63">
        <v>7999</v>
      </c>
    </row>
    <row r="739" spans="1:14" x14ac:dyDescent="0.25">
      <c r="A739" s="55" t="s">
        <v>88</v>
      </c>
      <c r="B739" s="55" t="s">
        <v>147</v>
      </c>
      <c r="C739" s="55" t="s">
        <v>18</v>
      </c>
      <c r="D739" s="60">
        <v>0.93333333333333335</v>
      </c>
      <c r="E739" s="55" t="s">
        <v>45</v>
      </c>
      <c r="F739" s="54" t="s">
        <v>267</v>
      </c>
      <c r="G739" s="60">
        <v>0.47311799999999998</v>
      </c>
      <c r="H739" s="60">
        <v>0.6785713333333333</v>
      </c>
      <c r="I739" s="60">
        <v>0.64705866666666667</v>
      </c>
      <c r="K739" s="64">
        <v>8879</v>
      </c>
      <c r="M739" s="62"/>
      <c r="N739" s="63">
        <v>8879</v>
      </c>
    </row>
    <row r="740" spans="1:14" x14ac:dyDescent="0.25">
      <c r="A740" s="55" t="s">
        <v>88</v>
      </c>
      <c r="B740" s="55" t="s">
        <v>147</v>
      </c>
      <c r="C740" s="55" t="s">
        <v>16</v>
      </c>
      <c r="D740" s="60">
        <v>0.8571428571428571</v>
      </c>
      <c r="E740" s="55" t="s">
        <v>58</v>
      </c>
      <c r="F740" s="54" t="s">
        <v>266</v>
      </c>
      <c r="G740" s="60">
        <v>1</v>
      </c>
      <c r="H740" s="60">
        <v>1</v>
      </c>
      <c r="I740" s="60">
        <v>1</v>
      </c>
      <c r="K740" s="64">
        <v>6579</v>
      </c>
      <c r="M740" s="65">
        <v>2.5000000000000001E-2</v>
      </c>
      <c r="N740" s="63">
        <v>6749</v>
      </c>
    </row>
    <row r="741" spans="1:14" x14ac:dyDescent="0.25">
      <c r="A741" s="55" t="s">
        <v>88</v>
      </c>
      <c r="B741" s="55" t="s">
        <v>147</v>
      </c>
      <c r="C741" s="55" t="s">
        <v>16</v>
      </c>
      <c r="D741" s="60">
        <v>0.8571428571428571</v>
      </c>
      <c r="E741" s="55" t="s">
        <v>60</v>
      </c>
      <c r="F741" s="54" t="s">
        <v>266</v>
      </c>
      <c r="G741" s="60">
        <v>1</v>
      </c>
      <c r="H741" s="60">
        <v>1</v>
      </c>
      <c r="I741" s="60">
        <v>1</v>
      </c>
      <c r="K741" s="64">
        <v>5619</v>
      </c>
      <c r="M741" s="65">
        <v>2.5000000000000001E-2</v>
      </c>
      <c r="N741" s="63">
        <v>5759</v>
      </c>
    </row>
    <row r="742" spans="1:14" x14ac:dyDescent="0.25">
      <c r="A742" s="55" t="s">
        <v>88</v>
      </c>
      <c r="B742" s="55" t="s">
        <v>147</v>
      </c>
      <c r="C742" s="55" t="s">
        <v>59</v>
      </c>
      <c r="D742" s="60">
        <v>0.95652173913043481</v>
      </c>
      <c r="E742" s="55" t="s">
        <v>148</v>
      </c>
      <c r="F742" s="54" t="s">
        <v>269</v>
      </c>
      <c r="G742" s="60">
        <v>1</v>
      </c>
      <c r="H742" s="60">
        <v>1</v>
      </c>
      <c r="I742" s="60">
        <v>1</v>
      </c>
      <c r="K742" s="64">
        <v>5249</v>
      </c>
      <c r="M742" s="65">
        <v>2.5000000000000001E-2</v>
      </c>
      <c r="N742" s="63">
        <v>5389</v>
      </c>
    </row>
    <row r="743" spans="1:14" x14ac:dyDescent="0.25">
      <c r="A743" s="55" t="s">
        <v>88</v>
      </c>
      <c r="B743" s="55" t="s">
        <v>147</v>
      </c>
      <c r="C743" s="55" t="s">
        <v>59</v>
      </c>
      <c r="D743" s="60">
        <v>0.95652173913043481</v>
      </c>
      <c r="E743" s="55" t="s">
        <v>58</v>
      </c>
      <c r="F743" s="54" t="s">
        <v>269</v>
      </c>
      <c r="G743" s="60">
        <v>0.94265227777777783</v>
      </c>
      <c r="H743" s="60">
        <v>0.94841266666666657</v>
      </c>
      <c r="I743" s="60">
        <v>0.94444438888888882</v>
      </c>
      <c r="K743" s="64">
        <v>4144.7894736842109</v>
      </c>
      <c r="M743" s="65">
        <v>2.5000000000000001E-2</v>
      </c>
      <c r="N743" s="63">
        <v>4249</v>
      </c>
    </row>
    <row r="744" spans="1:14" x14ac:dyDescent="0.25">
      <c r="A744" s="55" t="s">
        <v>88</v>
      </c>
      <c r="B744" s="55" t="s">
        <v>147</v>
      </c>
      <c r="C744" s="55" t="s">
        <v>59</v>
      </c>
      <c r="D744" s="60">
        <v>0.95652173913043481</v>
      </c>
      <c r="E744" s="55" t="s">
        <v>60</v>
      </c>
      <c r="F744" s="54" t="s">
        <v>269</v>
      </c>
      <c r="G744" s="60">
        <v>1</v>
      </c>
      <c r="H744" s="60">
        <v>1</v>
      </c>
      <c r="I744" s="60">
        <v>1</v>
      </c>
      <c r="K744" s="64">
        <v>3289</v>
      </c>
      <c r="M744" s="65">
        <v>2.5000000000000001E-2</v>
      </c>
      <c r="N744" s="63">
        <v>3379</v>
      </c>
    </row>
    <row r="745" spans="1:14" x14ac:dyDescent="0.25">
      <c r="A745" s="55" t="s">
        <v>88</v>
      </c>
      <c r="B745" s="55" t="s">
        <v>162</v>
      </c>
      <c r="C745" s="55" t="s">
        <v>10</v>
      </c>
      <c r="D745" s="60">
        <v>0.9375</v>
      </c>
      <c r="E745" s="55" t="s">
        <v>11</v>
      </c>
      <c r="F745" s="54" t="s">
        <v>264</v>
      </c>
      <c r="G745" s="60">
        <v>0.92580639999999992</v>
      </c>
      <c r="H745" s="60">
        <v>0.91785709999999998</v>
      </c>
      <c r="I745" s="60">
        <v>0.93529409999999991</v>
      </c>
      <c r="K745" s="64">
        <v>329</v>
      </c>
      <c r="M745" s="62"/>
      <c r="N745" s="63">
        <v>329</v>
      </c>
    </row>
    <row r="746" spans="1:14" x14ac:dyDescent="0.25">
      <c r="A746" s="55" t="s">
        <v>88</v>
      </c>
      <c r="B746" s="55" t="s">
        <v>162</v>
      </c>
      <c r="C746" s="55" t="s">
        <v>10</v>
      </c>
      <c r="D746" s="60">
        <v>0.9375</v>
      </c>
      <c r="E746" s="55" t="s">
        <v>12</v>
      </c>
      <c r="F746" s="54" t="s">
        <v>264</v>
      </c>
      <c r="G746" s="60">
        <v>0.97695850000000006</v>
      </c>
      <c r="H746" s="60">
        <v>0.97576528571428578</v>
      </c>
      <c r="I746" s="60">
        <v>0.95378149999999995</v>
      </c>
      <c r="K746" s="64">
        <v>299</v>
      </c>
      <c r="M746" s="62"/>
      <c r="N746" s="63">
        <v>299</v>
      </c>
    </row>
    <row r="747" spans="1:14" x14ac:dyDescent="0.25">
      <c r="A747" s="55" t="s">
        <v>88</v>
      </c>
      <c r="B747" s="55" t="s">
        <v>162</v>
      </c>
      <c r="C747" s="55" t="s">
        <v>13</v>
      </c>
      <c r="D747" s="60">
        <v>0.9285714285714286</v>
      </c>
      <c r="E747" s="55" t="s">
        <v>83</v>
      </c>
      <c r="F747" s="54" t="s">
        <v>265</v>
      </c>
      <c r="G747" s="60">
        <v>0.99078335714285715</v>
      </c>
      <c r="H747" s="60">
        <v>0.98469385714285718</v>
      </c>
      <c r="I747" s="60">
        <v>0.97478985714285715</v>
      </c>
      <c r="K747" s="64">
        <v>319</v>
      </c>
      <c r="M747" s="62"/>
      <c r="N747" s="63">
        <v>319</v>
      </c>
    </row>
    <row r="748" spans="1:14" x14ac:dyDescent="0.25">
      <c r="A748" s="55" t="s">
        <v>88</v>
      </c>
      <c r="B748" s="55" t="s">
        <v>162</v>
      </c>
      <c r="C748" s="55" t="s">
        <v>10</v>
      </c>
      <c r="D748" s="60">
        <v>0.9375</v>
      </c>
      <c r="E748" s="55" t="s">
        <v>51</v>
      </c>
      <c r="F748" s="54" t="s">
        <v>264</v>
      </c>
      <c r="G748" s="60">
        <v>0.81290320000000005</v>
      </c>
      <c r="H748" s="60">
        <v>0.89642850000000007</v>
      </c>
      <c r="I748" s="60">
        <v>0.9</v>
      </c>
      <c r="K748" s="64">
        <v>529</v>
      </c>
      <c r="M748" s="62"/>
      <c r="N748" s="63">
        <v>529</v>
      </c>
    </row>
    <row r="749" spans="1:14" x14ac:dyDescent="0.25">
      <c r="A749" s="55" t="s">
        <v>88</v>
      </c>
      <c r="B749" s="55" t="s">
        <v>163</v>
      </c>
      <c r="C749" s="55" t="s">
        <v>10</v>
      </c>
      <c r="D749" s="60">
        <v>0.8928571428571429</v>
      </c>
      <c r="E749" s="55" t="s">
        <v>17</v>
      </c>
      <c r="F749" s="54" t="s">
        <v>264</v>
      </c>
      <c r="G749" s="60">
        <v>0.95920294117647065</v>
      </c>
      <c r="H749" s="60">
        <v>0.9789915588235294</v>
      </c>
      <c r="I749" s="60">
        <v>0.94290652941176467</v>
      </c>
      <c r="K749" s="64">
        <v>370.76470588235293</v>
      </c>
      <c r="M749" s="62"/>
      <c r="N749" s="63">
        <v>379</v>
      </c>
    </row>
    <row r="750" spans="1:14" x14ac:dyDescent="0.25">
      <c r="A750" s="55" t="s">
        <v>88</v>
      </c>
      <c r="B750" s="55" t="s">
        <v>163</v>
      </c>
      <c r="C750" s="55" t="s">
        <v>10</v>
      </c>
      <c r="D750" s="60">
        <v>0.8928571428571429</v>
      </c>
      <c r="E750" s="55" t="s">
        <v>44</v>
      </c>
      <c r="F750" s="54" t="s">
        <v>264</v>
      </c>
      <c r="G750" s="60">
        <v>0.97258054999999999</v>
      </c>
      <c r="H750" s="60">
        <v>0.96428565000000011</v>
      </c>
      <c r="I750" s="60">
        <v>0.94999994999999993</v>
      </c>
      <c r="K750" s="64">
        <v>321</v>
      </c>
      <c r="M750" s="62"/>
      <c r="N750" s="63">
        <v>329</v>
      </c>
    </row>
    <row r="751" spans="1:14" x14ac:dyDescent="0.25">
      <c r="A751" s="55" t="s">
        <v>88</v>
      </c>
      <c r="B751" s="55" t="s">
        <v>163</v>
      </c>
      <c r="C751" s="55" t="s">
        <v>10</v>
      </c>
      <c r="D751" s="60">
        <v>0.8928571428571429</v>
      </c>
      <c r="E751" s="55" t="s">
        <v>30</v>
      </c>
      <c r="F751" s="54" t="s">
        <v>264</v>
      </c>
      <c r="G751" s="60">
        <v>0.85483799999999999</v>
      </c>
      <c r="H751" s="60">
        <v>1</v>
      </c>
      <c r="I751" s="60">
        <v>0.94117600000000001</v>
      </c>
      <c r="K751" s="64">
        <v>439</v>
      </c>
      <c r="M751" s="62"/>
      <c r="N751" s="63">
        <v>439</v>
      </c>
    </row>
    <row r="752" spans="1:14" x14ac:dyDescent="0.25">
      <c r="A752" s="55" t="s">
        <v>88</v>
      </c>
      <c r="B752" s="55" t="s">
        <v>163</v>
      </c>
      <c r="C752" s="55" t="s">
        <v>16</v>
      </c>
      <c r="D752" s="60">
        <v>1</v>
      </c>
      <c r="E752" s="55" t="s">
        <v>17</v>
      </c>
      <c r="F752" s="54" t="s">
        <v>266</v>
      </c>
      <c r="G752" s="60">
        <v>1</v>
      </c>
      <c r="H752" s="60">
        <v>0.98809520000000006</v>
      </c>
      <c r="I752" s="60">
        <v>1</v>
      </c>
      <c r="K752" s="64">
        <v>6051.666666666667</v>
      </c>
      <c r="M752" s="65">
        <v>2.5000000000000001E-2</v>
      </c>
      <c r="N752" s="63">
        <v>6209</v>
      </c>
    </row>
    <row r="753" spans="1:14" x14ac:dyDescent="0.25">
      <c r="A753" s="55" t="s">
        <v>88</v>
      </c>
      <c r="B753" s="55" t="s">
        <v>163</v>
      </c>
      <c r="C753" s="55" t="s">
        <v>16</v>
      </c>
      <c r="D753" s="60">
        <v>1</v>
      </c>
      <c r="E753" s="55" t="s">
        <v>44</v>
      </c>
      <c r="F753" s="54" t="s">
        <v>266</v>
      </c>
      <c r="G753" s="60">
        <v>1</v>
      </c>
      <c r="H753" s="60">
        <v>1</v>
      </c>
      <c r="I753" s="60">
        <v>1</v>
      </c>
      <c r="K753" s="64">
        <v>7074</v>
      </c>
      <c r="M753" s="62"/>
      <c r="N753" s="63">
        <v>7079</v>
      </c>
    </row>
    <row r="754" spans="1:14" x14ac:dyDescent="0.25">
      <c r="A754" s="55" t="s">
        <v>88</v>
      </c>
      <c r="B754" s="55" t="s">
        <v>163</v>
      </c>
      <c r="C754" s="55" t="s">
        <v>18</v>
      </c>
      <c r="D754" s="60">
        <v>0.93333333333333335</v>
      </c>
      <c r="E754" s="55" t="s">
        <v>67</v>
      </c>
      <c r="F754" s="54" t="s">
        <v>267</v>
      </c>
      <c r="G754" s="60">
        <v>0.99462358333333334</v>
      </c>
      <c r="H754" s="60">
        <v>0.98511899999999997</v>
      </c>
      <c r="I754" s="60">
        <v>0.94117641666666663</v>
      </c>
      <c r="K754" s="64">
        <v>6847.333333333333</v>
      </c>
      <c r="M754" s="65">
        <v>2.1999999999999999E-2</v>
      </c>
      <c r="N754" s="63">
        <v>6999</v>
      </c>
    </row>
    <row r="755" spans="1:14" x14ac:dyDescent="0.25">
      <c r="A755" s="55" t="s">
        <v>88</v>
      </c>
      <c r="B755" s="55" t="s">
        <v>163</v>
      </c>
      <c r="C755" s="55" t="s">
        <v>18</v>
      </c>
      <c r="D755" s="60">
        <v>0.93333333333333335</v>
      </c>
      <c r="E755" s="55" t="s">
        <v>68</v>
      </c>
      <c r="F755" s="54" t="s">
        <v>267</v>
      </c>
      <c r="G755" s="60">
        <v>1</v>
      </c>
      <c r="H755" s="60">
        <v>1</v>
      </c>
      <c r="I755" s="60">
        <v>0.92156833333333343</v>
      </c>
      <c r="K755" s="64">
        <v>7942.333333333333</v>
      </c>
      <c r="M755" s="65">
        <v>7.0000000000000001E-3</v>
      </c>
      <c r="N755" s="63">
        <v>7999</v>
      </c>
    </row>
    <row r="756" spans="1:14" x14ac:dyDescent="0.25">
      <c r="A756" s="55" t="s">
        <v>88</v>
      </c>
      <c r="B756" s="55" t="s">
        <v>198</v>
      </c>
      <c r="C756" s="55" t="s">
        <v>10</v>
      </c>
      <c r="D756" s="60">
        <v>0.89655172413793105</v>
      </c>
      <c r="E756" s="55" t="s">
        <v>17</v>
      </c>
      <c r="F756" s="54" t="s">
        <v>264</v>
      </c>
      <c r="G756" s="60">
        <v>0.91720419999999991</v>
      </c>
      <c r="H756" s="60">
        <v>0.94523800000000002</v>
      </c>
      <c r="I756" s="60">
        <v>0.92745090000000008</v>
      </c>
      <c r="K756" s="64">
        <v>366.66666666666669</v>
      </c>
      <c r="M756" s="62"/>
      <c r="N756" s="63">
        <v>369</v>
      </c>
    </row>
    <row r="757" spans="1:14" x14ac:dyDescent="0.25">
      <c r="A757" s="55" t="s">
        <v>88</v>
      </c>
      <c r="B757" s="55" t="s">
        <v>198</v>
      </c>
      <c r="C757" s="55" t="s">
        <v>10</v>
      </c>
      <c r="D757" s="60">
        <v>0.89655172413793105</v>
      </c>
      <c r="E757" s="55" t="s">
        <v>44</v>
      </c>
      <c r="F757" s="54" t="s">
        <v>264</v>
      </c>
      <c r="G757" s="60">
        <v>0.68279566666666669</v>
      </c>
      <c r="H757" s="60">
        <v>0.82738091666666669</v>
      </c>
      <c r="I757" s="60">
        <v>0.86519600000000008</v>
      </c>
      <c r="K757" s="64">
        <v>319</v>
      </c>
      <c r="M757" s="62"/>
      <c r="N757" s="63">
        <v>319</v>
      </c>
    </row>
    <row r="758" spans="1:14" x14ac:dyDescent="0.25">
      <c r="A758" s="55" t="s">
        <v>88</v>
      </c>
      <c r="B758" s="55" t="s">
        <v>198</v>
      </c>
      <c r="C758" s="55" t="s">
        <v>10</v>
      </c>
      <c r="D758" s="60">
        <v>0.89655172413793105</v>
      </c>
      <c r="E758" s="55" t="s">
        <v>30</v>
      </c>
      <c r="F758" s="54" t="s">
        <v>264</v>
      </c>
      <c r="G758" s="60">
        <v>0.65322575000000005</v>
      </c>
      <c r="H758" s="60">
        <v>0.99107124999999996</v>
      </c>
      <c r="I758" s="60">
        <v>0.83823524999999999</v>
      </c>
      <c r="K758" s="64">
        <v>399</v>
      </c>
      <c r="M758" s="62"/>
      <c r="N758" s="63">
        <v>399</v>
      </c>
    </row>
    <row r="759" spans="1:14" x14ac:dyDescent="0.25">
      <c r="A759" s="55" t="s">
        <v>88</v>
      </c>
      <c r="B759" s="55" t="s">
        <v>198</v>
      </c>
      <c r="C759" s="55" t="s">
        <v>16</v>
      </c>
      <c r="D759" s="60">
        <v>1</v>
      </c>
      <c r="E759" s="55" t="s">
        <v>17</v>
      </c>
      <c r="F759" s="54" t="s">
        <v>266</v>
      </c>
      <c r="G759" s="60">
        <v>0.90967726666666671</v>
      </c>
      <c r="H759" s="60">
        <v>0.91428559999999992</v>
      </c>
      <c r="I759" s="60">
        <v>1</v>
      </c>
      <c r="K759" s="64">
        <v>5430.333333333333</v>
      </c>
      <c r="M759" s="65">
        <v>2.5000000000000001E-2</v>
      </c>
      <c r="N759" s="63">
        <v>5569</v>
      </c>
    </row>
    <row r="760" spans="1:14" x14ac:dyDescent="0.25">
      <c r="A760" s="55" t="s">
        <v>88</v>
      </c>
      <c r="B760" s="55" t="s">
        <v>198</v>
      </c>
      <c r="C760" s="55" t="s">
        <v>16</v>
      </c>
      <c r="D760" s="60">
        <v>1</v>
      </c>
      <c r="E760" s="55" t="s">
        <v>44</v>
      </c>
      <c r="F760" s="54" t="s">
        <v>266</v>
      </c>
      <c r="G760" s="60">
        <v>1</v>
      </c>
      <c r="H760" s="60">
        <v>1</v>
      </c>
      <c r="I760" s="60">
        <v>1</v>
      </c>
      <c r="K760" s="64">
        <v>6329</v>
      </c>
      <c r="M760" s="65">
        <v>2.5000000000000001E-2</v>
      </c>
      <c r="N760" s="63">
        <v>6489</v>
      </c>
    </row>
    <row r="761" spans="1:14" x14ac:dyDescent="0.25">
      <c r="A761" s="55" t="s">
        <v>88</v>
      </c>
      <c r="B761" s="55" t="s">
        <v>198</v>
      </c>
      <c r="C761" s="55" t="s">
        <v>18</v>
      </c>
      <c r="D761" s="60">
        <v>0.8666666666666667</v>
      </c>
      <c r="E761" s="55" t="s">
        <v>67</v>
      </c>
      <c r="F761" s="54" t="s">
        <v>267</v>
      </c>
      <c r="G761" s="60">
        <v>0.82258058333333339</v>
      </c>
      <c r="H761" s="60">
        <v>0.99404750000000008</v>
      </c>
      <c r="I761" s="60">
        <v>0.97549016666666655</v>
      </c>
      <c r="K761" s="64">
        <v>6799.833333333333</v>
      </c>
      <c r="M761" s="62"/>
      <c r="N761" s="63">
        <v>6799</v>
      </c>
    </row>
    <row r="762" spans="1:14" x14ac:dyDescent="0.25">
      <c r="A762" s="55" t="s">
        <v>88</v>
      </c>
      <c r="B762" s="55" t="s">
        <v>198</v>
      </c>
      <c r="C762" s="55" t="s">
        <v>18</v>
      </c>
      <c r="D762" s="60">
        <v>0.8666666666666667</v>
      </c>
      <c r="E762" s="55" t="s">
        <v>68</v>
      </c>
      <c r="F762" s="54" t="s">
        <v>267</v>
      </c>
      <c r="G762" s="60">
        <v>0.38709666666666664</v>
      </c>
      <c r="H762" s="60">
        <v>0.73809500000000006</v>
      </c>
      <c r="I762" s="60">
        <v>0.62745066666666671</v>
      </c>
      <c r="K762" s="64">
        <v>7765.666666666667</v>
      </c>
      <c r="M762" s="62"/>
      <c r="N762" s="63">
        <v>7769</v>
      </c>
    </row>
    <row r="763" spans="1:14" x14ac:dyDescent="0.25">
      <c r="A763" s="55" t="s">
        <v>88</v>
      </c>
      <c r="B763" s="55" t="s">
        <v>198</v>
      </c>
      <c r="C763" s="55" t="s">
        <v>16</v>
      </c>
      <c r="D763" s="60">
        <v>1</v>
      </c>
      <c r="E763" s="55" t="s">
        <v>58</v>
      </c>
      <c r="F763" s="54" t="s">
        <v>266</v>
      </c>
      <c r="G763" s="60">
        <v>1</v>
      </c>
      <c r="H763" s="60">
        <v>1</v>
      </c>
      <c r="I763" s="60">
        <v>1</v>
      </c>
      <c r="K763" s="64">
        <v>6436.5</v>
      </c>
      <c r="M763" s="65">
        <v>0.05</v>
      </c>
      <c r="N763" s="63">
        <v>6759</v>
      </c>
    </row>
    <row r="764" spans="1:14" x14ac:dyDescent="0.25">
      <c r="A764" s="55" t="s">
        <v>88</v>
      </c>
      <c r="B764" s="55" t="s">
        <v>198</v>
      </c>
      <c r="C764" s="55" t="s">
        <v>46</v>
      </c>
      <c r="D764" s="60">
        <v>0.8666666666666667</v>
      </c>
      <c r="E764" s="55" t="s">
        <v>29</v>
      </c>
      <c r="F764" s="54" t="s">
        <v>269</v>
      </c>
      <c r="G764" s="60">
        <v>1</v>
      </c>
      <c r="H764" s="60">
        <v>0.91785709999999998</v>
      </c>
      <c r="I764" s="60">
        <v>0.80588230000000005</v>
      </c>
      <c r="K764" s="64">
        <v>3554</v>
      </c>
      <c r="M764" s="65"/>
      <c r="N764" s="63">
        <v>3559</v>
      </c>
    </row>
    <row r="765" spans="1:14" x14ac:dyDescent="0.25">
      <c r="A765" s="55" t="s">
        <v>88</v>
      </c>
      <c r="B765" s="55" t="s">
        <v>198</v>
      </c>
      <c r="C765" s="55" t="s">
        <v>46</v>
      </c>
      <c r="D765" s="60">
        <v>0.8666666666666667</v>
      </c>
      <c r="E765" s="55" t="s">
        <v>17</v>
      </c>
      <c r="F765" s="54" t="s">
        <v>269</v>
      </c>
      <c r="G765" s="60">
        <v>0.87096750000000001</v>
      </c>
      <c r="H765" s="60">
        <v>0.77678550000000002</v>
      </c>
      <c r="I765" s="60">
        <v>1</v>
      </c>
      <c r="K765" s="64">
        <v>3084</v>
      </c>
      <c r="M765" s="62"/>
      <c r="N765" s="63">
        <v>3089</v>
      </c>
    </row>
    <row r="766" spans="1:14" x14ac:dyDescent="0.25">
      <c r="A766" s="55" t="s">
        <v>88</v>
      </c>
      <c r="B766" s="55" t="s">
        <v>198</v>
      </c>
      <c r="C766" s="55" t="s">
        <v>59</v>
      </c>
      <c r="D766" s="60">
        <v>0.8666666666666667</v>
      </c>
      <c r="E766" s="55" t="s">
        <v>58</v>
      </c>
      <c r="F766" s="54" t="s">
        <v>269</v>
      </c>
      <c r="G766" s="60">
        <v>0.76136370441633872</v>
      </c>
      <c r="H766" s="60">
        <v>0.64583310243045944</v>
      </c>
      <c r="I766" s="60">
        <v>1</v>
      </c>
      <c r="K766" s="64">
        <v>4074</v>
      </c>
      <c r="M766" s="62"/>
      <c r="N766" s="63">
        <v>4079</v>
      </c>
    </row>
    <row r="767" spans="1:14" x14ac:dyDescent="0.25">
      <c r="A767" s="55" t="s">
        <v>88</v>
      </c>
      <c r="B767" s="55" t="s">
        <v>211</v>
      </c>
      <c r="C767" s="55" t="s">
        <v>10</v>
      </c>
      <c r="D767" s="60">
        <v>0.93103448275862066</v>
      </c>
      <c r="E767" s="55" t="s">
        <v>17</v>
      </c>
      <c r="F767" s="54" t="s">
        <v>264</v>
      </c>
      <c r="G767" s="60">
        <v>0.95730538235294116</v>
      </c>
      <c r="H767" s="60">
        <v>0.95588229411764725</v>
      </c>
      <c r="I767" s="60">
        <v>0.94982694117647071</v>
      </c>
      <c r="K767" s="64">
        <v>363.70588235294116</v>
      </c>
      <c r="M767" s="65">
        <v>2.5000000000000001E-2</v>
      </c>
      <c r="N767" s="63">
        <v>379</v>
      </c>
    </row>
    <row r="768" spans="1:14" x14ac:dyDescent="0.25">
      <c r="A768" s="55" t="s">
        <v>88</v>
      </c>
      <c r="B768" s="55" t="s">
        <v>211</v>
      </c>
      <c r="C768" s="55" t="s">
        <v>10</v>
      </c>
      <c r="D768" s="60">
        <v>0.93103448275862066</v>
      </c>
      <c r="E768" s="55" t="s">
        <v>12</v>
      </c>
      <c r="F768" s="54" t="s">
        <v>264</v>
      </c>
      <c r="G768" s="60">
        <v>0.92943543750000002</v>
      </c>
      <c r="H768" s="60">
        <v>0.96205356249999996</v>
      </c>
      <c r="I768" s="60">
        <v>0.91176468749999995</v>
      </c>
      <c r="K768" s="64">
        <v>349</v>
      </c>
      <c r="M768" s="65">
        <v>2.5000000000000001E-2</v>
      </c>
      <c r="N768" s="63">
        <v>359</v>
      </c>
    </row>
    <row r="769" spans="1:14" x14ac:dyDescent="0.25">
      <c r="A769" s="55" t="s">
        <v>88</v>
      </c>
      <c r="B769" s="55" t="s">
        <v>211</v>
      </c>
      <c r="C769" s="55" t="s">
        <v>10</v>
      </c>
      <c r="D769" s="60">
        <v>0.93103448275862066</v>
      </c>
      <c r="E769" s="55" t="s">
        <v>44</v>
      </c>
      <c r="F769" s="54" t="s">
        <v>264</v>
      </c>
      <c r="G769" s="60">
        <v>1</v>
      </c>
      <c r="H769" s="60">
        <v>0.98660712499999992</v>
      </c>
      <c r="I769" s="60">
        <v>1</v>
      </c>
      <c r="K769" s="64">
        <v>334</v>
      </c>
      <c r="M769" s="65">
        <v>2.5000000000000001E-2</v>
      </c>
      <c r="N769" s="63">
        <v>349</v>
      </c>
    </row>
    <row r="770" spans="1:14" x14ac:dyDescent="0.25">
      <c r="A770" s="55" t="s">
        <v>88</v>
      </c>
      <c r="B770" s="55" t="s">
        <v>211</v>
      </c>
      <c r="C770" s="55" t="s">
        <v>16</v>
      </c>
      <c r="D770" s="60">
        <v>0.78947368421052633</v>
      </c>
      <c r="E770" s="55" t="s">
        <v>17</v>
      </c>
      <c r="F770" s="54" t="s">
        <v>266</v>
      </c>
      <c r="G770" s="60">
        <v>0.88387093333333344</v>
      </c>
      <c r="H770" s="60">
        <v>0.85714280000000009</v>
      </c>
      <c r="I770" s="60">
        <v>0.80392153333333338</v>
      </c>
      <c r="K770" s="64">
        <v>6177.666666666667</v>
      </c>
      <c r="M770" s="62"/>
      <c r="N770" s="63">
        <v>6179</v>
      </c>
    </row>
    <row r="771" spans="1:14" x14ac:dyDescent="0.25">
      <c r="A771" s="55" t="s">
        <v>88</v>
      </c>
      <c r="B771" s="55" t="s">
        <v>211</v>
      </c>
      <c r="C771" s="55" t="s">
        <v>16</v>
      </c>
      <c r="D771" s="60">
        <v>0.78947368421052633</v>
      </c>
      <c r="E771" s="55" t="s">
        <v>44</v>
      </c>
      <c r="F771" s="54" t="s">
        <v>266</v>
      </c>
      <c r="G771" s="60">
        <v>0.87903224999999996</v>
      </c>
      <c r="H771" s="60">
        <v>0.75</v>
      </c>
      <c r="I771" s="60">
        <v>0.75</v>
      </c>
      <c r="K771" s="64">
        <v>6919</v>
      </c>
      <c r="M771" s="62"/>
      <c r="N771" s="63">
        <v>6919</v>
      </c>
    </row>
    <row r="772" spans="1:14" x14ac:dyDescent="0.25">
      <c r="A772" s="55" t="s">
        <v>88</v>
      </c>
      <c r="B772" s="55" t="s">
        <v>211</v>
      </c>
      <c r="C772" s="55" t="s">
        <v>18</v>
      </c>
      <c r="D772" s="60">
        <v>0.8666666666666667</v>
      </c>
      <c r="E772" s="55" t="s">
        <v>67</v>
      </c>
      <c r="F772" s="54" t="s">
        <v>267</v>
      </c>
      <c r="G772" s="60">
        <v>0.73655908333333331</v>
      </c>
      <c r="H772" s="60">
        <v>0.74702374999999999</v>
      </c>
      <c r="I772" s="60">
        <v>0.79411758333333327</v>
      </c>
      <c r="K772" s="64">
        <v>7807.333333333333</v>
      </c>
      <c r="M772" s="62"/>
      <c r="N772" s="63">
        <v>7809</v>
      </c>
    </row>
    <row r="773" spans="1:14" x14ac:dyDescent="0.25">
      <c r="A773" s="55" t="s">
        <v>88</v>
      </c>
      <c r="B773" s="55" t="s">
        <v>211</v>
      </c>
      <c r="C773" s="55" t="s">
        <v>18</v>
      </c>
      <c r="D773" s="60">
        <v>0.8666666666666667</v>
      </c>
      <c r="E773" s="55" t="s">
        <v>68</v>
      </c>
      <c r="F773" s="54" t="s">
        <v>267</v>
      </c>
      <c r="G773" s="60">
        <v>0.66666666666666663</v>
      </c>
      <c r="H773" s="60">
        <v>0.73809499999999995</v>
      </c>
      <c r="I773" s="60">
        <v>1</v>
      </c>
      <c r="K773" s="64">
        <v>8565.6666666666661</v>
      </c>
      <c r="M773" s="62"/>
      <c r="N773" s="63">
        <v>8569</v>
      </c>
    </row>
    <row r="774" spans="1:14" x14ac:dyDescent="0.25">
      <c r="A774" s="55" t="s">
        <v>88</v>
      </c>
      <c r="B774" s="55" t="s">
        <v>211</v>
      </c>
      <c r="C774" s="55" t="s">
        <v>46</v>
      </c>
      <c r="D774" s="60">
        <v>0.77272727272727271</v>
      </c>
      <c r="E774" s="55" t="s">
        <v>29</v>
      </c>
      <c r="F774" s="54" t="s">
        <v>269</v>
      </c>
      <c r="G774" s="60">
        <v>0.76881716666666666</v>
      </c>
      <c r="H774" s="60">
        <v>0.77777777777777779</v>
      </c>
      <c r="I774" s="60">
        <v>0.77777777777777779</v>
      </c>
      <c r="K774" s="64">
        <v>4479</v>
      </c>
      <c r="M774" s="65"/>
      <c r="N774" s="63">
        <v>4479</v>
      </c>
    </row>
    <row r="775" spans="1:14" x14ac:dyDescent="0.25">
      <c r="A775" s="55" t="s">
        <v>88</v>
      </c>
      <c r="B775" s="55" t="s">
        <v>211</v>
      </c>
      <c r="C775" s="55" t="s">
        <v>46</v>
      </c>
      <c r="D775" s="60">
        <v>0.77272727272727271</v>
      </c>
      <c r="E775" s="55" t="s">
        <v>17</v>
      </c>
      <c r="F775" s="54" t="s">
        <v>269</v>
      </c>
      <c r="G775" s="60">
        <v>0.75</v>
      </c>
      <c r="H775" s="60">
        <v>0.75</v>
      </c>
      <c r="I775" s="60">
        <v>0.75</v>
      </c>
      <c r="K775" s="64">
        <v>3449</v>
      </c>
      <c r="M775" s="62"/>
      <c r="N775" s="63">
        <v>3449</v>
      </c>
    </row>
    <row r="776" spans="1:14" x14ac:dyDescent="0.25">
      <c r="A776" s="55" t="s">
        <v>88</v>
      </c>
      <c r="B776" s="55" t="s">
        <v>250</v>
      </c>
      <c r="C776" s="55" t="s">
        <v>10</v>
      </c>
      <c r="D776" s="60">
        <v>0.92727272727272725</v>
      </c>
      <c r="E776" s="55" t="s">
        <v>11</v>
      </c>
      <c r="F776" s="54" t="s">
        <v>264</v>
      </c>
      <c r="G776" s="60">
        <v>0.94377879999999992</v>
      </c>
      <c r="H776" s="60">
        <v>0.92653059999999998</v>
      </c>
      <c r="I776" s="60">
        <v>0.90756300000000001</v>
      </c>
      <c r="K776" s="64">
        <v>319</v>
      </c>
      <c r="M776" s="65">
        <v>2.5000000000000001E-2</v>
      </c>
      <c r="N776" s="63">
        <v>329</v>
      </c>
    </row>
    <row r="777" spans="1:14" x14ac:dyDescent="0.25">
      <c r="A777" s="55" t="s">
        <v>88</v>
      </c>
      <c r="B777" s="55" t="s">
        <v>250</v>
      </c>
      <c r="C777" s="55" t="s">
        <v>10</v>
      </c>
      <c r="D777" s="60">
        <v>0.92727272727272725</v>
      </c>
      <c r="E777" s="55" t="s">
        <v>12</v>
      </c>
      <c r="F777" s="54" t="s">
        <v>264</v>
      </c>
      <c r="G777" s="60">
        <v>0.97419349999999993</v>
      </c>
      <c r="H777" s="60">
        <v>0.9428571</v>
      </c>
      <c r="I777" s="60">
        <v>0.92647055</v>
      </c>
      <c r="K777" s="64">
        <v>269</v>
      </c>
      <c r="M777" s="65">
        <v>2.5000000000000001E-2</v>
      </c>
      <c r="N777" s="63">
        <v>279</v>
      </c>
    </row>
    <row r="778" spans="1:14" x14ac:dyDescent="0.25">
      <c r="A778" s="55" t="s">
        <v>88</v>
      </c>
      <c r="B778" s="55" t="s">
        <v>250</v>
      </c>
      <c r="C778" s="55" t="s">
        <v>16</v>
      </c>
      <c r="D778" s="60">
        <v>1</v>
      </c>
      <c r="E778" s="55" t="s">
        <v>17</v>
      </c>
      <c r="F778" s="54" t="s">
        <v>266</v>
      </c>
      <c r="G778" s="60">
        <v>0.97004607142857147</v>
      </c>
      <c r="H778" s="60">
        <v>0.99489792857142856</v>
      </c>
      <c r="I778" s="60">
        <v>1</v>
      </c>
      <c r="K778" s="64">
        <v>5719</v>
      </c>
      <c r="M778" s="65">
        <v>2.5000000000000001E-2</v>
      </c>
      <c r="N778" s="63">
        <v>5869</v>
      </c>
    </row>
    <row r="779" spans="1:14" s="66" customFormat="1" x14ac:dyDescent="0.25">
      <c r="A779" s="55" t="s">
        <v>88</v>
      </c>
      <c r="B779" s="55" t="s">
        <v>250</v>
      </c>
      <c r="C779" s="55" t="s">
        <v>16</v>
      </c>
      <c r="D779" s="60">
        <v>1</v>
      </c>
      <c r="E779" s="55" t="s">
        <v>12</v>
      </c>
      <c r="F779" s="54" t="s">
        <v>266</v>
      </c>
      <c r="G779" s="60">
        <v>1</v>
      </c>
      <c r="H779" s="60">
        <v>1</v>
      </c>
      <c r="I779" s="60">
        <v>1</v>
      </c>
      <c r="J779" s="55"/>
      <c r="K779" s="64">
        <v>6339</v>
      </c>
      <c r="L779" s="55"/>
      <c r="M779" s="62"/>
      <c r="N779" s="63">
        <v>6339</v>
      </c>
    </row>
    <row r="780" spans="1:14" x14ac:dyDescent="0.25">
      <c r="A780" s="55" t="s">
        <v>55</v>
      </c>
      <c r="B780" s="55" t="s">
        <v>56</v>
      </c>
      <c r="C780" s="55" t="s">
        <v>10</v>
      </c>
      <c r="D780" s="60">
        <v>0.9</v>
      </c>
      <c r="E780" s="55" t="s">
        <v>11</v>
      </c>
      <c r="F780" s="54" t="s">
        <v>264</v>
      </c>
      <c r="G780" s="60">
        <v>0.84677400000000003</v>
      </c>
      <c r="H780" s="60">
        <v>0.84821424999999995</v>
      </c>
      <c r="I780" s="60">
        <v>0.88235275000000002</v>
      </c>
      <c r="K780" s="64">
        <v>329</v>
      </c>
      <c r="M780" s="62"/>
      <c r="N780" s="63">
        <v>329</v>
      </c>
    </row>
    <row r="781" spans="1:14" x14ac:dyDescent="0.25">
      <c r="A781" s="55" t="s">
        <v>55</v>
      </c>
      <c r="B781" s="55" t="s">
        <v>56</v>
      </c>
      <c r="C781" s="55" t="s">
        <v>10</v>
      </c>
      <c r="D781" s="60">
        <v>0.9</v>
      </c>
      <c r="E781" s="55" t="s">
        <v>12</v>
      </c>
      <c r="F781" s="54" t="s">
        <v>264</v>
      </c>
      <c r="G781" s="60">
        <v>0.83525344642857136</v>
      </c>
      <c r="H781" s="60">
        <v>0.87882651785714283</v>
      </c>
      <c r="I781" s="60">
        <v>0.88445376785714291</v>
      </c>
      <c r="K781" s="64">
        <v>289</v>
      </c>
      <c r="M781" s="62"/>
      <c r="N781" s="63">
        <v>289</v>
      </c>
    </row>
    <row r="782" spans="1:14" x14ac:dyDescent="0.25">
      <c r="A782" s="55" t="s">
        <v>55</v>
      </c>
      <c r="B782" s="55" t="s">
        <v>56</v>
      </c>
      <c r="C782" s="55" t="s">
        <v>18</v>
      </c>
      <c r="D782" s="60">
        <v>0.45454545454545453</v>
      </c>
      <c r="E782" s="55" t="s">
        <v>14</v>
      </c>
      <c r="F782" s="54" t="s">
        <v>267</v>
      </c>
      <c r="G782" s="60">
        <v>0.44086011111111112</v>
      </c>
      <c r="H782" s="60">
        <v>0.54761899999999997</v>
      </c>
      <c r="I782" s="60">
        <v>0.55555555555555558</v>
      </c>
      <c r="K782" s="64">
        <v>7799</v>
      </c>
      <c r="M782" s="65">
        <v>-0.10299999999999999</v>
      </c>
      <c r="N782" s="63">
        <v>6999</v>
      </c>
    </row>
    <row r="783" spans="1:14" x14ac:dyDescent="0.25">
      <c r="A783" s="55" t="s">
        <v>55</v>
      </c>
      <c r="B783" s="55" t="s">
        <v>56</v>
      </c>
      <c r="C783" s="55" t="s">
        <v>18</v>
      </c>
      <c r="D783" s="60">
        <v>0.45454545454545453</v>
      </c>
      <c r="E783" s="55" t="s">
        <v>15</v>
      </c>
      <c r="F783" s="54" t="s">
        <v>267</v>
      </c>
      <c r="G783" s="60">
        <v>0.5</v>
      </c>
      <c r="H783" s="60">
        <v>0.5</v>
      </c>
      <c r="I783" s="60">
        <v>0.5</v>
      </c>
      <c r="K783" s="64">
        <v>8819</v>
      </c>
      <c r="M783" s="65">
        <v>-9.4E-2</v>
      </c>
      <c r="N783" s="63">
        <v>7999</v>
      </c>
    </row>
    <row r="784" spans="1:14" x14ac:dyDescent="0.25">
      <c r="A784" s="55" t="s">
        <v>55</v>
      </c>
      <c r="B784" s="55" t="s">
        <v>56</v>
      </c>
      <c r="C784" s="55" t="s">
        <v>16</v>
      </c>
      <c r="D784" s="60">
        <v>0.90909090909090906</v>
      </c>
      <c r="E784" s="55" t="s">
        <v>17</v>
      </c>
      <c r="F784" s="54" t="s">
        <v>266</v>
      </c>
      <c r="G784" s="60">
        <v>0.79569888888888896</v>
      </c>
      <c r="H784" s="60">
        <v>0.9285713888888889</v>
      </c>
      <c r="I784" s="60">
        <v>0.87908488888888892</v>
      </c>
      <c r="K784" s="64">
        <v>6409</v>
      </c>
      <c r="M784" s="62"/>
      <c r="N784" s="63">
        <v>6409</v>
      </c>
    </row>
    <row r="785" spans="1:14" x14ac:dyDescent="0.25">
      <c r="A785" s="55" t="s">
        <v>55</v>
      </c>
      <c r="B785" s="55" t="s">
        <v>56</v>
      </c>
      <c r="C785" s="55" t="s">
        <v>16</v>
      </c>
      <c r="D785" s="60">
        <v>0.90909090909090906</v>
      </c>
      <c r="E785" s="55" t="s">
        <v>12</v>
      </c>
      <c r="F785" s="54" t="s">
        <v>266</v>
      </c>
      <c r="G785" s="60">
        <v>1</v>
      </c>
      <c r="H785" s="60">
        <v>1</v>
      </c>
      <c r="I785" s="60">
        <v>0.86764699999999995</v>
      </c>
      <c r="K785" s="64">
        <v>7059</v>
      </c>
      <c r="M785" s="62"/>
      <c r="N785" s="63">
        <v>7059</v>
      </c>
    </row>
    <row r="786" spans="1:14" x14ac:dyDescent="0.25">
      <c r="A786" s="55" t="s">
        <v>55</v>
      </c>
      <c r="B786" s="55" t="s">
        <v>96</v>
      </c>
      <c r="C786" s="55" t="s">
        <v>10</v>
      </c>
      <c r="D786" s="60">
        <v>0.91379310344827591</v>
      </c>
      <c r="E786" s="55" t="s">
        <v>11</v>
      </c>
      <c r="F786" s="54" t="s">
        <v>264</v>
      </c>
      <c r="G786" s="60">
        <v>0.98197341176470587</v>
      </c>
      <c r="H786" s="60">
        <v>0.96428570588235285</v>
      </c>
      <c r="I786" s="60">
        <v>0.97577852941176479</v>
      </c>
      <c r="K786" s="64">
        <v>399</v>
      </c>
      <c r="M786" s="62"/>
      <c r="N786" s="63">
        <v>399</v>
      </c>
    </row>
    <row r="787" spans="1:14" x14ac:dyDescent="0.25">
      <c r="A787" s="55" t="s">
        <v>55</v>
      </c>
      <c r="B787" s="55" t="s">
        <v>96</v>
      </c>
      <c r="C787" s="55" t="s">
        <v>10</v>
      </c>
      <c r="D787" s="60">
        <v>0.91379310344827591</v>
      </c>
      <c r="E787" s="55" t="s">
        <v>12</v>
      </c>
      <c r="F787" s="54" t="s">
        <v>264</v>
      </c>
      <c r="G787" s="60">
        <v>0.95295695833333338</v>
      </c>
      <c r="H787" s="60">
        <v>0.82738091666666669</v>
      </c>
      <c r="I787" s="60">
        <v>0.83823529166666677</v>
      </c>
      <c r="K787" s="64">
        <v>329</v>
      </c>
      <c r="M787" s="62"/>
      <c r="N787" s="63">
        <v>329</v>
      </c>
    </row>
    <row r="788" spans="1:14" x14ac:dyDescent="0.25">
      <c r="A788" s="55" t="s">
        <v>55</v>
      </c>
      <c r="B788" s="55" t="s">
        <v>96</v>
      </c>
      <c r="C788" s="55" t="s">
        <v>16</v>
      </c>
      <c r="D788" s="60">
        <v>1</v>
      </c>
      <c r="E788" s="55" t="s">
        <v>17</v>
      </c>
      <c r="F788" s="54" t="s">
        <v>266</v>
      </c>
      <c r="G788" s="60">
        <v>1</v>
      </c>
      <c r="H788" s="60">
        <v>1</v>
      </c>
      <c r="I788" s="60">
        <v>1</v>
      </c>
      <c r="K788" s="64">
        <v>7009</v>
      </c>
      <c r="M788" s="65">
        <v>0.05</v>
      </c>
      <c r="N788" s="63">
        <v>7359</v>
      </c>
    </row>
    <row r="789" spans="1:14" x14ac:dyDescent="0.25">
      <c r="A789" s="55" t="s">
        <v>55</v>
      </c>
      <c r="B789" s="55" t="s">
        <v>96</v>
      </c>
      <c r="C789" s="55" t="s">
        <v>16</v>
      </c>
      <c r="D789" s="60">
        <v>1</v>
      </c>
      <c r="E789" s="55" t="s">
        <v>12</v>
      </c>
      <c r="F789" s="54" t="s">
        <v>266</v>
      </c>
      <c r="G789" s="60">
        <v>1</v>
      </c>
      <c r="H789" s="60">
        <v>1</v>
      </c>
      <c r="I789" s="60">
        <v>1</v>
      </c>
      <c r="K789" s="64">
        <v>8549</v>
      </c>
      <c r="M789" s="62"/>
      <c r="N789" s="63">
        <v>8549</v>
      </c>
    </row>
    <row r="790" spans="1:14" x14ac:dyDescent="0.25">
      <c r="A790" s="55" t="s">
        <v>55</v>
      </c>
      <c r="B790" s="55" t="s">
        <v>96</v>
      </c>
      <c r="C790" s="55" t="s">
        <v>18</v>
      </c>
      <c r="D790" s="60">
        <v>1</v>
      </c>
      <c r="E790" s="55" t="s">
        <v>14</v>
      </c>
      <c r="F790" s="54" t="s">
        <v>267</v>
      </c>
      <c r="G790" s="60">
        <v>1</v>
      </c>
      <c r="H790" s="60">
        <v>1</v>
      </c>
      <c r="I790" s="60">
        <v>1</v>
      </c>
      <c r="K790" s="64">
        <v>8689</v>
      </c>
      <c r="M790" s="65">
        <v>0.05</v>
      </c>
      <c r="N790" s="63">
        <v>9129</v>
      </c>
    </row>
    <row r="791" spans="1:14" x14ac:dyDescent="0.25">
      <c r="A791" s="55" t="s">
        <v>55</v>
      </c>
      <c r="B791" s="55" t="s">
        <v>96</v>
      </c>
      <c r="C791" s="55" t="s">
        <v>18</v>
      </c>
      <c r="D791" s="60">
        <v>1</v>
      </c>
      <c r="E791" s="55" t="s">
        <v>15</v>
      </c>
      <c r="F791" s="54" t="s">
        <v>267</v>
      </c>
      <c r="G791" s="60">
        <v>0.94623633333333335</v>
      </c>
      <c r="H791" s="60">
        <v>0.95238066666666665</v>
      </c>
      <c r="I791" s="60">
        <v>1</v>
      </c>
      <c r="K791" s="64">
        <v>9989</v>
      </c>
      <c r="M791" s="62"/>
      <c r="N791" s="63">
        <v>9989</v>
      </c>
    </row>
    <row r="792" spans="1:14" x14ac:dyDescent="0.25">
      <c r="A792" s="55" t="s">
        <v>55</v>
      </c>
      <c r="B792" s="55" t="s">
        <v>96</v>
      </c>
      <c r="C792" s="55" t="s">
        <v>21</v>
      </c>
      <c r="D792" s="60">
        <v>1</v>
      </c>
      <c r="E792" s="55" t="s">
        <v>75</v>
      </c>
      <c r="F792" s="54" t="s">
        <v>268</v>
      </c>
      <c r="G792" s="60">
        <v>1</v>
      </c>
      <c r="H792" s="60">
        <v>1</v>
      </c>
      <c r="I792" s="60">
        <v>1</v>
      </c>
      <c r="K792" s="64">
        <v>3119</v>
      </c>
      <c r="M792" s="65">
        <v>2.5000000000000001E-2</v>
      </c>
      <c r="N792" s="63">
        <v>3199</v>
      </c>
    </row>
    <row r="793" spans="1:14" x14ac:dyDescent="0.25">
      <c r="A793" s="55" t="s">
        <v>55</v>
      </c>
      <c r="B793" s="55" t="s">
        <v>96</v>
      </c>
      <c r="C793" s="55" t="s">
        <v>21</v>
      </c>
      <c r="D793" s="60">
        <v>1</v>
      </c>
      <c r="E793" s="55" t="s">
        <v>97</v>
      </c>
      <c r="F793" s="54" t="s">
        <v>268</v>
      </c>
      <c r="G793" s="60">
        <v>1</v>
      </c>
      <c r="H793" s="60">
        <v>1</v>
      </c>
      <c r="I793" s="60">
        <v>1</v>
      </c>
      <c r="K793" s="64">
        <v>3209</v>
      </c>
      <c r="M793" s="65">
        <v>2.5000000000000001E-2</v>
      </c>
      <c r="N793" s="63">
        <v>3289</v>
      </c>
    </row>
    <row r="794" spans="1:14" x14ac:dyDescent="0.25">
      <c r="A794" s="55" t="s">
        <v>55</v>
      </c>
      <c r="B794" s="55" t="s">
        <v>98</v>
      </c>
      <c r="C794" s="55" t="s">
        <v>10</v>
      </c>
      <c r="D794" s="60">
        <v>0.86153846153846159</v>
      </c>
      <c r="E794" s="55" t="s">
        <v>11</v>
      </c>
      <c r="F794" s="54" t="s">
        <v>264</v>
      </c>
      <c r="G794" s="60">
        <v>0.96505374999999993</v>
      </c>
      <c r="H794" s="60">
        <v>0.93650791666666655</v>
      </c>
      <c r="I794" s="60">
        <v>0.89052286111111101</v>
      </c>
      <c r="K794" s="64">
        <v>369</v>
      </c>
      <c r="M794" s="62"/>
      <c r="N794" s="63">
        <v>369</v>
      </c>
    </row>
    <row r="795" spans="1:14" x14ac:dyDescent="0.25">
      <c r="A795" s="55" t="s">
        <v>55</v>
      </c>
      <c r="B795" s="55" t="s">
        <v>98</v>
      </c>
      <c r="C795" s="55" t="s">
        <v>10</v>
      </c>
      <c r="D795" s="60">
        <v>0.86153846153846159</v>
      </c>
      <c r="E795" s="55" t="s">
        <v>12</v>
      </c>
      <c r="F795" s="54" t="s">
        <v>264</v>
      </c>
      <c r="G795" s="60">
        <v>0.94044661538461538</v>
      </c>
      <c r="H795" s="60">
        <v>0.96016480769230772</v>
      </c>
      <c r="I795" s="60">
        <v>0.87782803846153845</v>
      </c>
      <c r="K795" s="64">
        <v>319</v>
      </c>
      <c r="M795" s="62"/>
      <c r="N795" s="63">
        <v>319</v>
      </c>
    </row>
    <row r="796" spans="1:14" x14ac:dyDescent="0.25">
      <c r="A796" s="55" t="s">
        <v>55</v>
      </c>
      <c r="B796" s="55" t="s">
        <v>98</v>
      </c>
      <c r="C796" s="55" t="s">
        <v>10</v>
      </c>
      <c r="D796" s="60">
        <v>0.86153846153846159</v>
      </c>
      <c r="E796" s="55" t="s">
        <v>99</v>
      </c>
      <c r="F796" s="54" t="s">
        <v>264</v>
      </c>
      <c r="G796" s="60">
        <v>0.88172033333333333</v>
      </c>
      <c r="H796" s="60">
        <v>0.86904733333333339</v>
      </c>
      <c r="I796" s="60">
        <v>0.88235266666666667</v>
      </c>
      <c r="K796" s="64">
        <v>519</v>
      </c>
      <c r="M796" s="62"/>
      <c r="N796" s="63">
        <v>519</v>
      </c>
    </row>
    <row r="797" spans="1:14" x14ac:dyDescent="0.25">
      <c r="A797" s="55" t="s">
        <v>55</v>
      </c>
      <c r="B797" s="55" t="s">
        <v>98</v>
      </c>
      <c r="C797" s="55" t="s">
        <v>16</v>
      </c>
      <c r="D797" s="60">
        <v>0.97619047619047616</v>
      </c>
      <c r="E797" s="55" t="s">
        <v>17</v>
      </c>
      <c r="F797" s="54" t="s">
        <v>266</v>
      </c>
      <c r="G797" s="60">
        <v>0.95076397368421051</v>
      </c>
      <c r="H797" s="60">
        <v>0.9793232894736843</v>
      </c>
      <c r="I797" s="60">
        <v>0.9969039999999999</v>
      </c>
      <c r="K797" s="64">
        <v>5608.7368421052633</v>
      </c>
      <c r="M797" s="65">
        <v>2.5000000000000001E-2</v>
      </c>
      <c r="N797" s="63">
        <v>5749</v>
      </c>
    </row>
    <row r="798" spans="1:14" x14ac:dyDescent="0.25">
      <c r="A798" s="55" t="s">
        <v>55</v>
      </c>
      <c r="B798" s="55" t="s">
        <v>98</v>
      </c>
      <c r="C798" s="55" t="s">
        <v>16</v>
      </c>
      <c r="D798" s="60">
        <v>0.97619047619047616</v>
      </c>
      <c r="E798" s="55" t="s">
        <v>29</v>
      </c>
      <c r="F798" s="54" t="s">
        <v>266</v>
      </c>
      <c r="G798" s="60">
        <v>1</v>
      </c>
      <c r="H798" s="60">
        <v>0.86607124999999996</v>
      </c>
      <c r="I798" s="60">
        <v>1</v>
      </c>
      <c r="K798" s="64">
        <v>6939</v>
      </c>
      <c r="M798" s="62"/>
      <c r="N798" s="63">
        <v>6939</v>
      </c>
    </row>
    <row r="799" spans="1:14" x14ac:dyDescent="0.25">
      <c r="A799" s="55" t="s">
        <v>55</v>
      </c>
      <c r="B799" s="55" t="s">
        <v>100</v>
      </c>
      <c r="C799" s="55" t="s">
        <v>10</v>
      </c>
      <c r="D799" s="60">
        <v>0.82222222222222219</v>
      </c>
      <c r="E799" s="55" t="s">
        <v>11</v>
      </c>
      <c r="F799" s="54" t="s">
        <v>264</v>
      </c>
      <c r="G799" s="60">
        <v>0.90783407142857142</v>
      </c>
      <c r="H799" s="60">
        <v>0.88137753571428579</v>
      </c>
      <c r="I799" s="60">
        <v>0.88865542857142865</v>
      </c>
      <c r="K799" s="64">
        <v>369</v>
      </c>
      <c r="M799" s="62"/>
      <c r="N799" s="63">
        <v>369</v>
      </c>
    </row>
    <row r="800" spans="1:14" x14ac:dyDescent="0.25">
      <c r="A800" s="55" t="s">
        <v>55</v>
      </c>
      <c r="B800" s="55" t="s">
        <v>100</v>
      </c>
      <c r="C800" s="55" t="s">
        <v>10</v>
      </c>
      <c r="D800" s="60">
        <v>0.82222222222222219</v>
      </c>
      <c r="E800" s="55" t="s">
        <v>12</v>
      </c>
      <c r="F800" s="54" t="s">
        <v>264</v>
      </c>
      <c r="G800" s="60">
        <v>0.84060717647058825</v>
      </c>
      <c r="H800" s="60">
        <v>0.8424369411764705</v>
      </c>
      <c r="I800" s="60">
        <v>0.76124564705882358</v>
      </c>
      <c r="K800" s="64">
        <v>319</v>
      </c>
      <c r="M800" s="62"/>
      <c r="N800" s="63">
        <v>319</v>
      </c>
    </row>
    <row r="801" spans="1:14" x14ac:dyDescent="0.25">
      <c r="A801" s="55" t="s">
        <v>55</v>
      </c>
      <c r="B801" s="55" t="s">
        <v>100</v>
      </c>
      <c r="C801" s="55" t="s">
        <v>13</v>
      </c>
      <c r="D801" s="60">
        <v>0.7857142857142857</v>
      </c>
      <c r="E801" s="55" t="s">
        <v>83</v>
      </c>
      <c r="F801" s="54" t="s">
        <v>265</v>
      </c>
      <c r="G801" s="60">
        <v>0.6677419</v>
      </c>
      <c r="H801" s="60">
        <v>0.7</v>
      </c>
      <c r="I801" s="60">
        <v>0.82352939999999997</v>
      </c>
      <c r="K801" s="64">
        <v>329</v>
      </c>
      <c r="M801" s="62"/>
      <c r="N801" s="63">
        <v>329</v>
      </c>
    </row>
    <row r="802" spans="1:14" x14ac:dyDescent="0.25">
      <c r="A802" s="55" t="s">
        <v>55</v>
      </c>
      <c r="B802" s="55" t="s">
        <v>100</v>
      </c>
      <c r="C802" s="55" t="s">
        <v>13</v>
      </c>
      <c r="D802" s="60">
        <v>0.7857142857142857</v>
      </c>
      <c r="E802" s="55" t="s">
        <v>33</v>
      </c>
      <c r="F802" s="54" t="s">
        <v>265</v>
      </c>
      <c r="G802" s="60">
        <v>0.75</v>
      </c>
      <c r="H802" s="60">
        <v>0.95535700000000001</v>
      </c>
      <c r="I802" s="60">
        <v>0.77941174999999996</v>
      </c>
      <c r="K802" s="64">
        <v>389</v>
      </c>
      <c r="M802" s="62"/>
      <c r="N802" s="63">
        <v>389</v>
      </c>
    </row>
    <row r="803" spans="1:14" x14ac:dyDescent="0.25">
      <c r="A803" s="55" t="s">
        <v>55</v>
      </c>
      <c r="B803" s="55" t="s">
        <v>100</v>
      </c>
      <c r="C803" s="55" t="s">
        <v>16</v>
      </c>
      <c r="D803" s="60">
        <v>0.97058823529411764</v>
      </c>
      <c r="E803" s="55" t="s">
        <v>17</v>
      </c>
      <c r="F803" s="54" t="s">
        <v>266</v>
      </c>
      <c r="G803" s="60">
        <v>0.97886537858156475</v>
      </c>
      <c r="H803" s="60">
        <v>0.97290637931034485</v>
      </c>
      <c r="I803" s="60">
        <v>0.95740362068965512</v>
      </c>
      <c r="K803" s="64">
        <v>5869</v>
      </c>
      <c r="M803" s="65">
        <v>2.5000000000000001E-2</v>
      </c>
      <c r="N803" s="63">
        <v>6019</v>
      </c>
    </row>
    <row r="804" spans="1:14" x14ac:dyDescent="0.25">
      <c r="A804" s="55" t="s">
        <v>55</v>
      </c>
      <c r="B804" s="55" t="s">
        <v>100</v>
      </c>
      <c r="C804" s="55" t="s">
        <v>16</v>
      </c>
      <c r="D804" s="60">
        <v>0.97058823529411764</v>
      </c>
      <c r="E804" s="55" t="s">
        <v>12</v>
      </c>
      <c r="F804" s="54" t="s">
        <v>266</v>
      </c>
      <c r="G804" s="60">
        <v>0.77857142698979587</v>
      </c>
      <c r="H804" s="60">
        <v>0.96428559999999996</v>
      </c>
      <c r="I804" s="60">
        <v>1</v>
      </c>
      <c r="K804" s="64">
        <v>7339</v>
      </c>
      <c r="M804" s="62"/>
      <c r="N804" s="63">
        <v>7339</v>
      </c>
    </row>
    <row r="805" spans="1:14" x14ac:dyDescent="0.25">
      <c r="A805" s="55" t="s">
        <v>55</v>
      </c>
      <c r="B805" s="55" t="s">
        <v>100</v>
      </c>
      <c r="C805" s="55" t="s">
        <v>18</v>
      </c>
      <c r="D805" s="60">
        <v>0.89655172413793105</v>
      </c>
      <c r="E805" s="55" t="s">
        <v>19</v>
      </c>
      <c r="F805" s="54" t="s">
        <v>267</v>
      </c>
      <c r="G805" s="60">
        <v>0.85005767895233297</v>
      </c>
      <c r="H805" s="60">
        <v>0.8386243333333333</v>
      </c>
      <c r="I805" s="60">
        <v>0.86492374074074074</v>
      </c>
      <c r="K805" s="64">
        <v>7949</v>
      </c>
      <c r="M805" s="62"/>
      <c r="N805" s="63">
        <v>7949</v>
      </c>
    </row>
    <row r="806" spans="1:14" x14ac:dyDescent="0.25">
      <c r="A806" s="55" t="s">
        <v>55</v>
      </c>
      <c r="B806" s="55" t="s">
        <v>100</v>
      </c>
      <c r="C806" s="55" t="s">
        <v>18</v>
      </c>
      <c r="D806" s="60">
        <v>0.89655172413793105</v>
      </c>
      <c r="E806" s="55" t="s">
        <v>20</v>
      </c>
      <c r="F806" s="54" t="s">
        <v>267</v>
      </c>
      <c r="G806" s="60">
        <v>1</v>
      </c>
      <c r="H806" s="60">
        <v>1</v>
      </c>
      <c r="I806" s="60">
        <v>1</v>
      </c>
      <c r="K806" s="64">
        <v>8509</v>
      </c>
      <c r="M806" s="62"/>
      <c r="N806" s="63">
        <v>8509</v>
      </c>
    </row>
    <row r="807" spans="1:14" x14ac:dyDescent="0.25">
      <c r="A807" s="55" t="s">
        <v>55</v>
      </c>
      <c r="B807" s="55" t="s">
        <v>101</v>
      </c>
      <c r="C807" s="55" t="s">
        <v>10</v>
      </c>
      <c r="D807" s="60">
        <v>0.97142857142857142</v>
      </c>
      <c r="E807" s="55" t="s">
        <v>17</v>
      </c>
      <c r="F807" s="54" t="s">
        <v>264</v>
      </c>
      <c r="G807" s="60">
        <v>0.98807849999999997</v>
      </c>
      <c r="H807" s="60">
        <v>0.98990678260869558</v>
      </c>
      <c r="I807" s="60">
        <v>0.96291558695652169</v>
      </c>
      <c r="K807" s="64">
        <v>334.21739130434781</v>
      </c>
      <c r="M807" s="62"/>
      <c r="N807" s="63">
        <v>339</v>
      </c>
    </row>
    <row r="808" spans="1:14" x14ac:dyDescent="0.25">
      <c r="A808" s="55" t="s">
        <v>55</v>
      </c>
      <c r="B808" s="55" t="s">
        <v>101</v>
      </c>
      <c r="C808" s="55" t="s">
        <v>10</v>
      </c>
      <c r="D808" s="60">
        <v>0.97142857142857142</v>
      </c>
      <c r="E808" s="55" t="s">
        <v>44</v>
      </c>
      <c r="F808" s="54" t="s">
        <v>264</v>
      </c>
      <c r="G808" s="60">
        <v>0.98521499999999984</v>
      </c>
      <c r="H808" s="60">
        <v>0.96577379166666655</v>
      </c>
      <c r="I808" s="60">
        <v>0.99754899999999991</v>
      </c>
      <c r="K808" s="64">
        <v>319</v>
      </c>
      <c r="M808" s="62"/>
      <c r="N808" s="63">
        <v>319</v>
      </c>
    </row>
    <row r="809" spans="1:14" x14ac:dyDescent="0.25">
      <c r="A809" s="55" t="s">
        <v>55</v>
      </c>
      <c r="B809" s="55" t="s">
        <v>101</v>
      </c>
      <c r="C809" s="55" t="s">
        <v>13</v>
      </c>
      <c r="D809" s="60">
        <v>0.94444444444444442</v>
      </c>
      <c r="E809" s="55" t="s">
        <v>67</v>
      </c>
      <c r="F809" s="54" t="s">
        <v>265</v>
      </c>
      <c r="G809" s="60">
        <v>0.98387089999999999</v>
      </c>
      <c r="H809" s="60">
        <v>1</v>
      </c>
      <c r="I809" s="60">
        <v>0.99411759999999982</v>
      </c>
      <c r="K809" s="64">
        <v>355</v>
      </c>
      <c r="M809" s="62"/>
      <c r="N809" s="63">
        <v>359</v>
      </c>
    </row>
    <row r="810" spans="1:14" x14ac:dyDescent="0.25">
      <c r="A810" s="55" t="s">
        <v>55</v>
      </c>
      <c r="B810" s="55" t="s">
        <v>101</v>
      </c>
      <c r="C810" s="55" t="s">
        <v>13</v>
      </c>
      <c r="D810" s="60">
        <v>0.94444444444444442</v>
      </c>
      <c r="E810" s="55" t="s">
        <v>68</v>
      </c>
      <c r="F810" s="54" t="s">
        <v>265</v>
      </c>
      <c r="G810" s="60">
        <v>0.98387087500000003</v>
      </c>
      <c r="H810" s="60">
        <v>0.98214274999999995</v>
      </c>
      <c r="I810" s="60">
        <v>0.88235287500000004</v>
      </c>
      <c r="K810" s="64">
        <v>309</v>
      </c>
      <c r="M810" s="62"/>
      <c r="N810" s="63">
        <v>309</v>
      </c>
    </row>
    <row r="811" spans="1:14" x14ac:dyDescent="0.25">
      <c r="A811" s="55" t="s">
        <v>55</v>
      </c>
      <c r="B811" s="55" t="s">
        <v>101</v>
      </c>
      <c r="C811" s="55" t="s">
        <v>16</v>
      </c>
      <c r="D811" s="60">
        <v>1</v>
      </c>
      <c r="E811" s="55" t="s">
        <v>17</v>
      </c>
      <c r="F811" s="54" t="s">
        <v>266</v>
      </c>
      <c r="G811" s="60">
        <v>0.95268813333333335</v>
      </c>
      <c r="H811" s="60">
        <v>0.97857139999999998</v>
      </c>
      <c r="I811" s="60">
        <v>1</v>
      </c>
      <c r="K811" s="64">
        <v>6553</v>
      </c>
      <c r="M811" s="62"/>
      <c r="N811" s="63">
        <v>6559</v>
      </c>
    </row>
    <row r="812" spans="1:14" s="66" customFormat="1" x14ac:dyDescent="0.25">
      <c r="A812" s="55" t="s">
        <v>55</v>
      </c>
      <c r="B812" s="55" t="s">
        <v>101</v>
      </c>
      <c r="C812" s="55" t="s">
        <v>16</v>
      </c>
      <c r="D812" s="60">
        <v>1</v>
      </c>
      <c r="E812" s="55" t="s">
        <v>44</v>
      </c>
      <c r="F812" s="54" t="s">
        <v>266</v>
      </c>
      <c r="G812" s="60">
        <v>0.96774175000000007</v>
      </c>
      <c r="H812" s="60">
        <v>1</v>
      </c>
      <c r="I812" s="60">
        <v>1</v>
      </c>
      <c r="J812" s="55"/>
      <c r="K812" s="64">
        <v>7409</v>
      </c>
      <c r="L812" s="55"/>
      <c r="M812" s="62"/>
      <c r="N812" s="63">
        <v>7409</v>
      </c>
    </row>
    <row r="813" spans="1:14" x14ac:dyDescent="0.25">
      <c r="A813" s="55" t="s">
        <v>55</v>
      </c>
      <c r="B813" s="55" t="s">
        <v>101</v>
      </c>
      <c r="C813" s="55" t="s">
        <v>18</v>
      </c>
      <c r="D813" s="60">
        <v>1</v>
      </c>
      <c r="E813" s="55" t="s">
        <v>102</v>
      </c>
      <c r="F813" s="54" t="s">
        <v>267</v>
      </c>
      <c r="G813" s="60">
        <v>1</v>
      </c>
      <c r="H813" s="60">
        <v>1</v>
      </c>
      <c r="I813" s="60">
        <v>1</v>
      </c>
      <c r="K813" s="64">
        <v>7853.2857142857147</v>
      </c>
      <c r="M813" s="65">
        <v>0.05</v>
      </c>
      <c r="N813" s="63">
        <v>8249</v>
      </c>
    </row>
    <row r="814" spans="1:14" x14ac:dyDescent="0.25">
      <c r="A814" s="55" t="s">
        <v>55</v>
      </c>
      <c r="B814" s="55" t="s">
        <v>101</v>
      </c>
      <c r="C814" s="55" t="s">
        <v>18</v>
      </c>
      <c r="D814" s="60">
        <v>1</v>
      </c>
      <c r="E814" s="55" t="s">
        <v>103</v>
      </c>
      <c r="F814" s="54" t="s">
        <v>267</v>
      </c>
      <c r="G814" s="60">
        <v>1</v>
      </c>
      <c r="H814" s="60">
        <v>1</v>
      </c>
      <c r="I814" s="60">
        <v>1</v>
      </c>
      <c r="K814" s="64">
        <v>9329</v>
      </c>
      <c r="M814" s="62"/>
      <c r="N814" s="63">
        <v>9329</v>
      </c>
    </row>
    <row r="815" spans="1:14" x14ac:dyDescent="0.25">
      <c r="A815" s="55" t="s">
        <v>55</v>
      </c>
      <c r="B815" s="55" t="s">
        <v>121</v>
      </c>
      <c r="C815" s="55" t="s">
        <v>10</v>
      </c>
      <c r="D815" s="60">
        <v>0.85483870967741937</v>
      </c>
      <c r="E815" s="55" t="s">
        <v>11</v>
      </c>
      <c r="F815" s="54" t="s">
        <v>264</v>
      </c>
      <c r="G815" s="60">
        <v>1</v>
      </c>
      <c r="H815" s="60">
        <v>0.97321424999999995</v>
      </c>
      <c r="I815" s="60">
        <v>0.86764699999999995</v>
      </c>
      <c r="K815" s="64">
        <v>319</v>
      </c>
      <c r="M815" s="62"/>
      <c r="N815" s="63">
        <v>319</v>
      </c>
    </row>
    <row r="816" spans="1:14" x14ac:dyDescent="0.25">
      <c r="A816" s="55" t="s">
        <v>55</v>
      </c>
      <c r="B816" s="55" t="s">
        <v>121</v>
      </c>
      <c r="C816" s="55" t="s">
        <v>10</v>
      </c>
      <c r="D816" s="60">
        <v>0.85483870967741937</v>
      </c>
      <c r="E816" s="55" t="s">
        <v>12</v>
      </c>
      <c r="F816" s="54" t="s">
        <v>264</v>
      </c>
      <c r="G816" s="60">
        <v>0.88568192982456151</v>
      </c>
      <c r="H816" s="60">
        <v>0.93358394736842099</v>
      </c>
      <c r="I816" s="60">
        <v>0.89060885964912284</v>
      </c>
      <c r="K816" s="64">
        <v>269</v>
      </c>
      <c r="M816" s="62"/>
      <c r="N816" s="63">
        <v>269</v>
      </c>
    </row>
    <row r="817" spans="1:14" x14ac:dyDescent="0.25">
      <c r="A817" s="55" t="s">
        <v>55</v>
      </c>
      <c r="B817" s="55" t="s">
        <v>121</v>
      </c>
      <c r="C817" s="55" t="s">
        <v>10</v>
      </c>
      <c r="D817" s="60">
        <v>0.85483870967741937</v>
      </c>
      <c r="E817" s="55" t="s">
        <v>74</v>
      </c>
      <c r="F817" s="54" t="s">
        <v>264</v>
      </c>
      <c r="G817" s="60">
        <v>1</v>
      </c>
      <c r="H817" s="60">
        <v>0.96428499999999995</v>
      </c>
      <c r="I817" s="60">
        <v>1</v>
      </c>
      <c r="K817" s="64">
        <v>329</v>
      </c>
      <c r="M817" s="62"/>
      <c r="N817" s="63">
        <v>329</v>
      </c>
    </row>
    <row r="818" spans="1:14" x14ac:dyDescent="0.25">
      <c r="A818" s="55" t="s">
        <v>55</v>
      </c>
      <c r="B818" s="55" t="s">
        <v>121</v>
      </c>
      <c r="C818" s="55" t="s">
        <v>18</v>
      </c>
      <c r="D818" s="60">
        <v>1</v>
      </c>
      <c r="E818" s="55" t="s">
        <v>14</v>
      </c>
      <c r="F818" s="54" t="s">
        <v>267</v>
      </c>
      <c r="G818" s="60">
        <v>0.96415766666666669</v>
      </c>
      <c r="H818" s="60">
        <v>0.97222222222222221</v>
      </c>
      <c r="I818" s="60">
        <v>1</v>
      </c>
      <c r="K818" s="64">
        <v>6969</v>
      </c>
      <c r="M818" s="62"/>
      <c r="N818" s="63">
        <v>6969</v>
      </c>
    </row>
    <row r="819" spans="1:14" x14ac:dyDescent="0.25">
      <c r="A819" s="55" t="s">
        <v>55</v>
      </c>
      <c r="B819" s="55" t="s">
        <v>121</v>
      </c>
      <c r="C819" s="55" t="s">
        <v>18</v>
      </c>
      <c r="D819" s="60">
        <v>1</v>
      </c>
      <c r="E819" s="55" t="s">
        <v>15</v>
      </c>
      <c r="F819" s="54" t="s">
        <v>267</v>
      </c>
      <c r="G819" s="60">
        <v>1</v>
      </c>
      <c r="H819" s="60">
        <v>1</v>
      </c>
      <c r="I819" s="60">
        <v>1</v>
      </c>
      <c r="K819" s="64">
        <v>7769</v>
      </c>
      <c r="M819" s="62"/>
      <c r="N819" s="63">
        <v>7769</v>
      </c>
    </row>
    <row r="820" spans="1:14" x14ac:dyDescent="0.25">
      <c r="A820" s="55" t="s">
        <v>55</v>
      </c>
      <c r="B820" s="55" t="s">
        <v>121</v>
      </c>
      <c r="C820" s="55" t="s">
        <v>16</v>
      </c>
      <c r="D820" s="60">
        <v>0.90909090909090906</v>
      </c>
      <c r="E820" s="55" t="s">
        <v>17</v>
      </c>
      <c r="F820" s="54" t="s">
        <v>266</v>
      </c>
      <c r="G820" s="60">
        <v>0.91039422222222222</v>
      </c>
      <c r="H820" s="60">
        <v>0.85912694444444448</v>
      </c>
      <c r="I820" s="60">
        <v>0.88888888888888884</v>
      </c>
      <c r="K820" s="64">
        <v>4909</v>
      </c>
      <c r="M820" s="62"/>
      <c r="N820" s="63">
        <v>4909</v>
      </c>
    </row>
    <row r="821" spans="1:14" x14ac:dyDescent="0.25">
      <c r="A821" s="55" t="s">
        <v>55</v>
      </c>
      <c r="B821" s="55" t="s">
        <v>121</v>
      </c>
      <c r="C821" s="55" t="s">
        <v>16</v>
      </c>
      <c r="D821" s="60">
        <v>0.90909090909090906</v>
      </c>
      <c r="E821" s="55" t="s">
        <v>12</v>
      </c>
      <c r="F821" s="54" t="s">
        <v>266</v>
      </c>
      <c r="G821" s="60">
        <v>1</v>
      </c>
      <c r="H821" s="60">
        <v>1</v>
      </c>
      <c r="I821" s="60">
        <v>1</v>
      </c>
      <c r="K821" s="64">
        <v>6349</v>
      </c>
      <c r="M821" s="65"/>
      <c r="N821" s="63">
        <v>6349</v>
      </c>
    </row>
    <row r="822" spans="1:14" x14ac:dyDescent="0.25">
      <c r="A822" s="55" t="s">
        <v>55</v>
      </c>
      <c r="B822" s="55" t="s">
        <v>135</v>
      </c>
      <c r="C822" s="55" t="s">
        <v>10</v>
      </c>
      <c r="D822" s="60">
        <v>0.86206896551724133</v>
      </c>
      <c r="E822" s="55" t="s">
        <v>11</v>
      </c>
      <c r="F822" s="54" t="s">
        <v>264</v>
      </c>
      <c r="G822" s="60">
        <v>0.95161275000000001</v>
      </c>
      <c r="H822" s="60">
        <v>1</v>
      </c>
      <c r="I822" s="60">
        <v>1</v>
      </c>
      <c r="K822" s="64">
        <v>419</v>
      </c>
      <c r="M822" s="62"/>
      <c r="N822" s="63">
        <v>419</v>
      </c>
    </row>
    <row r="823" spans="1:14" x14ac:dyDescent="0.25">
      <c r="A823" s="55" t="s">
        <v>55</v>
      </c>
      <c r="B823" s="55" t="s">
        <v>135</v>
      </c>
      <c r="C823" s="55" t="s">
        <v>10</v>
      </c>
      <c r="D823" s="60">
        <v>0.86206896551724133</v>
      </c>
      <c r="E823" s="55" t="s">
        <v>12</v>
      </c>
      <c r="F823" s="54" t="s">
        <v>264</v>
      </c>
      <c r="G823" s="60">
        <v>0.90800477777777777</v>
      </c>
      <c r="H823" s="60">
        <v>0.91798940740740731</v>
      </c>
      <c r="I823" s="60">
        <v>0.87581698148148146</v>
      </c>
      <c r="K823" s="64">
        <v>359</v>
      </c>
      <c r="M823" s="62"/>
      <c r="N823" s="63">
        <v>359</v>
      </c>
    </row>
    <row r="824" spans="1:14" x14ac:dyDescent="0.25">
      <c r="A824" s="55" t="s">
        <v>55</v>
      </c>
      <c r="B824" s="55" t="s">
        <v>135</v>
      </c>
      <c r="C824" s="55" t="s">
        <v>16</v>
      </c>
      <c r="D824" s="60">
        <v>1</v>
      </c>
      <c r="E824" s="55" t="s">
        <v>17</v>
      </c>
      <c r="F824" s="54" t="s">
        <v>266</v>
      </c>
      <c r="G824" s="60">
        <v>0.97610511111111109</v>
      </c>
      <c r="H824" s="60">
        <v>0.99470896296296296</v>
      </c>
      <c r="I824" s="60">
        <v>0.98039214814814812</v>
      </c>
      <c r="K824" s="64">
        <v>6319</v>
      </c>
      <c r="M824" s="62"/>
      <c r="N824" s="63">
        <v>6319</v>
      </c>
    </row>
    <row r="825" spans="1:14" x14ac:dyDescent="0.25">
      <c r="A825" s="55" t="s">
        <v>55</v>
      </c>
      <c r="B825" s="55" t="s">
        <v>135</v>
      </c>
      <c r="C825" s="55" t="s">
        <v>16</v>
      </c>
      <c r="D825" s="60">
        <v>1</v>
      </c>
      <c r="E825" s="55" t="s">
        <v>123</v>
      </c>
      <c r="F825" s="54" t="s">
        <v>266</v>
      </c>
      <c r="G825" s="60">
        <v>1</v>
      </c>
      <c r="H825" s="60">
        <v>1</v>
      </c>
      <c r="I825" s="60">
        <v>1</v>
      </c>
      <c r="K825" s="64">
        <v>7469</v>
      </c>
      <c r="M825" s="67">
        <v>2.5000000000000001E-2</v>
      </c>
      <c r="N825" s="63">
        <v>7659</v>
      </c>
    </row>
    <row r="826" spans="1:14" x14ac:dyDescent="0.25">
      <c r="A826" s="55" t="s">
        <v>55</v>
      </c>
      <c r="B826" s="55" t="s">
        <v>135</v>
      </c>
      <c r="C826" s="55" t="s">
        <v>16</v>
      </c>
      <c r="D826" s="60">
        <v>1</v>
      </c>
      <c r="E826" s="55" t="s">
        <v>12</v>
      </c>
      <c r="F826" s="54" t="s">
        <v>266</v>
      </c>
      <c r="G826" s="60">
        <v>0.97849450000000004</v>
      </c>
      <c r="H826" s="60">
        <v>0.9642856666666666</v>
      </c>
      <c r="I826" s="60">
        <v>1</v>
      </c>
      <c r="K826" s="64">
        <v>7329</v>
      </c>
      <c r="M826" s="65">
        <v>2.5000000000000001E-2</v>
      </c>
      <c r="N826" s="63">
        <v>7519</v>
      </c>
    </row>
    <row r="827" spans="1:14" x14ac:dyDescent="0.25">
      <c r="A827" s="55" t="s">
        <v>55</v>
      </c>
      <c r="B827" s="55" t="s">
        <v>135</v>
      </c>
      <c r="C827" s="55" t="s">
        <v>21</v>
      </c>
      <c r="D827" s="60">
        <v>0.88</v>
      </c>
      <c r="E827" s="55" t="s">
        <v>75</v>
      </c>
      <c r="F827" s="54" t="s">
        <v>268</v>
      </c>
      <c r="G827" s="60">
        <v>0.99462362500000001</v>
      </c>
      <c r="H827" s="60">
        <v>0.95690937244468799</v>
      </c>
      <c r="I827" s="60">
        <v>0.88</v>
      </c>
      <c r="K827" s="64">
        <v>2829</v>
      </c>
      <c r="M827" s="62"/>
      <c r="N827" s="63">
        <v>2829</v>
      </c>
    </row>
    <row r="828" spans="1:14" x14ac:dyDescent="0.25">
      <c r="A828" s="55" t="s">
        <v>55</v>
      </c>
      <c r="B828" s="55" t="s">
        <v>210</v>
      </c>
      <c r="C828" s="55" t="s">
        <v>10</v>
      </c>
      <c r="D828" s="60">
        <v>0.8125</v>
      </c>
      <c r="E828" s="55" t="s">
        <v>12</v>
      </c>
      <c r="F828" s="54" t="s">
        <v>264</v>
      </c>
      <c r="G828" s="60">
        <v>0.94670406521739126</v>
      </c>
      <c r="H828" s="60">
        <v>0.95031054347826083</v>
      </c>
      <c r="I828" s="60">
        <v>0.92071610869565224</v>
      </c>
      <c r="K828" s="64">
        <v>269</v>
      </c>
      <c r="M828" s="62"/>
      <c r="N828" s="63">
        <v>269</v>
      </c>
    </row>
    <row r="829" spans="1:14" x14ac:dyDescent="0.25">
      <c r="A829" s="55" t="s">
        <v>55</v>
      </c>
      <c r="B829" s="55" t="s">
        <v>210</v>
      </c>
      <c r="C829" s="55" t="s">
        <v>10</v>
      </c>
      <c r="D829" s="60">
        <v>0.8125</v>
      </c>
      <c r="E829" s="55" t="s">
        <v>11</v>
      </c>
      <c r="F829" s="54" t="s">
        <v>264</v>
      </c>
      <c r="G829" s="60">
        <v>0.89964155555555558</v>
      </c>
      <c r="H829" s="60">
        <v>0.56349199999999999</v>
      </c>
      <c r="I829" s="60">
        <v>0.51633977777777784</v>
      </c>
      <c r="K829" s="64">
        <v>299</v>
      </c>
      <c r="M829" s="62"/>
      <c r="N829" s="63">
        <v>299</v>
      </c>
    </row>
    <row r="830" spans="1:14" x14ac:dyDescent="0.25">
      <c r="A830" s="55" t="s">
        <v>55</v>
      </c>
      <c r="B830" s="55" t="s">
        <v>210</v>
      </c>
      <c r="C830" s="55" t="s">
        <v>10</v>
      </c>
      <c r="D830" s="60">
        <v>0.8125</v>
      </c>
      <c r="E830" s="55" t="s">
        <v>51</v>
      </c>
      <c r="F830" s="54" t="s">
        <v>264</v>
      </c>
      <c r="G830" s="60">
        <v>0.83154111111111106</v>
      </c>
      <c r="H830" s="60">
        <v>0.5992063333333334</v>
      </c>
      <c r="I830" s="60">
        <v>0.71241822222222217</v>
      </c>
      <c r="K830" s="64">
        <v>589</v>
      </c>
      <c r="M830" s="62"/>
      <c r="N830" s="63">
        <v>589</v>
      </c>
    </row>
    <row r="831" spans="1:14" x14ac:dyDescent="0.25">
      <c r="A831" s="55" t="s">
        <v>55</v>
      </c>
      <c r="B831" s="55" t="s">
        <v>210</v>
      </c>
      <c r="C831" s="55" t="s">
        <v>16</v>
      </c>
      <c r="D831" s="60">
        <v>0.75</v>
      </c>
      <c r="E831" s="55" t="s">
        <v>17</v>
      </c>
      <c r="F831" s="54" t="s">
        <v>266</v>
      </c>
      <c r="G831" s="60">
        <v>0.87593046153846155</v>
      </c>
      <c r="H831" s="60">
        <v>0.89835161538461539</v>
      </c>
      <c r="I831" s="60">
        <v>0.84615384615384615</v>
      </c>
      <c r="K831" s="64">
        <v>5129</v>
      </c>
      <c r="M831" s="62"/>
      <c r="N831" s="63">
        <v>5129</v>
      </c>
    </row>
    <row r="832" spans="1:14" x14ac:dyDescent="0.25">
      <c r="A832" s="55" t="s">
        <v>55</v>
      </c>
      <c r="B832" s="55" t="s">
        <v>210</v>
      </c>
      <c r="C832" s="55" t="s">
        <v>16</v>
      </c>
      <c r="D832" s="60">
        <v>0.75</v>
      </c>
      <c r="E832" s="55" t="s">
        <v>12</v>
      </c>
      <c r="F832" s="54" t="s">
        <v>266</v>
      </c>
      <c r="G832" s="60">
        <v>0.66666666666666663</v>
      </c>
      <c r="H832" s="60">
        <v>0.40476166666666669</v>
      </c>
      <c r="I832" s="60">
        <v>0.33333333333333331</v>
      </c>
      <c r="K832" s="64">
        <v>6119</v>
      </c>
      <c r="M832" s="65">
        <v>-0.05</v>
      </c>
      <c r="N832" s="63">
        <v>5819</v>
      </c>
    </row>
    <row r="833" spans="1:14" x14ac:dyDescent="0.25">
      <c r="A833" s="55" t="s">
        <v>55</v>
      </c>
      <c r="B833" s="55" t="s">
        <v>212</v>
      </c>
      <c r="C833" s="55" t="s">
        <v>10</v>
      </c>
      <c r="D833" s="60">
        <v>0.73529411764705888</v>
      </c>
      <c r="E833" s="55" t="s">
        <v>11</v>
      </c>
      <c r="F833" s="54" t="s">
        <v>264</v>
      </c>
      <c r="G833" s="60">
        <v>0.98387075000000002</v>
      </c>
      <c r="H833" s="60">
        <v>0.96428550000000002</v>
      </c>
      <c r="I833" s="60">
        <v>1</v>
      </c>
      <c r="K833" s="64">
        <v>299</v>
      </c>
      <c r="M833" s="62"/>
      <c r="N833" s="63">
        <v>299</v>
      </c>
    </row>
    <row r="834" spans="1:14" x14ac:dyDescent="0.25">
      <c r="A834" s="55" t="s">
        <v>55</v>
      </c>
      <c r="B834" s="55" t="s">
        <v>212</v>
      </c>
      <c r="C834" s="55" t="s">
        <v>10</v>
      </c>
      <c r="D834" s="60">
        <v>0.73529411764705888</v>
      </c>
      <c r="E834" s="55" t="s">
        <v>12</v>
      </c>
      <c r="F834" s="54" t="s">
        <v>264</v>
      </c>
      <c r="G834" s="60">
        <v>0.82068308823529412</v>
      </c>
      <c r="H834" s="60">
        <v>0.81302520588235294</v>
      </c>
      <c r="I834" s="60">
        <v>0.85986158823529413</v>
      </c>
      <c r="K834" s="64">
        <v>269</v>
      </c>
      <c r="M834" s="62"/>
      <c r="N834" s="63">
        <v>269</v>
      </c>
    </row>
    <row r="835" spans="1:14" x14ac:dyDescent="0.25">
      <c r="A835" s="55" t="s">
        <v>55</v>
      </c>
      <c r="B835" s="55" t="s">
        <v>212</v>
      </c>
      <c r="C835" s="55" t="s">
        <v>10</v>
      </c>
      <c r="D835" s="60">
        <v>0.73529411764705888</v>
      </c>
      <c r="E835" s="55" t="s">
        <v>74</v>
      </c>
      <c r="F835" s="54" t="s">
        <v>264</v>
      </c>
      <c r="G835" s="60">
        <v>0.82580639999999994</v>
      </c>
      <c r="H835" s="60">
        <v>0.92380946666666663</v>
      </c>
      <c r="I835" s="60">
        <v>0.972549</v>
      </c>
      <c r="K835" s="64">
        <v>359</v>
      </c>
      <c r="M835" s="62"/>
      <c r="N835" s="63">
        <v>359</v>
      </c>
    </row>
    <row r="836" spans="1:14" x14ac:dyDescent="0.25">
      <c r="A836" s="55" t="s">
        <v>55</v>
      </c>
      <c r="B836" s="55" t="s">
        <v>212</v>
      </c>
      <c r="C836" s="55" t="s">
        <v>10</v>
      </c>
      <c r="D836" s="60">
        <v>0.73529411764705888</v>
      </c>
      <c r="E836" s="55" t="s">
        <v>51</v>
      </c>
      <c r="F836" s="54" t="s">
        <v>264</v>
      </c>
      <c r="G836" s="60">
        <v>0.61290314285714287</v>
      </c>
      <c r="H836" s="60">
        <v>0.73979585714285712</v>
      </c>
      <c r="I836" s="60">
        <v>0.30252099999999998</v>
      </c>
      <c r="K836" s="64">
        <v>609</v>
      </c>
      <c r="M836" s="65"/>
      <c r="N836" s="63">
        <v>609</v>
      </c>
    </row>
    <row r="837" spans="1:14" x14ac:dyDescent="0.25">
      <c r="A837" s="55" t="s">
        <v>55</v>
      </c>
      <c r="B837" s="55" t="s">
        <v>212</v>
      </c>
      <c r="C837" s="55" t="s">
        <v>10</v>
      </c>
      <c r="D837" s="60">
        <v>0.73529411764705888</v>
      </c>
      <c r="E837" s="55" t="s">
        <v>50</v>
      </c>
      <c r="F837" s="54" t="s">
        <v>264</v>
      </c>
      <c r="G837" s="60">
        <v>0.18951612500000001</v>
      </c>
      <c r="H837" s="60">
        <v>0.38839275000000001</v>
      </c>
      <c r="I837" s="60">
        <v>0.41911762499999999</v>
      </c>
      <c r="K837" s="64">
        <v>519</v>
      </c>
      <c r="M837" s="65"/>
      <c r="N837" s="63">
        <v>519</v>
      </c>
    </row>
    <row r="838" spans="1:14" x14ac:dyDescent="0.25">
      <c r="A838" s="55" t="s">
        <v>55</v>
      </c>
      <c r="B838" s="55" t="s">
        <v>212</v>
      </c>
      <c r="C838" s="55" t="s">
        <v>16</v>
      </c>
      <c r="D838" s="60">
        <v>0.94285714285714284</v>
      </c>
      <c r="E838" s="55" t="s">
        <v>17</v>
      </c>
      <c r="F838" s="54" t="s">
        <v>266</v>
      </c>
      <c r="G838" s="60">
        <v>0.9838709642857143</v>
      </c>
      <c r="H838" s="60">
        <v>0.99872446428571426</v>
      </c>
      <c r="I838" s="60">
        <v>0.96638653571428568</v>
      </c>
      <c r="K838" s="64">
        <v>6719</v>
      </c>
      <c r="M838" s="65">
        <v>2.5000000000000001E-2</v>
      </c>
      <c r="N838" s="63">
        <v>6889</v>
      </c>
    </row>
    <row r="839" spans="1:14" x14ac:dyDescent="0.25">
      <c r="A839" s="55" t="s">
        <v>55</v>
      </c>
      <c r="B839" s="55" t="s">
        <v>212</v>
      </c>
      <c r="C839" s="55" t="s">
        <v>16</v>
      </c>
      <c r="D839" s="60">
        <v>0.94285714285714284</v>
      </c>
      <c r="E839" s="55" t="s">
        <v>12</v>
      </c>
      <c r="F839" s="54" t="s">
        <v>266</v>
      </c>
      <c r="G839" s="60">
        <v>0.86021500000000006</v>
      </c>
      <c r="H839" s="60">
        <v>0.85714283333333341</v>
      </c>
      <c r="I839" s="60">
        <v>0.86274499999999998</v>
      </c>
      <c r="K839" s="64">
        <v>8539</v>
      </c>
      <c r="M839" s="62"/>
      <c r="N839" s="63">
        <v>8539</v>
      </c>
    </row>
    <row r="840" spans="1:14" x14ac:dyDescent="0.25">
      <c r="A840" s="55" t="s">
        <v>55</v>
      </c>
      <c r="B840" s="55" t="s">
        <v>212</v>
      </c>
      <c r="C840" s="55" t="s">
        <v>16</v>
      </c>
      <c r="D840" s="60">
        <v>0.94285714285714284</v>
      </c>
      <c r="E840" s="55" t="s">
        <v>187</v>
      </c>
      <c r="F840" s="54" t="s">
        <v>266</v>
      </c>
      <c r="G840" s="60">
        <v>1</v>
      </c>
      <c r="H840" s="60">
        <v>1</v>
      </c>
      <c r="I840" s="60">
        <v>1</v>
      </c>
      <c r="K840" s="64">
        <v>9439</v>
      </c>
      <c r="M840" s="65"/>
      <c r="N840" s="63">
        <v>9439</v>
      </c>
    </row>
    <row r="841" spans="1:14" x14ac:dyDescent="0.25">
      <c r="A841" s="55" t="s">
        <v>55</v>
      </c>
      <c r="B841" s="55" t="s">
        <v>228</v>
      </c>
      <c r="C841" s="55" t="s">
        <v>10</v>
      </c>
      <c r="D841" s="60">
        <v>0.9358974358974359</v>
      </c>
      <c r="E841" s="55" t="s">
        <v>11</v>
      </c>
      <c r="F841" s="54" t="s">
        <v>264</v>
      </c>
      <c r="G841" s="60">
        <v>1</v>
      </c>
      <c r="H841" s="60">
        <v>0.96428550000000002</v>
      </c>
      <c r="I841" s="60">
        <v>0.75</v>
      </c>
      <c r="K841" s="64">
        <v>299</v>
      </c>
      <c r="M841" s="62"/>
      <c r="N841" s="63">
        <v>299</v>
      </c>
    </row>
    <row r="842" spans="1:14" x14ac:dyDescent="0.25">
      <c r="A842" s="55" t="s">
        <v>55</v>
      </c>
      <c r="B842" s="55" t="s">
        <v>228</v>
      </c>
      <c r="C842" s="55" t="s">
        <v>10</v>
      </c>
      <c r="D842" s="60">
        <v>0.9358974358974359</v>
      </c>
      <c r="E842" s="55" t="s">
        <v>12</v>
      </c>
      <c r="F842" s="54" t="s">
        <v>264</v>
      </c>
      <c r="G842" s="60">
        <v>0.89688939285714286</v>
      </c>
      <c r="H842" s="60">
        <v>0.89477039285714288</v>
      </c>
      <c r="I842" s="60">
        <v>0.93697478571428572</v>
      </c>
      <c r="K842" s="64">
        <v>299</v>
      </c>
      <c r="M842" s="62"/>
      <c r="N842" s="63">
        <v>299</v>
      </c>
    </row>
    <row r="843" spans="1:14" x14ac:dyDescent="0.25">
      <c r="A843" s="55" t="s">
        <v>55</v>
      </c>
      <c r="B843" s="55" t="s">
        <v>228</v>
      </c>
      <c r="C843" s="55" t="s">
        <v>13</v>
      </c>
      <c r="D843" s="60">
        <v>1</v>
      </c>
      <c r="E843" s="55" t="s">
        <v>14</v>
      </c>
      <c r="F843" s="54" t="s">
        <v>265</v>
      </c>
      <c r="G843" s="60">
        <v>0.96415766666666669</v>
      </c>
      <c r="H843" s="60">
        <v>0.95634911111111109</v>
      </c>
      <c r="I843" s="60">
        <v>1</v>
      </c>
      <c r="K843" s="64">
        <v>349</v>
      </c>
      <c r="M843" s="62"/>
      <c r="N843" s="63">
        <v>349</v>
      </c>
    </row>
    <row r="844" spans="1:14" x14ac:dyDescent="0.25">
      <c r="A844" s="55" t="s">
        <v>55</v>
      </c>
      <c r="B844" s="55" t="s">
        <v>228</v>
      </c>
      <c r="C844" s="55" t="s">
        <v>13</v>
      </c>
      <c r="D844" s="60">
        <v>1</v>
      </c>
      <c r="E844" s="55" t="s">
        <v>15</v>
      </c>
      <c r="F844" s="54" t="s">
        <v>265</v>
      </c>
      <c r="G844" s="60">
        <v>1</v>
      </c>
      <c r="H844" s="60">
        <v>1</v>
      </c>
      <c r="I844" s="60">
        <v>1</v>
      </c>
      <c r="K844" s="64">
        <v>309</v>
      </c>
      <c r="M844" s="62"/>
      <c r="N844" s="63">
        <v>309</v>
      </c>
    </row>
    <row r="845" spans="1:14" x14ac:dyDescent="0.25">
      <c r="A845" s="55" t="s">
        <v>55</v>
      </c>
      <c r="B845" s="55" t="s">
        <v>228</v>
      </c>
      <c r="C845" s="55" t="s">
        <v>10</v>
      </c>
      <c r="D845" s="60">
        <v>0.9358974358974359</v>
      </c>
      <c r="E845" s="55" t="s">
        <v>51</v>
      </c>
      <c r="F845" s="54" t="s">
        <v>264</v>
      </c>
      <c r="G845" s="60">
        <v>0.35944699999999996</v>
      </c>
      <c r="H845" s="60">
        <v>0.73979585714285712</v>
      </c>
      <c r="I845" s="60">
        <v>0.81512600000000002</v>
      </c>
      <c r="K845" s="64">
        <v>449</v>
      </c>
      <c r="M845" s="62"/>
      <c r="N845" s="63">
        <v>449</v>
      </c>
    </row>
    <row r="846" spans="1:14" x14ac:dyDescent="0.25">
      <c r="A846" s="55" t="s">
        <v>55</v>
      </c>
      <c r="B846" s="55" t="s">
        <v>228</v>
      </c>
      <c r="C846" s="55" t="s">
        <v>10</v>
      </c>
      <c r="D846" s="60">
        <v>0.9358974358974359</v>
      </c>
      <c r="E846" s="55" t="s">
        <v>50</v>
      </c>
      <c r="F846" s="54" t="s">
        <v>264</v>
      </c>
      <c r="G846" s="60">
        <v>0.67741925000000003</v>
      </c>
      <c r="H846" s="60">
        <v>0.79464274999999995</v>
      </c>
      <c r="I846" s="60">
        <v>0.97058800000000001</v>
      </c>
      <c r="K846" s="64">
        <v>349</v>
      </c>
      <c r="M846" s="62"/>
      <c r="N846" s="63">
        <v>349</v>
      </c>
    </row>
    <row r="847" spans="1:14" x14ac:dyDescent="0.25">
      <c r="A847" s="55" t="s">
        <v>55</v>
      </c>
      <c r="B847" s="55" t="s">
        <v>228</v>
      </c>
      <c r="C847" s="55" t="s">
        <v>16</v>
      </c>
      <c r="D847" s="60">
        <v>0.81818181818181823</v>
      </c>
      <c r="E847" s="55" t="s">
        <v>17</v>
      </c>
      <c r="F847" s="54" t="s">
        <v>266</v>
      </c>
      <c r="G847" s="60">
        <v>0.97311827777777771</v>
      </c>
      <c r="H847" s="60">
        <v>0.88888888888888884</v>
      </c>
      <c r="I847" s="60">
        <v>0.81045749999999994</v>
      </c>
      <c r="K847" s="64">
        <v>5869</v>
      </c>
      <c r="M847" s="65">
        <v>-0.05</v>
      </c>
      <c r="N847" s="63">
        <v>5579</v>
      </c>
    </row>
    <row r="848" spans="1:14" x14ac:dyDescent="0.25">
      <c r="A848" s="55" t="s">
        <v>55</v>
      </c>
      <c r="B848" s="55" t="s">
        <v>228</v>
      </c>
      <c r="C848" s="55" t="s">
        <v>16</v>
      </c>
      <c r="D848" s="60">
        <v>0.81818181818181823</v>
      </c>
      <c r="E848" s="55" t="s">
        <v>12</v>
      </c>
      <c r="F848" s="54" t="s">
        <v>266</v>
      </c>
      <c r="G848" s="60">
        <v>0.99193525000000005</v>
      </c>
      <c r="H848" s="60">
        <v>1</v>
      </c>
      <c r="I848" s="60">
        <v>1</v>
      </c>
      <c r="K848" s="64">
        <v>7429</v>
      </c>
      <c r="M848" s="62"/>
      <c r="N848" s="63">
        <v>7429</v>
      </c>
    </row>
    <row r="849" spans="1:14" x14ac:dyDescent="0.25">
      <c r="A849" s="55" t="s">
        <v>55</v>
      </c>
      <c r="B849" s="55" t="s">
        <v>228</v>
      </c>
      <c r="C849" s="55" t="s">
        <v>21</v>
      </c>
      <c r="D849" s="60">
        <v>0.94736842105263153</v>
      </c>
      <c r="E849" s="55" t="s">
        <v>75</v>
      </c>
      <c r="F849" s="54" t="s">
        <v>268</v>
      </c>
      <c r="G849" s="60">
        <v>0.94623655555555553</v>
      </c>
      <c r="H849" s="60">
        <v>0.95516572179854098</v>
      </c>
      <c r="I849" s="60">
        <v>0.93808047368421055</v>
      </c>
      <c r="K849" s="64">
        <v>2489</v>
      </c>
      <c r="M849" s="62"/>
      <c r="N849" s="63">
        <v>2489</v>
      </c>
    </row>
    <row r="850" spans="1:14" x14ac:dyDescent="0.25">
      <c r="A850" s="55" t="s">
        <v>55</v>
      </c>
      <c r="B850" s="55" t="s">
        <v>229</v>
      </c>
      <c r="C850" s="55" t="s">
        <v>10</v>
      </c>
      <c r="D850" s="60">
        <v>0.85</v>
      </c>
      <c r="E850" s="55" t="s">
        <v>11</v>
      </c>
      <c r="F850" s="54" t="s">
        <v>264</v>
      </c>
      <c r="G850" s="60">
        <v>0.94959674999999999</v>
      </c>
      <c r="H850" s="60">
        <v>0.88169637499999998</v>
      </c>
      <c r="I850" s="60">
        <v>0.86397056250000004</v>
      </c>
      <c r="K850" s="64">
        <v>369</v>
      </c>
      <c r="M850" s="62"/>
      <c r="N850" s="63">
        <v>369</v>
      </c>
    </row>
    <row r="851" spans="1:14" x14ac:dyDescent="0.25">
      <c r="A851" s="55" t="s">
        <v>55</v>
      </c>
      <c r="B851" s="55" t="s">
        <v>229</v>
      </c>
      <c r="C851" s="55" t="s">
        <v>10</v>
      </c>
      <c r="D851" s="60">
        <v>0.85</v>
      </c>
      <c r="E851" s="55" t="s">
        <v>12</v>
      </c>
      <c r="F851" s="54" t="s">
        <v>264</v>
      </c>
      <c r="G851" s="60">
        <v>0.88123165909090906</v>
      </c>
      <c r="H851" s="60">
        <v>0.78733765909090903</v>
      </c>
      <c r="I851" s="60">
        <v>0.79144384090909092</v>
      </c>
      <c r="K851" s="64">
        <v>309</v>
      </c>
      <c r="M851" s="62"/>
      <c r="N851" s="63">
        <v>309</v>
      </c>
    </row>
    <row r="852" spans="1:14" x14ac:dyDescent="0.25">
      <c r="A852" s="55" t="s">
        <v>55</v>
      </c>
      <c r="B852" s="55" t="s">
        <v>229</v>
      </c>
      <c r="C852" s="55" t="s">
        <v>18</v>
      </c>
      <c r="D852" s="60">
        <v>0.90909090909090906</v>
      </c>
      <c r="E852" s="55" t="s">
        <v>14</v>
      </c>
      <c r="F852" s="54" t="s">
        <v>267</v>
      </c>
      <c r="G852" s="60">
        <v>1</v>
      </c>
      <c r="H852" s="60">
        <v>1</v>
      </c>
      <c r="I852" s="60">
        <v>1</v>
      </c>
      <c r="K852" s="64">
        <v>8519</v>
      </c>
      <c r="M852" s="65">
        <v>2.5000000000000001E-2</v>
      </c>
      <c r="N852" s="63">
        <v>8739</v>
      </c>
    </row>
    <row r="853" spans="1:14" s="66" customFormat="1" x14ac:dyDescent="0.25">
      <c r="A853" s="55" t="s">
        <v>55</v>
      </c>
      <c r="B853" s="55" t="s">
        <v>229</v>
      </c>
      <c r="C853" s="55" t="s">
        <v>18</v>
      </c>
      <c r="D853" s="60">
        <v>0.90909090909090906</v>
      </c>
      <c r="E853" s="55" t="s">
        <v>15</v>
      </c>
      <c r="F853" s="54" t="s">
        <v>267</v>
      </c>
      <c r="G853" s="60">
        <v>1</v>
      </c>
      <c r="H853" s="60">
        <v>1</v>
      </c>
      <c r="I853" s="60">
        <v>0.88235249999999998</v>
      </c>
      <c r="J853" s="55"/>
      <c r="K853" s="64">
        <v>8989</v>
      </c>
      <c r="L853" s="55"/>
      <c r="M853" s="62"/>
      <c r="N853" s="63">
        <v>8989</v>
      </c>
    </row>
    <row r="854" spans="1:14" x14ac:dyDescent="0.25">
      <c r="A854" s="55" t="s">
        <v>55</v>
      </c>
      <c r="B854" s="55" t="s">
        <v>229</v>
      </c>
      <c r="C854" s="55" t="s">
        <v>16</v>
      </c>
      <c r="D854" s="60">
        <v>0.95454545454545459</v>
      </c>
      <c r="E854" s="55" t="s">
        <v>17</v>
      </c>
      <c r="F854" s="54" t="s">
        <v>266</v>
      </c>
      <c r="G854" s="60">
        <v>0.96415766666666669</v>
      </c>
      <c r="H854" s="60">
        <v>0.98412694444444448</v>
      </c>
      <c r="I854" s="60">
        <v>0.95098038888888903</v>
      </c>
      <c r="K854" s="64">
        <v>5379</v>
      </c>
      <c r="M854" s="65">
        <v>2.5000000000000001E-2</v>
      </c>
      <c r="N854" s="63">
        <v>5519</v>
      </c>
    </row>
    <row r="855" spans="1:14" x14ac:dyDescent="0.25">
      <c r="A855" s="55" t="s">
        <v>55</v>
      </c>
      <c r="B855" s="55" t="s">
        <v>229</v>
      </c>
      <c r="C855" s="55" t="s">
        <v>16</v>
      </c>
      <c r="D855" s="60">
        <v>0.95454545454545459</v>
      </c>
      <c r="E855" s="55" t="s">
        <v>12</v>
      </c>
      <c r="F855" s="54" t="s">
        <v>266</v>
      </c>
      <c r="G855" s="60">
        <v>1</v>
      </c>
      <c r="H855" s="60">
        <v>1</v>
      </c>
      <c r="I855" s="60">
        <v>1</v>
      </c>
      <c r="K855" s="64">
        <v>5979</v>
      </c>
      <c r="M855" s="62"/>
      <c r="N855" s="63">
        <v>5979</v>
      </c>
    </row>
    <row r="856" spans="1:14" x14ac:dyDescent="0.25">
      <c r="A856" s="55" t="s">
        <v>55</v>
      </c>
      <c r="B856" s="55" t="s">
        <v>229</v>
      </c>
      <c r="C856" s="55" t="s">
        <v>21</v>
      </c>
      <c r="D856" s="60">
        <v>0.95833333333333337</v>
      </c>
      <c r="E856" s="55" t="s">
        <v>70</v>
      </c>
      <c r="F856" s="54" t="s">
        <v>268</v>
      </c>
      <c r="G856" s="60">
        <v>0.86827954166666677</v>
      </c>
      <c r="H856" s="60">
        <v>0.875</v>
      </c>
      <c r="I856" s="60">
        <v>0.93382350000000003</v>
      </c>
      <c r="K856" s="64">
        <v>2999</v>
      </c>
      <c r="M856" s="62"/>
      <c r="N856" s="63">
        <v>2999</v>
      </c>
    </row>
    <row r="857" spans="1:14" x14ac:dyDescent="0.25">
      <c r="A857" s="55" t="s">
        <v>55</v>
      </c>
      <c r="B857" s="55" t="s">
        <v>230</v>
      </c>
      <c r="C857" s="55" t="s">
        <v>10</v>
      </c>
      <c r="D857" s="60">
        <v>0.91666666666666663</v>
      </c>
      <c r="E857" s="55" t="s">
        <v>11</v>
      </c>
      <c r="F857" s="54" t="s">
        <v>264</v>
      </c>
      <c r="G857" s="60">
        <v>0.89551191304347821</v>
      </c>
      <c r="H857" s="60">
        <v>0.93788819565217385</v>
      </c>
      <c r="I857" s="60">
        <v>0.88746802173913042</v>
      </c>
      <c r="K857" s="64">
        <v>349</v>
      </c>
      <c r="M857" s="62"/>
      <c r="N857" s="63">
        <v>349</v>
      </c>
    </row>
    <row r="858" spans="1:14" x14ac:dyDescent="0.25">
      <c r="A858" s="55" t="s">
        <v>55</v>
      </c>
      <c r="B858" s="55" t="s">
        <v>230</v>
      </c>
      <c r="C858" s="55" t="s">
        <v>10</v>
      </c>
      <c r="D858" s="60">
        <v>0.91666666666666663</v>
      </c>
      <c r="E858" s="55" t="s">
        <v>12</v>
      </c>
      <c r="F858" s="54" t="s">
        <v>264</v>
      </c>
      <c r="G858" s="60">
        <v>0.98617507142857141</v>
      </c>
      <c r="H858" s="60">
        <v>0.95663264285714278</v>
      </c>
      <c r="I858" s="60">
        <v>0.95798314285714281</v>
      </c>
      <c r="K858" s="64">
        <v>319</v>
      </c>
      <c r="M858" s="62"/>
      <c r="N858" s="63">
        <v>319</v>
      </c>
    </row>
    <row r="859" spans="1:14" x14ac:dyDescent="0.25">
      <c r="A859" s="55" t="s">
        <v>55</v>
      </c>
      <c r="B859" s="55" t="s">
        <v>230</v>
      </c>
      <c r="C859" s="55" t="s">
        <v>18</v>
      </c>
      <c r="D859" s="60">
        <v>0.8</v>
      </c>
      <c r="E859" s="55" t="s">
        <v>53</v>
      </c>
      <c r="F859" s="54" t="s">
        <v>267</v>
      </c>
      <c r="G859" s="60">
        <v>1</v>
      </c>
      <c r="H859" s="60">
        <v>1</v>
      </c>
      <c r="I859" s="60">
        <v>0.96732011111111105</v>
      </c>
      <c r="K859" s="64">
        <v>8475.6666666666661</v>
      </c>
      <c r="M859" s="62"/>
      <c r="N859" s="63">
        <v>8479</v>
      </c>
    </row>
    <row r="860" spans="1:14" x14ac:dyDescent="0.25">
      <c r="A860" s="55" t="s">
        <v>55</v>
      </c>
      <c r="B860" s="55" t="s">
        <v>230</v>
      </c>
      <c r="C860" s="55" t="s">
        <v>18</v>
      </c>
      <c r="D860" s="60">
        <v>0.8</v>
      </c>
      <c r="E860" s="55" t="s">
        <v>54</v>
      </c>
      <c r="F860" s="54" t="s">
        <v>267</v>
      </c>
      <c r="G860" s="60">
        <v>1</v>
      </c>
      <c r="H860" s="60">
        <v>1</v>
      </c>
      <c r="I860" s="60">
        <v>1</v>
      </c>
      <c r="K860" s="64">
        <v>9689</v>
      </c>
      <c r="M860" s="62"/>
      <c r="N860" s="63">
        <v>9689</v>
      </c>
    </row>
    <row r="861" spans="1:14" x14ac:dyDescent="0.25">
      <c r="A861" s="55" t="s">
        <v>55</v>
      </c>
      <c r="B861" s="55" t="s">
        <v>230</v>
      </c>
      <c r="C861" s="55" t="s">
        <v>16</v>
      </c>
      <c r="D861" s="60">
        <v>0.9</v>
      </c>
      <c r="E861" s="55" t="s">
        <v>17</v>
      </c>
      <c r="F861" s="54" t="s">
        <v>266</v>
      </c>
      <c r="G861" s="60">
        <v>0.91129029166666664</v>
      </c>
      <c r="H861" s="60">
        <v>0.91964283333333341</v>
      </c>
      <c r="I861" s="60">
        <v>0.89950979166666667</v>
      </c>
      <c r="K861" s="64">
        <v>5799</v>
      </c>
      <c r="M861" s="62"/>
      <c r="N861" s="63">
        <v>5799</v>
      </c>
    </row>
    <row r="862" spans="1:14" x14ac:dyDescent="0.25">
      <c r="A862" s="55" t="s">
        <v>55</v>
      </c>
      <c r="B862" s="55" t="s">
        <v>230</v>
      </c>
      <c r="C862" s="55" t="s">
        <v>16</v>
      </c>
      <c r="D862" s="60">
        <v>0.9</v>
      </c>
      <c r="E862" s="55" t="s">
        <v>26</v>
      </c>
      <c r="F862" s="54" t="s">
        <v>266</v>
      </c>
      <c r="G862" s="60">
        <v>0.5</v>
      </c>
      <c r="H862" s="60">
        <v>0.5</v>
      </c>
      <c r="I862" s="60">
        <v>0.91176449999999998</v>
      </c>
      <c r="K862" s="64">
        <v>6629</v>
      </c>
      <c r="M862" s="62"/>
      <c r="N862" s="63">
        <v>6629</v>
      </c>
    </row>
    <row r="863" spans="1:14" x14ac:dyDescent="0.25">
      <c r="A863" s="55" t="s">
        <v>55</v>
      </c>
      <c r="B863" s="55" t="s">
        <v>230</v>
      </c>
      <c r="C863" s="55" t="s">
        <v>16</v>
      </c>
      <c r="D863" s="60">
        <v>0.9</v>
      </c>
      <c r="E863" s="55" t="s">
        <v>82</v>
      </c>
      <c r="F863" s="54" t="s">
        <v>266</v>
      </c>
      <c r="G863" s="60">
        <v>0.78225800000000001</v>
      </c>
      <c r="H863" s="60">
        <v>1</v>
      </c>
      <c r="I863" s="60">
        <v>1</v>
      </c>
      <c r="K863" s="64">
        <v>7549</v>
      </c>
      <c r="M863" s="62"/>
      <c r="N863" s="63">
        <v>7549</v>
      </c>
    </row>
    <row r="864" spans="1:14" x14ac:dyDescent="0.25">
      <c r="A864" s="55" t="s">
        <v>55</v>
      </c>
      <c r="B864" s="55" t="s">
        <v>236</v>
      </c>
      <c r="C864" s="55" t="s">
        <v>10</v>
      </c>
      <c r="D864" s="60">
        <v>0.8</v>
      </c>
      <c r="E864" s="55" t="s">
        <v>11</v>
      </c>
      <c r="F864" s="54" t="s">
        <v>264</v>
      </c>
      <c r="G864" s="60">
        <v>0.72580624999999999</v>
      </c>
      <c r="H864" s="60">
        <v>0.92857124999999996</v>
      </c>
      <c r="I864" s="60">
        <v>1</v>
      </c>
      <c r="K864" s="64">
        <v>309</v>
      </c>
      <c r="M864" s="62"/>
      <c r="N864" s="63">
        <v>309</v>
      </c>
    </row>
    <row r="865" spans="1:14" x14ac:dyDescent="0.25">
      <c r="A865" s="55" t="s">
        <v>55</v>
      </c>
      <c r="B865" s="55" t="s">
        <v>236</v>
      </c>
      <c r="C865" s="55" t="s">
        <v>10</v>
      </c>
      <c r="D865" s="60">
        <v>0.8</v>
      </c>
      <c r="E865" s="55" t="s">
        <v>74</v>
      </c>
      <c r="F865" s="54" t="s">
        <v>264</v>
      </c>
      <c r="G865" s="60">
        <v>1</v>
      </c>
      <c r="H865" s="60">
        <v>1</v>
      </c>
      <c r="I865" s="60">
        <v>1</v>
      </c>
      <c r="K865" s="64">
        <v>339</v>
      </c>
      <c r="M865" s="62"/>
      <c r="N865" s="63">
        <v>339</v>
      </c>
    </row>
    <row r="866" spans="1:14" x14ac:dyDescent="0.25">
      <c r="A866" s="55" t="s">
        <v>55</v>
      </c>
      <c r="B866" s="55" t="s">
        <v>236</v>
      </c>
      <c r="C866" s="55" t="s">
        <v>10</v>
      </c>
      <c r="D866" s="60">
        <v>0.8</v>
      </c>
      <c r="E866" s="55" t="s">
        <v>12</v>
      </c>
      <c r="F866" s="54" t="s">
        <v>264</v>
      </c>
      <c r="G866" s="60">
        <v>0.85314089473684207</v>
      </c>
      <c r="H866" s="60">
        <v>0.8110902105263158</v>
      </c>
      <c r="I866" s="60">
        <v>0.76470586842105259</v>
      </c>
      <c r="K866" s="64">
        <v>279</v>
      </c>
      <c r="M866" s="62"/>
      <c r="N866" s="63">
        <v>279</v>
      </c>
    </row>
    <row r="867" spans="1:14" x14ac:dyDescent="0.25">
      <c r="A867" s="55" t="s">
        <v>55</v>
      </c>
      <c r="B867" s="55" t="s">
        <v>236</v>
      </c>
      <c r="C867" s="55" t="s">
        <v>10</v>
      </c>
      <c r="D867" s="60">
        <v>0.8</v>
      </c>
      <c r="E867" s="55" t="s">
        <v>51</v>
      </c>
      <c r="F867" s="54" t="s">
        <v>264</v>
      </c>
      <c r="G867" s="60">
        <v>0.89516125000000002</v>
      </c>
      <c r="H867" s="60">
        <v>0.890625</v>
      </c>
      <c r="I867" s="60">
        <v>0.91544112499999997</v>
      </c>
      <c r="K867" s="64">
        <v>609</v>
      </c>
      <c r="M867" s="62"/>
      <c r="N867" s="63">
        <v>609</v>
      </c>
    </row>
    <row r="868" spans="1:14" x14ac:dyDescent="0.25">
      <c r="A868" s="55" t="s">
        <v>55</v>
      </c>
      <c r="B868" s="55" t="s">
        <v>236</v>
      </c>
      <c r="C868" s="55" t="s">
        <v>10</v>
      </c>
      <c r="D868" s="60">
        <v>0.8</v>
      </c>
      <c r="E868" s="55" t="s">
        <v>50</v>
      </c>
      <c r="F868" s="54" t="s">
        <v>264</v>
      </c>
      <c r="G868" s="60">
        <v>0.78660046153846153</v>
      </c>
      <c r="H868" s="60">
        <v>0.85714284615384606</v>
      </c>
      <c r="I868" s="60">
        <v>0.69230769230769229</v>
      </c>
      <c r="K868" s="64">
        <v>519</v>
      </c>
      <c r="M868" s="62"/>
      <c r="N868" s="63">
        <v>519</v>
      </c>
    </row>
    <row r="869" spans="1:14" x14ac:dyDescent="0.25">
      <c r="A869" s="55" t="s">
        <v>55</v>
      </c>
      <c r="B869" s="55" t="s">
        <v>236</v>
      </c>
      <c r="C869" s="55" t="s">
        <v>16</v>
      </c>
      <c r="D869" s="60">
        <v>1</v>
      </c>
      <c r="E869" s="55" t="s">
        <v>17</v>
      </c>
      <c r="F869" s="54" t="s">
        <v>266</v>
      </c>
      <c r="G869" s="60">
        <v>0.98566305555555567</v>
      </c>
      <c r="H869" s="60">
        <v>0.95238094444444443</v>
      </c>
      <c r="I869" s="60">
        <v>1</v>
      </c>
      <c r="K869" s="64">
        <v>5919</v>
      </c>
      <c r="M869" s="65">
        <v>2.5000000000000001E-2</v>
      </c>
      <c r="N869" s="63">
        <v>6069</v>
      </c>
    </row>
    <row r="870" spans="1:14" x14ac:dyDescent="0.25">
      <c r="A870" s="55" t="s">
        <v>55</v>
      </c>
      <c r="B870" s="55" t="s">
        <v>236</v>
      </c>
      <c r="C870" s="55" t="s">
        <v>16</v>
      </c>
      <c r="D870" s="60">
        <v>1</v>
      </c>
      <c r="E870" s="55" t="s">
        <v>12</v>
      </c>
      <c r="F870" s="54" t="s">
        <v>266</v>
      </c>
      <c r="G870" s="60">
        <v>1</v>
      </c>
      <c r="H870" s="60">
        <v>1</v>
      </c>
      <c r="I870" s="60">
        <v>1</v>
      </c>
      <c r="K870" s="64">
        <v>7359</v>
      </c>
      <c r="M870" s="62"/>
      <c r="N870" s="63">
        <v>7359</v>
      </c>
    </row>
    <row r="871" spans="1:14" x14ac:dyDescent="0.25">
      <c r="A871" s="55" t="s">
        <v>55</v>
      </c>
      <c r="B871" s="55" t="s">
        <v>242</v>
      </c>
      <c r="C871" s="55" t="s">
        <v>13</v>
      </c>
      <c r="D871" s="60">
        <v>0.84615384615384615</v>
      </c>
      <c r="E871" s="55" t="s">
        <v>14</v>
      </c>
      <c r="F871" s="54" t="s">
        <v>265</v>
      </c>
      <c r="G871" s="60">
        <v>0.79723499999999992</v>
      </c>
      <c r="H871" s="60">
        <v>0.66326528571428578</v>
      </c>
      <c r="I871" s="60">
        <v>0.70588228571428568</v>
      </c>
      <c r="K871" s="64">
        <v>339</v>
      </c>
      <c r="M871" s="62"/>
      <c r="N871" s="63">
        <v>339</v>
      </c>
    </row>
    <row r="872" spans="1:14" x14ac:dyDescent="0.25">
      <c r="A872" s="55" t="s">
        <v>55</v>
      </c>
      <c r="B872" s="55" t="s">
        <v>242</v>
      </c>
      <c r="C872" s="55" t="s">
        <v>13</v>
      </c>
      <c r="D872" s="60">
        <v>0.84615384615384615</v>
      </c>
      <c r="E872" s="55" t="s">
        <v>15</v>
      </c>
      <c r="F872" s="54" t="s">
        <v>265</v>
      </c>
      <c r="G872" s="60">
        <v>0.73118266666666665</v>
      </c>
      <c r="H872" s="60">
        <v>0.91071416666666671</v>
      </c>
      <c r="I872" s="60">
        <v>0.78431366666666669</v>
      </c>
      <c r="K872" s="64">
        <v>329</v>
      </c>
      <c r="M872" s="62"/>
      <c r="N872" s="63">
        <v>329</v>
      </c>
    </row>
    <row r="873" spans="1:14" x14ac:dyDescent="0.25">
      <c r="A873" s="55" t="s">
        <v>55</v>
      </c>
      <c r="B873" s="55" t="s">
        <v>242</v>
      </c>
      <c r="C873" s="55" t="s">
        <v>10</v>
      </c>
      <c r="D873" s="60">
        <v>0.88095238095238093</v>
      </c>
      <c r="E873" s="55" t="s">
        <v>11</v>
      </c>
      <c r="F873" s="54" t="s">
        <v>264</v>
      </c>
      <c r="G873" s="60">
        <v>0.91023839130434792</v>
      </c>
      <c r="H873" s="60">
        <v>0.90527947826086963</v>
      </c>
      <c r="I873" s="60">
        <v>0.89769817391304352</v>
      </c>
      <c r="K873" s="64">
        <v>329</v>
      </c>
      <c r="M873" s="62"/>
      <c r="N873" s="63">
        <v>329</v>
      </c>
    </row>
    <row r="874" spans="1:14" x14ac:dyDescent="0.25">
      <c r="A874" s="55" t="s">
        <v>55</v>
      </c>
      <c r="B874" s="55" t="s">
        <v>242</v>
      </c>
      <c r="C874" s="55" t="s">
        <v>10</v>
      </c>
      <c r="D874" s="60">
        <v>0.88095238095238093</v>
      </c>
      <c r="E874" s="55" t="s">
        <v>12</v>
      </c>
      <c r="F874" s="54" t="s">
        <v>264</v>
      </c>
      <c r="G874" s="60">
        <v>0.96264852631578945</v>
      </c>
      <c r="H874" s="60">
        <v>0.85526315789473684</v>
      </c>
      <c r="I874" s="60">
        <v>0.83281731578947371</v>
      </c>
      <c r="K874" s="64">
        <v>309</v>
      </c>
      <c r="M874" s="62"/>
      <c r="N874" s="63">
        <v>309</v>
      </c>
    </row>
    <row r="875" spans="1:14" x14ac:dyDescent="0.25">
      <c r="A875" s="55" t="s">
        <v>55</v>
      </c>
      <c r="B875" s="55" t="s">
        <v>242</v>
      </c>
      <c r="C875" s="55" t="s">
        <v>18</v>
      </c>
      <c r="D875" s="60">
        <v>0.9</v>
      </c>
      <c r="E875" s="55" t="s">
        <v>14</v>
      </c>
      <c r="F875" s="54" t="s">
        <v>267</v>
      </c>
      <c r="G875" s="60">
        <v>0.86693537499999995</v>
      </c>
      <c r="H875" s="60">
        <v>0.78773581416874072</v>
      </c>
      <c r="I875" s="60">
        <v>0.97478985714285715</v>
      </c>
      <c r="K875" s="64">
        <v>5929</v>
      </c>
      <c r="M875" s="62"/>
      <c r="N875" s="63">
        <v>5929</v>
      </c>
    </row>
    <row r="876" spans="1:14" x14ac:dyDescent="0.25">
      <c r="A876" s="55" t="s">
        <v>55</v>
      </c>
      <c r="B876" s="55" t="s">
        <v>242</v>
      </c>
      <c r="C876" s="55" t="s">
        <v>18</v>
      </c>
      <c r="D876" s="60">
        <v>0.9</v>
      </c>
      <c r="E876" s="55" t="s">
        <v>15</v>
      </c>
      <c r="F876" s="54" t="s">
        <v>267</v>
      </c>
      <c r="G876" s="60">
        <v>0.94623633333333335</v>
      </c>
      <c r="H876" s="60">
        <v>1</v>
      </c>
      <c r="I876" s="60">
        <v>0.82352933333333322</v>
      </c>
      <c r="K876" s="64">
        <v>7119</v>
      </c>
      <c r="M876" s="62"/>
      <c r="N876" s="63">
        <v>7119</v>
      </c>
    </row>
    <row r="877" spans="1:14" x14ac:dyDescent="0.25">
      <c r="A877" s="55" t="s">
        <v>55</v>
      </c>
      <c r="B877" s="55" t="s">
        <v>242</v>
      </c>
      <c r="C877" s="55" t="s">
        <v>16</v>
      </c>
      <c r="D877" s="60">
        <v>1</v>
      </c>
      <c r="E877" s="55" t="s">
        <v>17</v>
      </c>
      <c r="F877" s="54" t="s">
        <v>266</v>
      </c>
      <c r="G877" s="60">
        <v>0.99193543750000002</v>
      </c>
      <c r="H877" s="60">
        <v>1</v>
      </c>
      <c r="I877" s="60">
        <v>0.97058818749999998</v>
      </c>
      <c r="K877" s="64">
        <v>5029</v>
      </c>
      <c r="M877" s="65">
        <v>2.5000000000000001E-2</v>
      </c>
      <c r="N877" s="63">
        <v>5159</v>
      </c>
    </row>
    <row r="878" spans="1:14" x14ac:dyDescent="0.25">
      <c r="A878" s="55" t="s">
        <v>55</v>
      </c>
      <c r="B878" s="55" t="s">
        <v>242</v>
      </c>
      <c r="C878" s="55" t="s">
        <v>16</v>
      </c>
      <c r="D878" s="60">
        <v>1</v>
      </c>
      <c r="E878" s="55" t="s">
        <v>12</v>
      </c>
      <c r="F878" s="54" t="s">
        <v>266</v>
      </c>
      <c r="G878" s="60">
        <v>1</v>
      </c>
      <c r="H878" s="60">
        <v>1</v>
      </c>
      <c r="I878" s="60">
        <v>0.92647049999999997</v>
      </c>
      <c r="K878" s="64">
        <v>6209</v>
      </c>
      <c r="M878" s="62"/>
      <c r="N878" s="63">
        <v>6209</v>
      </c>
    </row>
    <row r="879" spans="1:14" x14ac:dyDescent="0.25">
      <c r="A879" s="55" t="s">
        <v>55</v>
      </c>
      <c r="B879" s="55" t="s">
        <v>242</v>
      </c>
      <c r="C879" s="55" t="s">
        <v>21</v>
      </c>
      <c r="D879" s="60">
        <v>0.92592592592592593</v>
      </c>
      <c r="E879" s="55" t="s">
        <v>75</v>
      </c>
      <c r="F879" s="54" t="s">
        <v>268</v>
      </c>
      <c r="G879" s="60">
        <v>1</v>
      </c>
      <c r="H879" s="60">
        <v>1.0059880319839365</v>
      </c>
      <c r="I879" s="60">
        <v>0.97231829411764703</v>
      </c>
      <c r="K879" s="64">
        <v>2949</v>
      </c>
      <c r="M879" s="65">
        <v>2.5000000000000001E-2</v>
      </c>
      <c r="N879" s="63">
        <v>3029</v>
      </c>
    </row>
    <row r="880" spans="1:14" x14ac:dyDescent="0.25">
      <c r="A880" s="55" t="s">
        <v>55</v>
      </c>
      <c r="B880" s="55" t="s">
        <v>242</v>
      </c>
      <c r="C880" s="55" t="s">
        <v>21</v>
      </c>
      <c r="D880" s="60">
        <v>0.92592592592592593</v>
      </c>
      <c r="E880" s="55" t="s">
        <v>141</v>
      </c>
      <c r="F880" s="54" t="s">
        <v>268</v>
      </c>
      <c r="G880" s="60">
        <v>1</v>
      </c>
      <c r="H880" s="60">
        <v>1</v>
      </c>
      <c r="I880" s="60">
        <v>0.99019599999999997</v>
      </c>
      <c r="K880" s="64">
        <v>3309</v>
      </c>
      <c r="M880" s="62">
        <v>0.05</v>
      </c>
      <c r="N880" s="63">
        <v>3479</v>
      </c>
    </row>
    <row r="881" spans="1:14" x14ac:dyDescent="0.25">
      <c r="A881" s="55" t="s">
        <v>55</v>
      </c>
      <c r="B881" s="55" t="s">
        <v>242</v>
      </c>
      <c r="C881" s="55" t="s">
        <v>21</v>
      </c>
      <c r="D881" s="60">
        <v>0.92592592592592593</v>
      </c>
      <c r="E881" s="55" t="s">
        <v>140</v>
      </c>
      <c r="F881" s="54" t="s">
        <v>268</v>
      </c>
      <c r="G881" s="60">
        <v>1</v>
      </c>
      <c r="H881" s="60">
        <v>1</v>
      </c>
      <c r="I881" s="60">
        <v>1</v>
      </c>
      <c r="K881" s="64">
        <v>3009</v>
      </c>
      <c r="M881" s="65">
        <v>2.5000000000000001E-2</v>
      </c>
      <c r="N881" s="63">
        <v>3089</v>
      </c>
    </row>
    <row r="882" spans="1:14" x14ac:dyDescent="0.25">
      <c r="A882" s="55" t="s">
        <v>65</v>
      </c>
      <c r="B882" s="55" t="s">
        <v>66</v>
      </c>
      <c r="C882" s="55" t="s">
        <v>10</v>
      </c>
      <c r="D882" s="60">
        <v>0.9107142857142857</v>
      </c>
      <c r="E882" s="55" t="s">
        <v>12</v>
      </c>
      <c r="F882" s="54" t="s">
        <v>264</v>
      </c>
      <c r="G882" s="60">
        <v>0.79677416666666667</v>
      </c>
      <c r="H882" s="60">
        <v>0.9261904666666666</v>
      </c>
      <c r="I882" s="60">
        <v>0.92352939999999994</v>
      </c>
      <c r="K882" s="64">
        <v>399</v>
      </c>
      <c r="M882" s="62"/>
      <c r="N882" s="63">
        <v>399</v>
      </c>
    </row>
    <row r="883" spans="1:14" x14ac:dyDescent="0.25">
      <c r="A883" s="55" t="s">
        <v>65</v>
      </c>
      <c r="B883" s="55" t="s">
        <v>66</v>
      </c>
      <c r="C883" s="55" t="s">
        <v>10</v>
      </c>
      <c r="D883" s="60">
        <v>0.9107142857142857</v>
      </c>
      <c r="E883" s="55" t="s">
        <v>11</v>
      </c>
      <c r="F883" s="54" t="s">
        <v>264</v>
      </c>
      <c r="G883" s="60">
        <v>0.75310173076923081</v>
      </c>
      <c r="H883" s="60">
        <v>0.91895603846153839</v>
      </c>
      <c r="I883" s="60">
        <v>0.95022623076923074</v>
      </c>
      <c r="K883" s="64">
        <v>479</v>
      </c>
      <c r="M883" s="62"/>
      <c r="N883" s="63">
        <v>479</v>
      </c>
    </row>
    <row r="884" spans="1:14" x14ac:dyDescent="0.25">
      <c r="A884" s="55" t="s">
        <v>65</v>
      </c>
      <c r="B884" s="55" t="s">
        <v>66</v>
      </c>
      <c r="C884" s="55" t="s">
        <v>18</v>
      </c>
      <c r="D884" s="60">
        <v>1</v>
      </c>
      <c r="E884" s="55" t="s">
        <v>67</v>
      </c>
      <c r="F884" s="54" t="s">
        <v>267</v>
      </c>
      <c r="G884" s="60">
        <v>0.75</v>
      </c>
      <c r="H884" s="60">
        <v>0.75</v>
      </c>
      <c r="I884" s="60">
        <v>0.95588224999999993</v>
      </c>
      <c r="K884" s="64">
        <v>7754</v>
      </c>
      <c r="M884" s="62"/>
      <c r="N884" s="63">
        <v>7759</v>
      </c>
    </row>
    <row r="885" spans="1:14" x14ac:dyDescent="0.25">
      <c r="A885" s="55" t="s">
        <v>65</v>
      </c>
      <c r="B885" s="55" t="s">
        <v>66</v>
      </c>
      <c r="C885" s="55" t="s">
        <v>18</v>
      </c>
      <c r="D885" s="60">
        <v>1</v>
      </c>
      <c r="E885" s="55" t="s">
        <v>68</v>
      </c>
      <c r="F885" s="54" t="s">
        <v>267</v>
      </c>
      <c r="G885" s="60">
        <v>1</v>
      </c>
      <c r="H885" s="60">
        <v>1</v>
      </c>
      <c r="I885" s="60">
        <v>1</v>
      </c>
      <c r="K885" s="64">
        <v>9169</v>
      </c>
      <c r="M885" s="62"/>
      <c r="N885" s="63">
        <v>9169</v>
      </c>
    </row>
    <row r="886" spans="1:14" x14ac:dyDescent="0.25">
      <c r="A886" s="55" t="s">
        <v>65</v>
      </c>
      <c r="B886" s="55" t="s">
        <v>66</v>
      </c>
      <c r="C886" s="55" t="s">
        <v>16</v>
      </c>
      <c r="D886" s="60">
        <v>0.93333333333333335</v>
      </c>
      <c r="E886" s="55" t="s">
        <v>17</v>
      </c>
      <c r="F886" s="54" t="s">
        <v>266</v>
      </c>
      <c r="G886" s="60">
        <v>0.96505366666666659</v>
      </c>
      <c r="H886" s="60">
        <v>0.88392850000000001</v>
      </c>
      <c r="I886" s="60">
        <v>0.91666666666666663</v>
      </c>
      <c r="K886" s="64">
        <v>6049</v>
      </c>
      <c r="M886" s="62"/>
      <c r="N886" s="63">
        <v>6049</v>
      </c>
    </row>
    <row r="887" spans="1:14" x14ac:dyDescent="0.25">
      <c r="A887" s="55" t="s">
        <v>65</v>
      </c>
      <c r="B887" s="55" t="s">
        <v>66</v>
      </c>
      <c r="C887" s="55" t="s">
        <v>16</v>
      </c>
      <c r="D887" s="60">
        <v>0.93333333333333335</v>
      </c>
      <c r="E887" s="55" t="s">
        <v>12</v>
      </c>
      <c r="F887" s="54" t="s">
        <v>266</v>
      </c>
      <c r="G887" s="60">
        <v>0.86021500000000006</v>
      </c>
      <c r="H887" s="60">
        <v>0.97619033333333327</v>
      </c>
      <c r="I887" s="60">
        <v>1</v>
      </c>
      <c r="K887" s="64">
        <v>7259</v>
      </c>
      <c r="M887" s="62"/>
      <c r="N887" s="63">
        <v>7259</v>
      </c>
    </row>
    <row r="888" spans="1:14" x14ac:dyDescent="0.25">
      <c r="A888" s="55" t="s">
        <v>65</v>
      </c>
      <c r="B888" s="55" t="s">
        <v>66</v>
      </c>
      <c r="C888" s="55" t="s">
        <v>21</v>
      </c>
      <c r="D888" s="60">
        <v>0.8928571428571429</v>
      </c>
      <c r="E888" s="55" t="s">
        <v>69</v>
      </c>
      <c r="F888" s="54" t="s">
        <v>268</v>
      </c>
      <c r="G888" s="60">
        <v>0.85</v>
      </c>
      <c r="H888" s="60">
        <v>0.85</v>
      </c>
      <c r="I888" s="60">
        <v>0.9</v>
      </c>
      <c r="K888" s="64">
        <v>3309</v>
      </c>
      <c r="M888" s="62"/>
      <c r="N888" s="63">
        <v>3309</v>
      </c>
    </row>
    <row r="889" spans="1:14" x14ac:dyDescent="0.25">
      <c r="A889" s="55" t="s">
        <v>65</v>
      </c>
      <c r="B889" s="55" t="s">
        <v>66</v>
      </c>
      <c r="C889" s="55" t="s">
        <v>21</v>
      </c>
      <c r="D889" s="60">
        <v>0.8928571428571429</v>
      </c>
      <c r="E889" s="55" t="s">
        <v>70</v>
      </c>
      <c r="F889" s="54" t="s">
        <v>268</v>
      </c>
      <c r="G889" s="60">
        <v>0.875</v>
      </c>
      <c r="H889" s="60">
        <v>0.875</v>
      </c>
      <c r="I889" s="60">
        <v>0.875</v>
      </c>
      <c r="K889" s="64">
        <v>3389</v>
      </c>
      <c r="M889" s="62"/>
      <c r="N889" s="63">
        <v>3389</v>
      </c>
    </row>
    <row r="890" spans="1:14" x14ac:dyDescent="0.25">
      <c r="A890" s="55" t="s">
        <v>65</v>
      </c>
      <c r="B890" s="55" t="s">
        <v>94</v>
      </c>
      <c r="C890" s="55" t="s">
        <v>10</v>
      </c>
      <c r="D890" s="60">
        <v>0.94915254237288138</v>
      </c>
      <c r="E890" s="55" t="s">
        <v>11</v>
      </c>
      <c r="F890" s="54" t="s">
        <v>264</v>
      </c>
      <c r="G890" s="60">
        <v>0.96015178431372539</v>
      </c>
      <c r="H890" s="60">
        <v>0.97268905882352952</v>
      </c>
      <c r="I890" s="60">
        <v>0.95501729411764713</v>
      </c>
      <c r="K890" s="64">
        <v>459</v>
      </c>
      <c r="M890" s="62"/>
      <c r="N890" s="63">
        <v>459</v>
      </c>
    </row>
    <row r="891" spans="1:14" x14ac:dyDescent="0.25">
      <c r="A891" s="55" t="s">
        <v>65</v>
      </c>
      <c r="B891" s="55" t="s">
        <v>94</v>
      </c>
      <c r="C891" s="55" t="s">
        <v>10</v>
      </c>
      <c r="D891" s="60">
        <v>0.94915254237288138</v>
      </c>
      <c r="E891" s="55" t="s">
        <v>12</v>
      </c>
      <c r="F891" s="54" t="s">
        <v>264</v>
      </c>
      <c r="G891" s="60">
        <v>0.95564512499999998</v>
      </c>
      <c r="H891" s="60">
        <v>0.9375</v>
      </c>
      <c r="I891" s="60">
        <v>0.99264699999999995</v>
      </c>
      <c r="K891" s="64">
        <v>429</v>
      </c>
      <c r="M891" s="62"/>
      <c r="N891" s="63">
        <v>429</v>
      </c>
    </row>
    <row r="892" spans="1:14" x14ac:dyDescent="0.25">
      <c r="A892" s="55" t="s">
        <v>65</v>
      </c>
      <c r="B892" s="55" t="s">
        <v>94</v>
      </c>
      <c r="C892" s="55" t="s">
        <v>13</v>
      </c>
      <c r="D892" s="60">
        <v>1</v>
      </c>
      <c r="E892" s="55" t="s">
        <v>14</v>
      </c>
      <c r="F892" s="54" t="s">
        <v>265</v>
      </c>
      <c r="G892" s="60">
        <v>1</v>
      </c>
      <c r="H892" s="60">
        <v>0.97857140000000009</v>
      </c>
      <c r="I892" s="60">
        <v>0.84705879999999989</v>
      </c>
      <c r="K892" s="64">
        <v>419</v>
      </c>
      <c r="M892" s="62"/>
      <c r="N892" s="63">
        <v>419</v>
      </c>
    </row>
    <row r="893" spans="1:14" x14ac:dyDescent="0.25">
      <c r="A893" s="55" t="s">
        <v>65</v>
      </c>
      <c r="B893" s="55" t="s">
        <v>94</v>
      </c>
      <c r="C893" s="55" t="s">
        <v>13</v>
      </c>
      <c r="D893" s="60">
        <v>1</v>
      </c>
      <c r="E893" s="55" t="s">
        <v>15</v>
      </c>
      <c r="F893" s="54" t="s">
        <v>265</v>
      </c>
      <c r="G893" s="60">
        <v>1</v>
      </c>
      <c r="H893" s="60">
        <v>0.97619033333333327</v>
      </c>
      <c r="I893" s="60">
        <v>1</v>
      </c>
      <c r="K893" s="64">
        <v>389</v>
      </c>
      <c r="M893" s="62"/>
      <c r="N893" s="63">
        <v>389</v>
      </c>
    </row>
    <row r="894" spans="1:14" x14ac:dyDescent="0.25">
      <c r="A894" s="55" t="s">
        <v>65</v>
      </c>
      <c r="B894" s="55" t="s">
        <v>94</v>
      </c>
      <c r="C894" s="55" t="s">
        <v>16</v>
      </c>
      <c r="D894" s="60">
        <v>1</v>
      </c>
      <c r="E894" s="55" t="s">
        <v>17</v>
      </c>
      <c r="F894" s="54" t="s">
        <v>266</v>
      </c>
      <c r="G894" s="60">
        <v>0.94994434482758627</v>
      </c>
      <c r="H894" s="60">
        <v>0.95320196551724135</v>
      </c>
      <c r="I894" s="60">
        <v>0.9776876206896552</v>
      </c>
      <c r="K894" s="64">
        <v>6545.2068965517237</v>
      </c>
      <c r="M894" s="65">
        <v>2.5000000000000001E-2</v>
      </c>
      <c r="N894" s="63">
        <v>6709</v>
      </c>
    </row>
    <row r="895" spans="1:14" x14ac:dyDescent="0.25">
      <c r="A895" s="55" t="s">
        <v>65</v>
      </c>
      <c r="B895" s="55" t="s">
        <v>94</v>
      </c>
      <c r="C895" s="55" t="s">
        <v>16</v>
      </c>
      <c r="D895" s="60">
        <v>1</v>
      </c>
      <c r="E895" s="55" t="s">
        <v>12</v>
      </c>
      <c r="F895" s="54" t="s">
        <v>266</v>
      </c>
      <c r="G895" s="60">
        <v>1</v>
      </c>
      <c r="H895" s="60">
        <v>1</v>
      </c>
      <c r="I895" s="60">
        <v>1</v>
      </c>
      <c r="K895" s="64">
        <v>7411</v>
      </c>
      <c r="M895" s="65">
        <v>2.5000000000000001E-2</v>
      </c>
      <c r="N895" s="63">
        <v>7599</v>
      </c>
    </row>
    <row r="896" spans="1:14" x14ac:dyDescent="0.25">
      <c r="A896" s="55" t="s">
        <v>65</v>
      </c>
      <c r="B896" s="55" t="s">
        <v>94</v>
      </c>
      <c r="C896" s="55" t="s">
        <v>18</v>
      </c>
      <c r="D896" s="60">
        <v>0.9</v>
      </c>
      <c r="E896" s="55" t="s">
        <v>95</v>
      </c>
      <c r="F896" s="54" t="s">
        <v>267</v>
      </c>
      <c r="G896" s="60">
        <v>1</v>
      </c>
      <c r="H896" s="60">
        <v>1</v>
      </c>
      <c r="I896" s="60">
        <v>1</v>
      </c>
      <c r="K896" s="64">
        <v>9139</v>
      </c>
      <c r="M896" s="65"/>
      <c r="N896" s="63">
        <v>9139</v>
      </c>
    </row>
    <row r="897" spans="1:14" x14ac:dyDescent="0.25">
      <c r="A897" s="55" t="s">
        <v>65</v>
      </c>
      <c r="B897" s="55" t="s">
        <v>94</v>
      </c>
      <c r="C897" s="55" t="s">
        <v>18</v>
      </c>
      <c r="D897" s="60">
        <v>0.9</v>
      </c>
      <c r="E897" s="55" t="s">
        <v>20</v>
      </c>
      <c r="F897" s="54" t="s">
        <v>267</v>
      </c>
      <c r="G897" s="60">
        <v>1</v>
      </c>
      <c r="H897" s="60">
        <v>1</v>
      </c>
      <c r="I897" s="60">
        <v>1</v>
      </c>
      <c r="K897" s="64">
        <v>9139</v>
      </c>
      <c r="M897" s="65"/>
      <c r="N897" s="63">
        <v>9139</v>
      </c>
    </row>
    <row r="898" spans="1:14" x14ac:dyDescent="0.25">
      <c r="A898" s="55" t="s">
        <v>65</v>
      </c>
      <c r="B898" s="55" t="s">
        <v>94</v>
      </c>
      <c r="C898" s="55" t="s">
        <v>18</v>
      </c>
      <c r="D898" s="60">
        <v>0.9</v>
      </c>
      <c r="E898" s="55" t="s">
        <v>19</v>
      </c>
      <c r="F898" s="54" t="s">
        <v>267</v>
      </c>
      <c r="G898" s="60">
        <v>0.90891835294117651</v>
      </c>
      <c r="H898" s="60">
        <v>0.92016805882352937</v>
      </c>
      <c r="I898" s="60">
        <v>0.88235294117647056</v>
      </c>
      <c r="K898" s="64">
        <v>8459</v>
      </c>
      <c r="M898" s="62"/>
      <c r="N898" s="63">
        <v>8459</v>
      </c>
    </row>
    <row r="899" spans="1:14" x14ac:dyDescent="0.25">
      <c r="A899" s="55" t="s">
        <v>65</v>
      </c>
      <c r="B899" s="55" t="s">
        <v>94</v>
      </c>
      <c r="C899" s="55" t="s">
        <v>21</v>
      </c>
      <c r="D899" s="60">
        <v>0.96666666666666667</v>
      </c>
      <c r="E899" s="55" t="s">
        <v>29</v>
      </c>
      <c r="F899" s="54" t="s">
        <v>268</v>
      </c>
      <c r="G899" s="60">
        <v>1</v>
      </c>
      <c r="H899" s="60">
        <v>1</v>
      </c>
      <c r="I899" s="60">
        <v>0.92941169999999995</v>
      </c>
      <c r="K899" s="64">
        <v>2897</v>
      </c>
      <c r="M899" s="62"/>
      <c r="N899" s="63">
        <v>2899</v>
      </c>
    </row>
    <row r="900" spans="1:14" x14ac:dyDescent="0.25">
      <c r="A900" s="55" t="s">
        <v>65</v>
      </c>
      <c r="B900" s="55" t="s">
        <v>94</v>
      </c>
      <c r="C900" s="55" t="s">
        <v>21</v>
      </c>
      <c r="D900" s="60">
        <v>0.96666666666666667</v>
      </c>
      <c r="E900" s="55" t="s">
        <v>31</v>
      </c>
      <c r="F900" s="54" t="s">
        <v>268</v>
      </c>
      <c r="G900" s="60">
        <v>1</v>
      </c>
      <c r="H900" s="60">
        <v>0.99464284999999997</v>
      </c>
      <c r="I900" s="60">
        <v>0.9705881999999999</v>
      </c>
      <c r="K900" s="64">
        <v>3338.5</v>
      </c>
      <c r="M900" s="65">
        <v>0.05</v>
      </c>
      <c r="N900" s="63">
        <v>3509</v>
      </c>
    </row>
    <row r="901" spans="1:14" x14ac:dyDescent="0.25">
      <c r="A901" s="55" t="s">
        <v>65</v>
      </c>
      <c r="B901" s="55" t="s">
        <v>125</v>
      </c>
      <c r="C901" s="55" t="s">
        <v>10</v>
      </c>
      <c r="D901" s="60">
        <v>0.96226415094339623</v>
      </c>
      <c r="E901" s="55" t="s">
        <v>30</v>
      </c>
      <c r="F901" s="54" t="s">
        <v>264</v>
      </c>
      <c r="G901" s="60">
        <v>0.96774166666666661</v>
      </c>
      <c r="H901" s="60">
        <v>0.8928569999999999</v>
      </c>
      <c r="I901" s="60">
        <v>0.98039200000000004</v>
      </c>
      <c r="K901" s="64">
        <v>449</v>
      </c>
      <c r="M901" s="65">
        <v>2.5000000000000001E-2</v>
      </c>
      <c r="N901" s="63">
        <v>469</v>
      </c>
    </row>
    <row r="902" spans="1:14" x14ac:dyDescent="0.25">
      <c r="A902" s="55" t="s">
        <v>65</v>
      </c>
      <c r="B902" s="55" t="s">
        <v>125</v>
      </c>
      <c r="C902" s="55" t="s">
        <v>10</v>
      </c>
      <c r="D902" s="60">
        <v>0.96226415094339623</v>
      </c>
      <c r="E902" s="55" t="s">
        <v>17</v>
      </c>
      <c r="F902" s="54" t="s">
        <v>264</v>
      </c>
      <c r="G902" s="60">
        <v>0.97883053124999997</v>
      </c>
      <c r="H902" s="60">
        <v>0.93080350000000001</v>
      </c>
      <c r="I902" s="60">
        <v>0.92463228124999997</v>
      </c>
      <c r="K902" s="64">
        <v>404.625</v>
      </c>
      <c r="M902" s="65">
        <v>2.5000000000000001E-2</v>
      </c>
      <c r="N902" s="63">
        <v>419</v>
      </c>
    </row>
    <row r="903" spans="1:14" x14ac:dyDescent="0.25">
      <c r="A903" s="55" t="s">
        <v>65</v>
      </c>
      <c r="B903" s="55" t="s">
        <v>125</v>
      </c>
      <c r="C903" s="55" t="s">
        <v>10</v>
      </c>
      <c r="D903" s="60">
        <v>0.96226415094339623</v>
      </c>
      <c r="E903" s="55" t="s">
        <v>44</v>
      </c>
      <c r="F903" s="54" t="s">
        <v>264</v>
      </c>
      <c r="G903" s="60">
        <v>0.96594966666666648</v>
      </c>
      <c r="H903" s="60">
        <v>0.96230155555555563</v>
      </c>
      <c r="I903" s="60">
        <v>1</v>
      </c>
      <c r="K903" s="64">
        <v>347.88888888888891</v>
      </c>
      <c r="M903" s="65">
        <v>2.5000000000000001E-2</v>
      </c>
      <c r="N903" s="63">
        <v>359</v>
      </c>
    </row>
    <row r="904" spans="1:14" x14ac:dyDescent="0.25">
      <c r="A904" s="55" t="s">
        <v>65</v>
      </c>
      <c r="B904" s="55" t="s">
        <v>125</v>
      </c>
      <c r="C904" s="55" t="s">
        <v>16</v>
      </c>
      <c r="D904" s="60">
        <v>1</v>
      </c>
      <c r="E904" s="55" t="s">
        <v>17</v>
      </c>
      <c r="F904" s="54" t="s">
        <v>266</v>
      </c>
      <c r="G904" s="60">
        <v>0.95053753333333335</v>
      </c>
      <c r="H904" s="60">
        <v>0.95238086666666677</v>
      </c>
      <c r="I904" s="60">
        <v>0.96470579999999984</v>
      </c>
      <c r="K904" s="64">
        <v>5909.666666666667</v>
      </c>
      <c r="M904" s="65">
        <v>0.05</v>
      </c>
      <c r="N904" s="63">
        <v>6209</v>
      </c>
    </row>
    <row r="905" spans="1:14" x14ac:dyDescent="0.25">
      <c r="A905" s="55" t="s">
        <v>65</v>
      </c>
      <c r="B905" s="55" t="s">
        <v>125</v>
      </c>
      <c r="C905" s="55" t="s">
        <v>16</v>
      </c>
      <c r="D905" s="60">
        <v>1</v>
      </c>
      <c r="E905" s="55" t="s">
        <v>44</v>
      </c>
      <c r="F905" s="54" t="s">
        <v>266</v>
      </c>
      <c r="G905" s="60">
        <v>1</v>
      </c>
      <c r="H905" s="60">
        <v>1</v>
      </c>
      <c r="I905" s="60">
        <v>1</v>
      </c>
      <c r="K905" s="64">
        <v>6719</v>
      </c>
      <c r="M905" s="62"/>
      <c r="N905" s="63">
        <v>6719</v>
      </c>
    </row>
    <row r="906" spans="1:14" x14ac:dyDescent="0.25">
      <c r="A906" s="55" t="s">
        <v>65</v>
      </c>
      <c r="B906" s="55" t="s">
        <v>125</v>
      </c>
      <c r="C906" s="55" t="s">
        <v>18</v>
      </c>
      <c r="D906" s="60">
        <v>1</v>
      </c>
      <c r="E906" s="55" t="s">
        <v>32</v>
      </c>
      <c r="F906" s="54" t="s">
        <v>267</v>
      </c>
      <c r="G906" s="60">
        <v>1</v>
      </c>
      <c r="H906" s="60">
        <v>1</v>
      </c>
      <c r="I906" s="60">
        <v>1</v>
      </c>
      <c r="K906" s="64">
        <v>6984</v>
      </c>
      <c r="M906" s="65">
        <v>0.05</v>
      </c>
      <c r="N906" s="63">
        <v>7339</v>
      </c>
    </row>
    <row r="907" spans="1:14" x14ac:dyDescent="0.25">
      <c r="A907" s="55" t="s">
        <v>65</v>
      </c>
      <c r="B907" s="55" t="s">
        <v>125</v>
      </c>
      <c r="C907" s="55" t="s">
        <v>18</v>
      </c>
      <c r="D907" s="60">
        <v>1</v>
      </c>
      <c r="E907" s="55" t="s">
        <v>45</v>
      </c>
      <c r="F907" s="54" t="s">
        <v>267</v>
      </c>
      <c r="G907" s="60">
        <v>1</v>
      </c>
      <c r="H907" s="60">
        <v>1</v>
      </c>
      <c r="I907" s="60">
        <v>1</v>
      </c>
      <c r="K907" s="64">
        <v>7892.333333333333</v>
      </c>
      <c r="M907" s="62"/>
      <c r="N907" s="63">
        <v>7899</v>
      </c>
    </row>
    <row r="908" spans="1:14" x14ac:dyDescent="0.25">
      <c r="A908" s="55" t="s">
        <v>65</v>
      </c>
      <c r="B908" s="55" t="s">
        <v>127</v>
      </c>
      <c r="C908" s="55" t="s">
        <v>10</v>
      </c>
      <c r="D908" s="60">
        <v>0.90740740740740744</v>
      </c>
      <c r="E908" s="55" t="s">
        <v>30</v>
      </c>
      <c r="F908" s="54" t="s">
        <v>264</v>
      </c>
      <c r="G908" s="60">
        <v>0.97419319999999998</v>
      </c>
      <c r="H908" s="60">
        <v>0.97142839999999997</v>
      </c>
      <c r="I908" s="60">
        <v>1</v>
      </c>
      <c r="K908" s="64">
        <v>451</v>
      </c>
      <c r="M908" s="62"/>
      <c r="N908" s="63">
        <v>459</v>
      </c>
    </row>
    <row r="909" spans="1:14" x14ac:dyDescent="0.25">
      <c r="A909" s="55" t="s">
        <v>65</v>
      </c>
      <c r="B909" s="55" t="s">
        <v>127</v>
      </c>
      <c r="C909" s="55" t="s">
        <v>10</v>
      </c>
      <c r="D909" s="60">
        <v>0.90740740740740744</v>
      </c>
      <c r="E909" s="55" t="s">
        <v>17</v>
      </c>
      <c r="F909" s="54" t="s">
        <v>264</v>
      </c>
      <c r="G909" s="60">
        <v>0.93743878787878787</v>
      </c>
      <c r="H909" s="60">
        <v>0.93398260606060601</v>
      </c>
      <c r="I909" s="60">
        <v>0.90196072727272736</v>
      </c>
      <c r="K909" s="64">
        <v>415.36363636363637</v>
      </c>
      <c r="M909" s="62"/>
      <c r="N909" s="63">
        <v>419</v>
      </c>
    </row>
    <row r="910" spans="1:14" x14ac:dyDescent="0.25">
      <c r="A910" s="55" t="s">
        <v>65</v>
      </c>
      <c r="B910" s="55" t="s">
        <v>127</v>
      </c>
      <c r="C910" s="55" t="s">
        <v>10</v>
      </c>
      <c r="D910" s="60">
        <v>0.90740740740740744</v>
      </c>
      <c r="E910" s="55" t="s">
        <v>44</v>
      </c>
      <c r="F910" s="54" t="s">
        <v>264</v>
      </c>
      <c r="G910" s="60">
        <v>0.98588706250000002</v>
      </c>
      <c r="H910" s="60">
        <v>0.95758924999999995</v>
      </c>
      <c r="I910" s="60">
        <v>0.94852931250000005</v>
      </c>
      <c r="K910" s="64">
        <v>359</v>
      </c>
      <c r="M910" s="62"/>
      <c r="N910" s="63">
        <v>359</v>
      </c>
    </row>
    <row r="911" spans="1:14" x14ac:dyDescent="0.25">
      <c r="A911" s="55" t="s">
        <v>65</v>
      </c>
      <c r="B911" s="55" t="s">
        <v>127</v>
      </c>
      <c r="C911" s="55" t="s">
        <v>16</v>
      </c>
      <c r="D911" s="60">
        <v>1</v>
      </c>
      <c r="E911" s="55" t="s">
        <v>17</v>
      </c>
      <c r="F911" s="54" t="s">
        <v>266</v>
      </c>
      <c r="G911" s="60">
        <v>0.99354833333333326</v>
      </c>
      <c r="H911" s="60">
        <v>0.9952380666666667</v>
      </c>
      <c r="I911" s="60">
        <v>1</v>
      </c>
      <c r="K911" s="64">
        <v>6939</v>
      </c>
      <c r="M911" s="62"/>
      <c r="N911" s="63">
        <v>6939</v>
      </c>
    </row>
    <row r="912" spans="1:14" x14ac:dyDescent="0.25">
      <c r="A912" s="55" t="s">
        <v>65</v>
      </c>
      <c r="B912" s="55" t="s">
        <v>127</v>
      </c>
      <c r="C912" s="55" t="s">
        <v>16</v>
      </c>
      <c r="D912" s="60">
        <v>1</v>
      </c>
      <c r="E912" s="55" t="s">
        <v>44</v>
      </c>
      <c r="F912" s="54" t="s">
        <v>266</v>
      </c>
      <c r="G912" s="60">
        <v>0.77419300000000002</v>
      </c>
      <c r="H912" s="60">
        <v>1</v>
      </c>
      <c r="I912" s="60">
        <v>1</v>
      </c>
      <c r="K912" s="64">
        <v>7545.666666666667</v>
      </c>
      <c r="M912" s="62"/>
      <c r="N912" s="63">
        <v>7549</v>
      </c>
    </row>
    <row r="913" spans="1:14" x14ac:dyDescent="0.25">
      <c r="A913" s="55" t="s">
        <v>65</v>
      </c>
      <c r="B913" s="55" t="s">
        <v>127</v>
      </c>
      <c r="C913" s="55" t="s">
        <v>16</v>
      </c>
      <c r="D913" s="60">
        <v>1</v>
      </c>
      <c r="E913" s="55" t="s">
        <v>26</v>
      </c>
      <c r="F913" s="54" t="s">
        <v>266</v>
      </c>
      <c r="G913" s="60">
        <v>1</v>
      </c>
      <c r="H913" s="60">
        <v>1</v>
      </c>
      <c r="I913" s="60">
        <v>1</v>
      </c>
      <c r="K913" s="64">
        <v>7769</v>
      </c>
      <c r="M913" s="62"/>
      <c r="N913" s="63">
        <v>7769</v>
      </c>
    </row>
    <row r="914" spans="1:14" x14ac:dyDescent="0.25">
      <c r="A914" s="55" t="s">
        <v>65</v>
      </c>
      <c r="B914" s="55" t="s">
        <v>127</v>
      </c>
      <c r="C914" s="55" t="s">
        <v>18</v>
      </c>
      <c r="D914" s="60">
        <v>0.93333333333333335</v>
      </c>
      <c r="E914" s="55" t="s">
        <v>32</v>
      </c>
      <c r="F914" s="54" t="s">
        <v>267</v>
      </c>
      <c r="G914" s="60">
        <v>0.94892466666666664</v>
      </c>
      <c r="H914" s="60">
        <v>1</v>
      </c>
      <c r="I914" s="60">
        <v>1</v>
      </c>
      <c r="K914" s="64">
        <v>7730.666666666667</v>
      </c>
      <c r="M914" s="65">
        <v>2.5000000000000001E-2</v>
      </c>
      <c r="N914" s="63">
        <v>7929</v>
      </c>
    </row>
    <row r="915" spans="1:14" x14ac:dyDescent="0.25">
      <c r="A915" s="55" t="s">
        <v>65</v>
      </c>
      <c r="B915" s="55" t="s">
        <v>127</v>
      </c>
      <c r="C915" s="55" t="s">
        <v>18</v>
      </c>
      <c r="D915" s="60">
        <v>0.93333333333333335</v>
      </c>
      <c r="E915" s="55" t="s">
        <v>45</v>
      </c>
      <c r="F915" s="54" t="s">
        <v>267</v>
      </c>
      <c r="G915" s="60">
        <v>1</v>
      </c>
      <c r="H915" s="60">
        <v>0.97619033333333327</v>
      </c>
      <c r="I915" s="60">
        <v>0.66666666666666663</v>
      </c>
      <c r="K915" s="64">
        <v>8945.6666666666661</v>
      </c>
      <c r="M915" s="62"/>
      <c r="N915" s="63">
        <v>8949</v>
      </c>
    </row>
    <row r="916" spans="1:14" x14ac:dyDescent="0.25">
      <c r="A916" s="55" t="s">
        <v>65</v>
      </c>
      <c r="B916" s="55" t="s">
        <v>127</v>
      </c>
      <c r="C916" s="55" t="s">
        <v>46</v>
      </c>
      <c r="D916" s="60">
        <v>1</v>
      </c>
      <c r="E916" s="55" t="s">
        <v>29</v>
      </c>
      <c r="F916" s="54" t="s">
        <v>269</v>
      </c>
      <c r="G916" s="60">
        <v>0.98387089999999999</v>
      </c>
      <c r="H916" s="60">
        <v>1</v>
      </c>
      <c r="I916" s="60">
        <v>1</v>
      </c>
      <c r="K916" s="64">
        <v>4859.5</v>
      </c>
      <c r="M916" s="65">
        <v>2.5000000000000001E-2</v>
      </c>
      <c r="N916" s="63">
        <v>4989</v>
      </c>
    </row>
    <row r="917" spans="1:14" x14ac:dyDescent="0.25">
      <c r="A917" s="55" t="s">
        <v>65</v>
      </c>
      <c r="B917" s="55" t="s">
        <v>127</v>
      </c>
      <c r="C917" s="55" t="s">
        <v>46</v>
      </c>
      <c r="D917" s="60">
        <v>1</v>
      </c>
      <c r="E917" s="55" t="s">
        <v>17</v>
      </c>
      <c r="F917" s="54" t="s">
        <v>269</v>
      </c>
      <c r="G917" s="60">
        <v>0.97580624999999999</v>
      </c>
      <c r="H917" s="60">
        <v>0.80357125000000007</v>
      </c>
      <c r="I917" s="60">
        <v>1</v>
      </c>
      <c r="K917" s="64">
        <v>3876.5</v>
      </c>
      <c r="M917" s="62"/>
      <c r="N917" s="63">
        <v>3879</v>
      </c>
    </row>
    <row r="918" spans="1:14" x14ac:dyDescent="0.25">
      <c r="A918" s="55" t="s">
        <v>65</v>
      </c>
      <c r="B918" s="55" t="s">
        <v>161</v>
      </c>
      <c r="C918" s="55" t="s">
        <v>10</v>
      </c>
      <c r="D918" s="60">
        <v>0.59259259259259256</v>
      </c>
      <c r="E918" s="55" t="s">
        <v>30</v>
      </c>
      <c r="F918" s="54" t="s">
        <v>264</v>
      </c>
      <c r="G918" s="60">
        <v>1</v>
      </c>
      <c r="H918" s="60">
        <v>0.53571400000000002</v>
      </c>
      <c r="I918" s="60">
        <v>1</v>
      </c>
      <c r="K918" s="64">
        <v>449</v>
      </c>
      <c r="M918" s="62"/>
      <c r="N918" s="63">
        <v>449</v>
      </c>
    </row>
    <row r="919" spans="1:14" x14ac:dyDescent="0.25">
      <c r="A919" s="55" t="s">
        <v>65</v>
      </c>
      <c r="B919" s="55" t="s">
        <v>161</v>
      </c>
      <c r="C919" s="55" t="s">
        <v>10</v>
      </c>
      <c r="D919" s="60">
        <v>0.59259259259259256</v>
      </c>
      <c r="E919" s="55" t="s">
        <v>17</v>
      </c>
      <c r="F919" s="54" t="s">
        <v>264</v>
      </c>
      <c r="G919" s="60">
        <v>0.69944921951219508</v>
      </c>
      <c r="H919" s="60">
        <v>0.69512192682926821</v>
      </c>
      <c r="I919" s="60">
        <v>0.67144902439024401</v>
      </c>
      <c r="K919" s="64">
        <v>402.17073170731709</v>
      </c>
      <c r="M919" s="62"/>
      <c r="N919" s="63">
        <v>409</v>
      </c>
    </row>
    <row r="920" spans="1:14" x14ac:dyDescent="0.25">
      <c r="A920" s="55" t="s">
        <v>65</v>
      </c>
      <c r="B920" s="55" t="s">
        <v>161</v>
      </c>
      <c r="C920" s="55" t="s">
        <v>10</v>
      </c>
      <c r="D920" s="60">
        <v>0.59259259259259256</v>
      </c>
      <c r="E920" s="55" t="s">
        <v>44</v>
      </c>
      <c r="F920" s="54" t="s">
        <v>264</v>
      </c>
      <c r="G920" s="60">
        <v>0.5456989166666667</v>
      </c>
      <c r="H920" s="60">
        <v>0.52678566666666671</v>
      </c>
      <c r="I920" s="60">
        <v>0.53431366666666669</v>
      </c>
      <c r="K920" s="64">
        <v>342.33333333333331</v>
      </c>
      <c r="M920" s="62"/>
      <c r="N920" s="63">
        <v>349</v>
      </c>
    </row>
    <row r="921" spans="1:14" x14ac:dyDescent="0.25">
      <c r="A921" s="55" t="s">
        <v>65</v>
      </c>
      <c r="B921" s="55" t="s">
        <v>161</v>
      </c>
      <c r="C921" s="55" t="s">
        <v>16</v>
      </c>
      <c r="D921" s="60">
        <v>1</v>
      </c>
      <c r="E921" s="55" t="s">
        <v>17</v>
      </c>
      <c r="F921" s="54" t="s">
        <v>266</v>
      </c>
      <c r="G921" s="60">
        <v>0.95053753333333335</v>
      </c>
      <c r="H921" s="60">
        <v>0.99761900000000003</v>
      </c>
      <c r="I921" s="60">
        <v>1</v>
      </c>
      <c r="K921" s="64">
        <v>6009</v>
      </c>
      <c r="M921" s="65">
        <v>2.5000000000000001E-2</v>
      </c>
      <c r="N921" s="63">
        <v>6159</v>
      </c>
    </row>
    <row r="922" spans="1:14" x14ac:dyDescent="0.25">
      <c r="A922" s="55" t="s">
        <v>65</v>
      </c>
      <c r="B922" s="55" t="s">
        <v>161</v>
      </c>
      <c r="C922" s="55" t="s">
        <v>16</v>
      </c>
      <c r="D922" s="60">
        <v>1</v>
      </c>
      <c r="E922" s="55" t="s">
        <v>44</v>
      </c>
      <c r="F922" s="54" t="s">
        <v>266</v>
      </c>
      <c r="G922" s="60">
        <v>1</v>
      </c>
      <c r="H922" s="60">
        <v>1</v>
      </c>
      <c r="I922" s="60">
        <v>1</v>
      </c>
      <c r="K922" s="64">
        <v>6574</v>
      </c>
      <c r="M922" s="65">
        <v>2.5000000000000001E-2</v>
      </c>
      <c r="N922" s="63">
        <v>6739</v>
      </c>
    </row>
    <row r="923" spans="1:14" x14ac:dyDescent="0.25">
      <c r="A923" s="55" t="s">
        <v>65</v>
      </c>
      <c r="B923" s="55" t="s">
        <v>161</v>
      </c>
      <c r="C923" s="55" t="s">
        <v>18</v>
      </c>
      <c r="D923" s="60">
        <v>1</v>
      </c>
      <c r="E923" s="55" t="s">
        <v>32</v>
      </c>
      <c r="F923" s="54" t="s">
        <v>267</v>
      </c>
      <c r="G923" s="60">
        <v>0.90322574999999994</v>
      </c>
      <c r="H923" s="60">
        <v>0.94940474999999991</v>
      </c>
      <c r="I923" s="60">
        <v>1</v>
      </c>
      <c r="K923" s="64">
        <v>7099</v>
      </c>
      <c r="M923" s="65">
        <v>2.5000000000000001E-2</v>
      </c>
      <c r="N923" s="63">
        <v>7279</v>
      </c>
    </row>
    <row r="924" spans="1:14" x14ac:dyDescent="0.25">
      <c r="A924" s="55" t="s">
        <v>65</v>
      </c>
      <c r="B924" s="55" t="s">
        <v>161</v>
      </c>
      <c r="C924" s="55" t="s">
        <v>18</v>
      </c>
      <c r="D924" s="60">
        <v>1</v>
      </c>
      <c r="E924" s="55" t="s">
        <v>45</v>
      </c>
      <c r="F924" s="54" t="s">
        <v>267</v>
      </c>
      <c r="G924" s="60">
        <v>1</v>
      </c>
      <c r="H924" s="60">
        <v>1</v>
      </c>
      <c r="I924" s="60">
        <v>1</v>
      </c>
      <c r="K924" s="64">
        <v>7705.666666666667</v>
      </c>
      <c r="M924" s="65">
        <v>2.5000000000000001E-2</v>
      </c>
      <c r="N924" s="63">
        <v>7899</v>
      </c>
    </row>
    <row r="925" spans="1:14" x14ac:dyDescent="0.25">
      <c r="A925" s="55" t="s">
        <v>65</v>
      </c>
      <c r="B925" s="55" t="s">
        <v>161</v>
      </c>
      <c r="C925" s="55" t="s">
        <v>59</v>
      </c>
      <c r="D925" s="60">
        <v>0.96</v>
      </c>
      <c r="E925" s="55" t="s">
        <v>58</v>
      </c>
      <c r="F925" s="54" t="s">
        <v>269</v>
      </c>
      <c r="G925" s="60">
        <v>0.98387089999999999</v>
      </c>
      <c r="H925" s="60">
        <v>0.99821424999999997</v>
      </c>
      <c r="I925" s="60">
        <v>0.97352939999999999</v>
      </c>
      <c r="K925" s="64">
        <v>4180.5</v>
      </c>
      <c r="M925" s="65">
        <v>0.05</v>
      </c>
      <c r="N925" s="63">
        <v>4389</v>
      </c>
    </row>
    <row r="926" spans="1:14" x14ac:dyDescent="0.25">
      <c r="A926" s="55" t="s">
        <v>65</v>
      </c>
      <c r="B926" s="55" t="s">
        <v>161</v>
      </c>
      <c r="C926" s="55" t="s">
        <v>59</v>
      </c>
      <c r="D926" s="60">
        <v>0.96</v>
      </c>
      <c r="E926" s="55" t="s">
        <v>60</v>
      </c>
      <c r="F926" s="54" t="s">
        <v>269</v>
      </c>
      <c r="G926" s="60">
        <v>1</v>
      </c>
      <c r="H926" s="60">
        <v>1</v>
      </c>
      <c r="I926" s="60">
        <v>1</v>
      </c>
      <c r="K926" s="64">
        <v>3401</v>
      </c>
      <c r="M926" s="65">
        <v>0.05</v>
      </c>
      <c r="N926" s="63">
        <v>3579</v>
      </c>
    </row>
    <row r="927" spans="1:14" x14ac:dyDescent="0.25">
      <c r="A927" s="55" t="s">
        <v>65</v>
      </c>
      <c r="B927" s="55" t="s">
        <v>184</v>
      </c>
      <c r="C927" s="55" t="s">
        <v>10</v>
      </c>
      <c r="D927" s="60">
        <v>0.96296296296296291</v>
      </c>
      <c r="E927" s="55" t="s">
        <v>30</v>
      </c>
      <c r="F927" s="54" t="s">
        <v>264</v>
      </c>
      <c r="G927" s="60">
        <v>1</v>
      </c>
      <c r="H927" s="60">
        <v>1</v>
      </c>
      <c r="I927" s="60">
        <v>1</v>
      </c>
      <c r="K927" s="64">
        <v>419</v>
      </c>
      <c r="M927" s="65">
        <v>2.5000000000000001E-2</v>
      </c>
      <c r="N927" s="63">
        <v>429</v>
      </c>
    </row>
    <row r="928" spans="1:14" x14ac:dyDescent="0.25">
      <c r="A928" s="55" t="s">
        <v>65</v>
      </c>
      <c r="B928" s="55" t="s">
        <v>184</v>
      </c>
      <c r="C928" s="55" t="s">
        <v>10</v>
      </c>
      <c r="D928" s="60">
        <v>0.96296296296296291</v>
      </c>
      <c r="E928" s="55" t="s">
        <v>17</v>
      </c>
      <c r="F928" s="54" t="s">
        <v>264</v>
      </c>
      <c r="G928" s="60">
        <v>0.97849451515151509</v>
      </c>
      <c r="H928" s="60">
        <v>0.96103890909090905</v>
      </c>
      <c r="I928" s="60">
        <v>0.94830651515151509</v>
      </c>
      <c r="K928" s="64">
        <v>393.24242424242425</v>
      </c>
      <c r="M928" s="65">
        <v>2.5000000000000001E-2</v>
      </c>
      <c r="N928" s="63">
        <v>409</v>
      </c>
    </row>
    <row r="929" spans="1:14" x14ac:dyDescent="0.25">
      <c r="A929" s="55" t="s">
        <v>65</v>
      </c>
      <c r="B929" s="55" t="s">
        <v>184</v>
      </c>
      <c r="C929" s="55" t="s">
        <v>10</v>
      </c>
      <c r="D929" s="60">
        <v>0.96296296296296291</v>
      </c>
      <c r="E929" s="55" t="s">
        <v>44</v>
      </c>
      <c r="F929" s="54" t="s">
        <v>264</v>
      </c>
      <c r="G929" s="60">
        <v>0.9790321500000001</v>
      </c>
      <c r="H929" s="60">
        <v>0.93392850000000005</v>
      </c>
      <c r="I929" s="60">
        <v>0.9441176</v>
      </c>
      <c r="K929" s="64">
        <v>339</v>
      </c>
      <c r="M929" s="65">
        <v>2.5000000000000001E-2</v>
      </c>
      <c r="N929" s="63">
        <v>349</v>
      </c>
    </row>
    <row r="930" spans="1:14" x14ac:dyDescent="0.25">
      <c r="A930" s="55" t="s">
        <v>65</v>
      </c>
      <c r="B930" s="55" t="s">
        <v>184</v>
      </c>
      <c r="C930" s="55" t="s">
        <v>16</v>
      </c>
      <c r="D930" s="60">
        <v>1</v>
      </c>
      <c r="E930" s="55" t="s">
        <v>17</v>
      </c>
      <c r="F930" s="54" t="s">
        <v>266</v>
      </c>
      <c r="G930" s="60">
        <v>1</v>
      </c>
      <c r="H930" s="60">
        <v>1</v>
      </c>
      <c r="I930" s="60">
        <v>1</v>
      </c>
      <c r="K930" s="64">
        <v>6061.666666666667</v>
      </c>
      <c r="M930" s="65">
        <v>0.05</v>
      </c>
      <c r="N930" s="63">
        <v>6369</v>
      </c>
    </row>
    <row r="931" spans="1:14" x14ac:dyDescent="0.25">
      <c r="A931" s="55" t="s">
        <v>65</v>
      </c>
      <c r="B931" s="55" t="s">
        <v>184</v>
      </c>
      <c r="C931" s="55" t="s">
        <v>16</v>
      </c>
      <c r="D931" s="60">
        <v>1</v>
      </c>
      <c r="E931" s="55" t="s">
        <v>44</v>
      </c>
      <c r="F931" s="54" t="s">
        <v>266</v>
      </c>
      <c r="G931" s="60">
        <v>1</v>
      </c>
      <c r="H931" s="60">
        <v>1</v>
      </c>
      <c r="I931" s="60">
        <v>1</v>
      </c>
      <c r="K931" s="64">
        <v>6609</v>
      </c>
      <c r="M931" s="65">
        <v>2.5000000000000001E-2</v>
      </c>
      <c r="N931" s="63">
        <v>6779</v>
      </c>
    </row>
    <row r="932" spans="1:14" x14ac:dyDescent="0.25">
      <c r="A932" s="55" t="s">
        <v>65</v>
      </c>
      <c r="B932" s="55" t="s">
        <v>184</v>
      </c>
      <c r="C932" s="55" t="s">
        <v>18</v>
      </c>
      <c r="D932" s="60">
        <v>1</v>
      </c>
      <c r="E932" s="55" t="s">
        <v>32</v>
      </c>
      <c r="F932" s="54" t="s">
        <v>267</v>
      </c>
      <c r="G932" s="60">
        <v>1</v>
      </c>
      <c r="H932" s="60">
        <v>1</v>
      </c>
      <c r="I932" s="60">
        <v>1</v>
      </c>
      <c r="K932" s="64">
        <v>7189</v>
      </c>
      <c r="M932" s="65">
        <v>0.05</v>
      </c>
      <c r="N932" s="63">
        <v>7549</v>
      </c>
    </row>
    <row r="933" spans="1:14" x14ac:dyDescent="0.25">
      <c r="A933" s="55" t="s">
        <v>65</v>
      </c>
      <c r="B933" s="55" t="s">
        <v>184</v>
      </c>
      <c r="C933" s="55" t="s">
        <v>18</v>
      </c>
      <c r="D933" s="60">
        <v>1</v>
      </c>
      <c r="E933" s="55" t="s">
        <v>45</v>
      </c>
      <c r="F933" s="54" t="s">
        <v>267</v>
      </c>
      <c r="G933" s="60">
        <v>0.78494600000000003</v>
      </c>
      <c r="H933" s="60">
        <v>1</v>
      </c>
      <c r="I933" s="60">
        <v>1</v>
      </c>
      <c r="K933" s="64">
        <v>8052.333333333333</v>
      </c>
      <c r="M933" s="65">
        <v>2.5000000000000001E-2</v>
      </c>
      <c r="N933" s="63">
        <v>8259</v>
      </c>
    </row>
    <row r="934" spans="1:14" x14ac:dyDescent="0.25">
      <c r="A934" s="55" t="s">
        <v>65</v>
      </c>
      <c r="B934" s="55" t="s">
        <v>184</v>
      </c>
      <c r="C934" s="55" t="s">
        <v>46</v>
      </c>
      <c r="D934" s="60">
        <v>1</v>
      </c>
      <c r="E934" s="55" t="s">
        <v>29</v>
      </c>
      <c r="F934" s="54" t="s">
        <v>269</v>
      </c>
      <c r="G934" s="60">
        <v>0.90967739999999997</v>
      </c>
      <c r="H934" s="60">
        <v>0.89821424999999999</v>
      </c>
      <c r="I934" s="60">
        <v>1</v>
      </c>
      <c r="K934" s="64">
        <v>3255.5</v>
      </c>
      <c r="M934" s="62"/>
      <c r="N934" s="63">
        <v>3259</v>
      </c>
    </row>
    <row r="935" spans="1:14" x14ac:dyDescent="0.25">
      <c r="A935" s="55" t="s">
        <v>65</v>
      </c>
      <c r="B935" s="55" t="s">
        <v>184</v>
      </c>
      <c r="C935" s="55" t="s">
        <v>46</v>
      </c>
      <c r="D935" s="60">
        <v>1</v>
      </c>
      <c r="E935" s="55" t="s">
        <v>17</v>
      </c>
      <c r="F935" s="54" t="s">
        <v>269</v>
      </c>
      <c r="G935" s="60">
        <v>1</v>
      </c>
      <c r="H935" s="60">
        <v>1</v>
      </c>
      <c r="I935" s="60">
        <v>1</v>
      </c>
      <c r="K935" s="64">
        <v>2609</v>
      </c>
      <c r="M935" s="65">
        <v>2.5000000000000001E-2</v>
      </c>
      <c r="N935" s="63">
        <v>2679</v>
      </c>
    </row>
    <row r="936" spans="1:14" x14ac:dyDescent="0.25">
      <c r="A936" s="55" t="s">
        <v>65</v>
      </c>
      <c r="B936" s="55" t="s">
        <v>213</v>
      </c>
      <c r="C936" s="55" t="s">
        <v>10</v>
      </c>
      <c r="D936" s="60">
        <v>0.91379310344827591</v>
      </c>
      <c r="E936" s="55" t="s">
        <v>11</v>
      </c>
      <c r="F936" s="54" t="s">
        <v>264</v>
      </c>
      <c r="G936" s="60">
        <v>0.77016125000000002</v>
      </c>
      <c r="H936" s="60">
        <v>0.875</v>
      </c>
      <c r="I936" s="60">
        <v>0.81617637499999995</v>
      </c>
      <c r="K936" s="64">
        <v>349</v>
      </c>
      <c r="M936" s="62"/>
      <c r="N936" s="63">
        <v>349</v>
      </c>
    </row>
    <row r="937" spans="1:14" x14ac:dyDescent="0.25">
      <c r="A937" s="55" t="s">
        <v>65</v>
      </c>
      <c r="B937" s="55" t="s">
        <v>213</v>
      </c>
      <c r="C937" s="55" t="s">
        <v>10</v>
      </c>
      <c r="D937" s="60">
        <v>0.91379310344827591</v>
      </c>
      <c r="E937" s="55" t="s">
        <v>12</v>
      </c>
      <c r="F937" s="54" t="s">
        <v>264</v>
      </c>
      <c r="G937" s="60">
        <v>0.97290322000000007</v>
      </c>
      <c r="H937" s="60">
        <v>0.96857141999999996</v>
      </c>
      <c r="I937" s="60">
        <v>0.95764703999999989</v>
      </c>
      <c r="K937" s="64">
        <v>309</v>
      </c>
      <c r="M937" s="62"/>
      <c r="N937" s="63">
        <v>309</v>
      </c>
    </row>
    <row r="938" spans="1:14" x14ac:dyDescent="0.25">
      <c r="A938" s="55" t="s">
        <v>65</v>
      </c>
      <c r="B938" s="55" t="s">
        <v>213</v>
      </c>
      <c r="C938" s="55" t="s">
        <v>18</v>
      </c>
      <c r="D938" s="60">
        <v>0.72727272727272729</v>
      </c>
      <c r="E938" s="55" t="s">
        <v>110</v>
      </c>
      <c r="F938" s="54" t="s">
        <v>267</v>
      </c>
      <c r="G938" s="60">
        <v>0.79928311111111106</v>
      </c>
      <c r="H938" s="60">
        <v>0.98809522222222212</v>
      </c>
      <c r="I938" s="60">
        <v>0.77124177777777769</v>
      </c>
      <c r="K938" s="64">
        <v>7299</v>
      </c>
      <c r="M938" s="65">
        <v>-0.05</v>
      </c>
      <c r="N938" s="63">
        <v>6939</v>
      </c>
    </row>
    <row r="939" spans="1:14" x14ac:dyDescent="0.25">
      <c r="A939" s="55" t="s">
        <v>65</v>
      </c>
      <c r="B939" s="55" t="s">
        <v>213</v>
      </c>
      <c r="C939" s="55" t="s">
        <v>18</v>
      </c>
      <c r="D939" s="60">
        <v>0.72727272727272729</v>
      </c>
      <c r="E939" s="55" t="s">
        <v>111</v>
      </c>
      <c r="F939" s="54" t="s">
        <v>267</v>
      </c>
      <c r="G939" s="60">
        <v>0.88709649999999995</v>
      </c>
      <c r="H939" s="60">
        <v>1</v>
      </c>
      <c r="I939" s="60">
        <v>1</v>
      </c>
      <c r="K939" s="64">
        <v>8819</v>
      </c>
      <c r="M939" s="65">
        <v>-0.05</v>
      </c>
      <c r="N939" s="63">
        <v>8379</v>
      </c>
    </row>
    <row r="940" spans="1:14" x14ac:dyDescent="0.25">
      <c r="A940" s="55" t="s">
        <v>65</v>
      </c>
      <c r="B940" s="55" t="s">
        <v>213</v>
      </c>
      <c r="C940" s="55" t="s">
        <v>16</v>
      </c>
      <c r="D940" s="60">
        <v>1</v>
      </c>
      <c r="E940" s="55" t="s">
        <v>17</v>
      </c>
      <c r="F940" s="54" t="s">
        <v>266</v>
      </c>
      <c r="G940" s="60">
        <v>0.92114688888888885</v>
      </c>
      <c r="H940" s="60">
        <v>0.91666661111111103</v>
      </c>
      <c r="I940" s="60">
        <v>1</v>
      </c>
      <c r="K940" s="64">
        <v>5399</v>
      </c>
      <c r="M940" s="65">
        <v>2.5000000000000001E-2</v>
      </c>
      <c r="N940" s="63">
        <v>5539</v>
      </c>
    </row>
    <row r="941" spans="1:14" x14ac:dyDescent="0.25">
      <c r="A941" s="55" t="s">
        <v>65</v>
      </c>
      <c r="B941" s="55" t="s">
        <v>213</v>
      </c>
      <c r="C941" s="55" t="s">
        <v>16</v>
      </c>
      <c r="D941" s="60">
        <v>1</v>
      </c>
      <c r="E941" s="55" t="s">
        <v>12</v>
      </c>
      <c r="F941" s="54" t="s">
        <v>266</v>
      </c>
      <c r="G941" s="60">
        <v>0.89516125000000002</v>
      </c>
      <c r="H941" s="60">
        <v>0.77678550000000002</v>
      </c>
      <c r="I941" s="60">
        <v>1</v>
      </c>
      <c r="K941" s="64">
        <v>6509</v>
      </c>
      <c r="M941" s="62"/>
      <c r="N941" s="63">
        <v>6509</v>
      </c>
    </row>
    <row r="942" spans="1:14" x14ac:dyDescent="0.25">
      <c r="A942" s="55" t="s">
        <v>65</v>
      </c>
      <c r="B942" s="55" t="s">
        <v>214</v>
      </c>
      <c r="C942" s="55" t="s">
        <v>10</v>
      </c>
      <c r="D942" s="60">
        <v>0.875</v>
      </c>
      <c r="E942" s="55" t="s">
        <v>11</v>
      </c>
      <c r="F942" s="54" t="s">
        <v>264</v>
      </c>
      <c r="G942" s="60">
        <v>0.88152490909090919</v>
      </c>
      <c r="H942" s="60">
        <v>0.93286444909766419</v>
      </c>
      <c r="I942" s="60">
        <v>0.88550419642857137</v>
      </c>
      <c r="K942" s="64">
        <v>339</v>
      </c>
      <c r="M942" s="62"/>
      <c r="N942" s="63">
        <v>339</v>
      </c>
    </row>
    <row r="943" spans="1:14" x14ac:dyDescent="0.25">
      <c r="A943" s="55" t="s">
        <v>65</v>
      </c>
      <c r="B943" s="55" t="s">
        <v>214</v>
      </c>
      <c r="C943" s="55" t="s">
        <v>16</v>
      </c>
      <c r="D943" s="60">
        <v>0.93333333333333335</v>
      </c>
      <c r="E943" s="55" t="s">
        <v>17</v>
      </c>
      <c r="F943" s="54" t="s">
        <v>266</v>
      </c>
      <c r="G943" s="60">
        <v>0.9978494</v>
      </c>
      <c r="H943" s="60">
        <v>0.93571426666666668</v>
      </c>
      <c r="I943" s="60">
        <v>0.972549</v>
      </c>
      <c r="K943" s="64">
        <v>5249</v>
      </c>
      <c r="M943" s="65">
        <v>2.5000000000000001E-2</v>
      </c>
      <c r="N943" s="63">
        <v>5389</v>
      </c>
    </row>
    <row r="944" spans="1:14" x14ac:dyDescent="0.25">
      <c r="A944" s="55" t="s">
        <v>65</v>
      </c>
      <c r="B944" s="55" t="s">
        <v>222</v>
      </c>
      <c r="C944" s="55" t="s">
        <v>10</v>
      </c>
      <c r="D944" s="60">
        <v>0.88888888888888884</v>
      </c>
      <c r="E944" s="55" t="s">
        <v>11</v>
      </c>
      <c r="F944" s="54" t="s">
        <v>264</v>
      </c>
      <c r="G944" s="60">
        <v>0.97235014285714283</v>
      </c>
      <c r="H944" s="60">
        <v>0.9714285142857142</v>
      </c>
      <c r="I944" s="60">
        <v>0.97310920000000001</v>
      </c>
      <c r="K944" s="64">
        <v>420.71428571428572</v>
      </c>
      <c r="M944" s="62"/>
      <c r="N944" s="63">
        <v>429</v>
      </c>
    </row>
    <row r="945" spans="1:14" x14ac:dyDescent="0.25">
      <c r="A945" s="55" t="s">
        <v>65</v>
      </c>
      <c r="B945" s="55" t="s">
        <v>222</v>
      </c>
      <c r="C945" s="55" t="s">
        <v>10</v>
      </c>
      <c r="D945" s="60">
        <v>0.88888888888888884</v>
      </c>
      <c r="E945" s="55" t="s">
        <v>12</v>
      </c>
      <c r="F945" s="54" t="s">
        <v>264</v>
      </c>
      <c r="G945" s="60">
        <v>1</v>
      </c>
      <c r="H945" s="60">
        <v>1</v>
      </c>
      <c r="I945" s="60">
        <v>0.99264700000000006</v>
      </c>
      <c r="K945" s="64">
        <v>349</v>
      </c>
      <c r="M945" s="62"/>
      <c r="N945" s="63">
        <v>349</v>
      </c>
    </row>
    <row r="946" spans="1:14" x14ac:dyDescent="0.25">
      <c r="A946" s="55" t="s">
        <v>65</v>
      </c>
      <c r="B946" s="55" t="s">
        <v>222</v>
      </c>
      <c r="C946" s="55" t="s">
        <v>10</v>
      </c>
      <c r="D946" s="60">
        <v>0.88888888888888884</v>
      </c>
      <c r="E946" s="55" t="s">
        <v>223</v>
      </c>
      <c r="F946" s="54" t="s">
        <v>264</v>
      </c>
      <c r="G946" s="60">
        <v>0.91397800000000007</v>
      </c>
      <c r="H946" s="60">
        <v>0.95238066666666665</v>
      </c>
      <c r="I946" s="60">
        <v>0.90196066666666663</v>
      </c>
      <c r="K946" s="64">
        <v>489</v>
      </c>
      <c r="M946" s="62"/>
      <c r="N946" s="63">
        <v>489</v>
      </c>
    </row>
    <row r="947" spans="1:14" x14ac:dyDescent="0.25">
      <c r="A947" s="55" t="s">
        <v>65</v>
      </c>
      <c r="B947" s="55" t="s">
        <v>222</v>
      </c>
      <c r="C947" s="55" t="s">
        <v>16</v>
      </c>
      <c r="D947" s="60">
        <v>1</v>
      </c>
      <c r="E947" s="55" t="s">
        <v>17</v>
      </c>
      <c r="F947" s="54" t="s">
        <v>266</v>
      </c>
      <c r="G947" s="60">
        <v>0.97507327272727273</v>
      </c>
      <c r="H947" s="60">
        <v>0.92694799999999988</v>
      </c>
      <c r="I947" s="60">
        <v>0.95454540909090924</v>
      </c>
      <c r="K947" s="64">
        <v>5937.181818181818</v>
      </c>
      <c r="M947" s="62"/>
      <c r="N947" s="63">
        <v>5939</v>
      </c>
    </row>
    <row r="948" spans="1:14" x14ac:dyDescent="0.25">
      <c r="A948" s="55" t="s">
        <v>65</v>
      </c>
      <c r="B948" s="55" t="s">
        <v>222</v>
      </c>
      <c r="C948" s="55" t="s">
        <v>16</v>
      </c>
      <c r="D948" s="60">
        <v>1</v>
      </c>
      <c r="E948" s="55" t="s">
        <v>12</v>
      </c>
      <c r="F948" s="54" t="s">
        <v>266</v>
      </c>
      <c r="G948" s="60">
        <v>1</v>
      </c>
      <c r="H948" s="60">
        <v>0.92460311111111104</v>
      </c>
      <c r="I948" s="60">
        <v>0.94117644444444437</v>
      </c>
      <c r="K948" s="64">
        <v>7432.333333333333</v>
      </c>
      <c r="M948" s="62"/>
      <c r="N948" s="63">
        <v>7439</v>
      </c>
    </row>
    <row r="949" spans="1:14" x14ac:dyDescent="0.25">
      <c r="A949" s="55" t="s">
        <v>65</v>
      </c>
      <c r="B949" s="55" t="s">
        <v>222</v>
      </c>
      <c r="C949" s="55" t="s">
        <v>46</v>
      </c>
      <c r="D949" s="60">
        <v>0.95</v>
      </c>
      <c r="E949" s="55" t="s">
        <v>123</v>
      </c>
      <c r="F949" s="54" t="s">
        <v>269</v>
      </c>
      <c r="G949" s="60">
        <v>1</v>
      </c>
      <c r="H949" s="60">
        <v>1</v>
      </c>
      <c r="I949" s="60">
        <v>1</v>
      </c>
      <c r="K949" s="64">
        <v>3706.5</v>
      </c>
      <c r="M949" s="65">
        <v>2.5000000000000001E-2</v>
      </c>
      <c r="N949" s="63">
        <v>3799</v>
      </c>
    </row>
    <row r="950" spans="1:14" x14ac:dyDescent="0.25">
      <c r="A950" s="55" t="s">
        <v>65</v>
      </c>
      <c r="B950" s="55" t="s">
        <v>222</v>
      </c>
      <c r="C950" s="55" t="s">
        <v>46</v>
      </c>
      <c r="D950" s="60">
        <v>0.95</v>
      </c>
      <c r="E950" s="55" t="s">
        <v>17</v>
      </c>
      <c r="F950" s="54" t="s">
        <v>269</v>
      </c>
      <c r="G950" s="60">
        <v>0.75</v>
      </c>
      <c r="H950" s="60">
        <v>0.75</v>
      </c>
      <c r="I950" s="60">
        <v>0.75</v>
      </c>
      <c r="K950" s="64">
        <v>3204</v>
      </c>
      <c r="M950" s="62"/>
      <c r="N950" s="63">
        <v>3209</v>
      </c>
    </row>
    <row r="951" spans="1:14" x14ac:dyDescent="0.25">
      <c r="A951" s="55" t="s">
        <v>65</v>
      </c>
      <c r="B951" s="55" t="s">
        <v>234</v>
      </c>
      <c r="C951" s="55" t="s">
        <v>13</v>
      </c>
      <c r="D951" s="60">
        <v>0.91666666666666663</v>
      </c>
      <c r="E951" s="55" t="s">
        <v>32</v>
      </c>
      <c r="F951" s="54" t="s">
        <v>265</v>
      </c>
      <c r="G951" s="60">
        <v>1</v>
      </c>
      <c r="H951" s="60">
        <v>0.88690466666666679</v>
      </c>
      <c r="I951" s="60">
        <v>0.8921568333333334</v>
      </c>
      <c r="K951" s="64">
        <v>515.66666666666663</v>
      </c>
      <c r="M951" s="62"/>
      <c r="N951" s="63">
        <v>519</v>
      </c>
    </row>
    <row r="952" spans="1:14" x14ac:dyDescent="0.25">
      <c r="A952" s="55" t="s">
        <v>65</v>
      </c>
      <c r="B952" s="55" t="s">
        <v>234</v>
      </c>
      <c r="C952" s="55" t="s">
        <v>13</v>
      </c>
      <c r="D952" s="60">
        <v>0.91666666666666663</v>
      </c>
      <c r="E952" s="55" t="s">
        <v>45</v>
      </c>
      <c r="F952" s="54" t="s">
        <v>265</v>
      </c>
      <c r="G952" s="60">
        <v>1</v>
      </c>
      <c r="H952" s="60">
        <v>0.97023800000000004</v>
      </c>
      <c r="I952" s="60">
        <v>0.9215684999999999</v>
      </c>
      <c r="K952" s="64">
        <v>409</v>
      </c>
      <c r="M952" s="62"/>
      <c r="N952" s="63">
        <v>409</v>
      </c>
    </row>
    <row r="953" spans="1:14" x14ac:dyDescent="0.25">
      <c r="A953" s="55" t="s">
        <v>65</v>
      </c>
      <c r="B953" s="55" t="s">
        <v>234</v>
      </c>
      <c r="C953" s="55" t="s">
        <v>10</v>
      </c>
      <c r="D953" s="60">
        <v>0.90476190476190477</v>
      </c>
      <c r="E953" s="55" t="s">
        <v>17</v>
      </c>
      <c r="F953" s="54" t="s">
        <v>264</v>
      </c>
      <c r="G953" s="60">
        <v>0.89419347999999998</v>
      </c>
      <c r="H953" s="60">
        <v>0.93571423999999992</v>
      </c>
      <c r="I953" s="60">
        <v>0.91764696000000001</v>
      </c>
      <c r="K953" s="64">
        <v>489.8</v>
      </c>
      <c r="M953" s="62"/>
      <c r="N953" s="63">
        <v>489</v>
      </c>
    </row>
    <row r="954" spans="1:14" x14ac:dyDescent="0.25">
      <c r="A954" s="55" t="s">
        <v>65</v>
      </c>
      <c r="B954" s="55" t="s">
        <v>234</v>
      </c>
      <c r="C954" s="55" t="s">
        <v>10</v>
      </c>
      <c r="D954" s="60">
        <v>0.90476190476190477</v>
      </c>
      <c r="E954" s="55" t="s">
        <v>44</v>
      </c>
      <c r="F954" s="54" t="s">
        <v>264</v>
      </c>
      <c r="G954" s="60">
        <v>0.97177412499999993</v>
      </c>
      <c r="H954" s="60">
        <v>0.95089281250000002</v>
      </c>
      <c r="I954" s="60">
        <v>0.85294112499999997</v>
      </c>
      <c r="K954" s="64">
        <v>432.75</v>
      </c>
      <c r="M954" s="62"/>
      <c r="N954" s="63">
        <v>439</v>
      </c>
    </row>
    <row r="955" spans="1:14" x14ac:dyDescent="0.25">
      <c r="A955" s="55" t="s">
        <v>65</v>
      </c>
      <c r="B955" s="55" t="s">
        <v>234</v>
      </c>
      <c r="C955" s="55" t="s">
        <v>10</v>
      </c>
      <c r="D955" s="60">
        <v>0.90476190476190477</v>
      </c>
      <c r="E955" s="55" t="s">
        <v>30</v>
      </c>
      <c r="F955" s="54" t="s">
        <v>264</v>
      </c>
      <c r="G955" s="60">
        <v>0.87096700000000005</v>
      </c>
      <c r="H955" s="60">
        <v>0.96428499999999995</v>
      </c>
      <c r="I955" s="60">
        <v>1</v>
      </c>
      <c r="K955" s="64">
        <v>519</v>
      </c>
      <c r="M955" s="62"/>
      <c r="N955" s="63">
        <v>519</v>
      </c>
    </row>
    <row r="956" spans="1:14" x14ac:dyDescent="0.25">
      <c r="A956" s="55" t="s">
        <v>65</v>
      </c>
      <c r="B956" s="55" t="s">
        <v>234</v>
      </c>
      <c r="C956" s="55" t="s">
        <v>16</v>
      </c>
      <c r="D956" s="60">
        <v>0.94736842105263153</v>
      </c>
      <c r="E956" s="55" t="s">
        <v>17</v>
      </c>
      <c r="F956" s="54" t="s">
        <v>266</v>
      </c>
      <c r="G956" s="60">
        <v>0.98924726666666662</v>
      </c>
      <c r="H956" s="60">
        <v>0.94047613333333335</v>
      </c>
      <c r="I956" s="60">
        <v>0.93333326666666661</v>
      </c>
      <c r="K956" s="64">
        <v>7081.666666666667</v>
      </c>
      <c r="M956" s="62"/>
      <c r="N956" s="63">
        <v>7089</v>
      </c>
    </row>
    <row r="957" spans="1:14" x14ac:dyDescent="0.25">
      <c r="A957" s="55" t="s">
        <v>65</v>
      </c>
      <c r="B957" s="55" t="s">
        <v>234</v>
      </c>
      <c r="C957" s="55" t="s">
        <v>16</v>
      </c>
      <c r="D957" s="60">
        <v>0.94736842105263153</v>
      </c>
      <c r="E957" s="55" t="s">
        <v>44</v>
      </c>
      <c r="F957" s="54" t="s">
        <v>266</v>
      </c>
      <c r="G957" s="60">
        <v>1</v>
      </c>
      <c r="H957" s="60">
        <v>1</v>
      </c>
      <c r="I957" s="60">
        <v>1</v>
      </c>
      <c r="K957" s="64">
        <v>8869</v>
      </c>
      <c r="M957" s="65">
        <v>2.5000000000000001E-2</v>
      </c>
      <c r="N957" s="63">
        <v>9099</v>
      </c>
    </row>
    <row r="958" spans="1:14" x14ac:dyDescent="0.25">
      <c r="A958" s="55" t="s">
        <v>65</v>
      </c>
      <c r="B958" s="55" t="s">
        <v>234</v>
      </c>
      <c r="C958" s="55" t="s">
        <v>18</v>
      </c>
      <c r="D958" s="60">
        <v>0.81818181818181823</v>
      </c>
      <c r="E958" s="55" t="s">
        <v>102</v>
      </c>
      <c r="F958" s="54" t="s">
        <v>267</v>
      </c>
      <c r="G958" s="60">
        <v>1</v>
      </c>
      <c r="H958" s="60">
        <v>0.95535700000000001</v>
      </c>
      <c r="I958" s="60">
        <v>0.75</v>
      </c>
      <c r="K958" s="64">
        <v>8867.75</v>
      </c>
      <c r="M958" s="65">
        <v>-0.05</v>
      </c>
      <c r="N958" s="63">
        <v>8429</v>
      </c>
    </row>
    <row r="959" spans="1:14" x14ac:dyDescent="0.25">
      <c r="A959" s="55" t="s">
        <v>65</v>
      </c>
      <c r="B959" s="55" t="s">
        <v>234</v>
      </c>
      <c r="C959" s="55" t="s">
        <v>18</v>
      </c>
      <c r="D959" s="60">
        <v>0.81818181818181823</v>
      </c>
      <c r="E959" s="55" t="s">
        <v>103</v>
      </c>
      <c r="F959" s="54" t="s">
        <v>267</v>
      </c>
      <c r="G959" s="60">
        <v>1</v>
      </c>
      <c r="H959" s="60">
        <v>1</v>
      </c>
      <c r="I959" s="60">
        <v>1</v>
      </c>
      <c r="K959" s="64">
        <v>10299</v>
      </c>
      <c r="M959" s="62"/>
      <c r="N959" s="63">
        <v>10299</v>
      </c>
    </row>
    <row r="960" spans="1:14" x14ac:dyDescent="0.25">
      <c r="A960" s="55" t="s">
        <v>65</v>
      </c>
      <c r="B960" s="55" t="s">
        <v>234</v>
      </c>
      <c r="C960" s="55" t="s">
        <v>46</v>
      </c>
      <c r="D960" s="60">
        <v>0.95</v>
      </c>
      <c r="E960" s="55" t="s">
        <v>29</v>
      </c>
      <c r="F960" s="54" t="s">
        <v>269</v>
      </c>
      <c r="G960" s="60">
        <v>1</v>
      </c>
      <c r="H960" s="60">
        <v>1</v>
      </c>
      <c r="I960" s="60">
        <v>0.9558823125</v>
      </c>
      <c r="K960" s="64">
        <v>4409</v>
      </c>
      <c r="M960" s="65">
        <v>2.5000000000000001E-2</v>
      </c>
      <c r="N960" s="63">
        <v>4519</v>
      </c>
    </row>
    <row r="961" spans="1:14" x14ac:dyDescent="0.25">
      <c r="A961" s="55" t="s">
        <v>65</v>
      </c>
      <c r="B961" s="55" t="s">
        <v>234</v>
      </c>
      <c r="C961" s="55" t="s">
        <v>46</v>
      </c>
      <c r="D961" s="60">
        <v>0.95</v>
      </c>
      <c r="E961" s="55" t="s">
        <v>17</v>
      </c>
      <c r="F961" s="54" t="s">
        <v>269</v>
      </c>
      <c r="G961" s="60">
        <v>1</v>
      </c>
      <c r="H961" s="60">
        <v>1</v>
      </c>
      <c r="I961" s="60">
        <v>1</v>
      </c>
      <c r="K961" s="64">
        <v>3354</v>
      </c>
      <c r="M961" s="65">
        <v>2.5000000000000001E-2</v>
      </c>
      <c r="N961" s="63">
        <v>3439</v>
      </c>
    </row>
    <row r="964" spans="1:14" x14ac:dyDescent="0.25">
      <c r="K964" s="64"/>
    </row>
  </sheetData>
  <autoFilter ref="A2:P961" xr:uid="{055B72EB-5649-4027-9F76-FC12191DC81E}"/>
  <sortState xmlns:xlrd2="http://schemas.microsoft.com/office/spreadsheetml/2017/richdata2" ref="A3:N961">
    <sortCondition ref="A3:A961"/>
    <sortCondition ref="B3:B96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C9FA-2C75-4E9C-8162-A3BE2A1CB1D8}">
  <dimension ref="A1:AB363"/>
  <sheetViews>
    <sheetView showGridLines="0" topLeftCell="H1" workbookViewId="0">
      <selection activeCell="AB1" sqref="AB1"/>
    </sheetView>
  </sheetViews>
  <sheetFormatPr defaultColWidth="9.140625" defaultRowHeight="15" x14ac:dyDescent="0.25"/>
  <cols>
    <col min="1" max="1" width="22.140625" style="15" customWidth="1"/>
    <col min="2" max="2" width="4.140625" style="15" customWidth="1"/>
    <col min="3" max="3" width="24" style="15" customWidth="1"/>
    <col min="4" max="4" width="5.42578125" style="15" customWidth="1"/>
    <col min="5" max="5" width="27.42578125" style="15" customWidth="1"/>
    <col min="6" max="24" width="9.5703125" style="15" customWidth="1"/>
    <col min="25" max="25" width="40.7109375" style="15" customWidth="1"/>
    <col min="26" max="26" width="0" style="15" hidden="1" customWidth="1"/>
    <col min="27" max="27" width="9.5703125" style="15" customWidth="1"/>
    <col min="28" max="16384" width="9.140625" style="15"/>
  </cols>
  <sheetData>
    <row r="1" spans="1:28" ht="27" x14ac:dyDescent="0.25">
      <c r="A1" s="3" t="s">
        <v>291</v>
      </c>
      <c r="B1" s="4"/>
      <c r="C1" s="4"/>
      <c r="D1" s="4"/>
      <c r="E1" s="5"/>
      <c r="F1" s="6" t="s">
        <v>292</v>
      </c>
      <c r="G1" s="6" t="s">
        <v>293</v>
      </c>
      <c r="H1" s="6" t="s">
        <v>294</v>
      </c>
      <c r="I1" s="6" t="s">
        <v>295</v>
      </c>
      <c r="J1" s="6" t="s">
        <v>296</v>
      </c>
      <c r="K1" s="7" t="s">
        <v>297</v>
      </c>
      <c r="L1" s="7" t="s">
        <v>298</v>
      </c>
      <c r="M1" s="7" t="s">
        <v>299</v>
      </c>
      <c r="N1" s="8" t="s">
        <v>300</v>
      </c>
      <c r="O1" s="8" t="s">
        <v>301</v>
      </c>
      <c r="P1" s="8" t="s">
        <v>302</v>
      </c>
      <c r="Q1" s="9" t="s">
        <v>303</v>
      </c>
      <c r="R1" s="10" t="s">
        <v>304</v>
      </c>
      <c r="S1" s="10" t="s">
        <v>305</v>
      </c>
      <c r="T1" s="11" t="s">
        <v>306</v>
      </c>
      <c r="U1" s="11" t="s">
        <v>307</v>
      </c>
      <c r="V1" s="11" t="s">
        <v>308</v>
      </c>
      <c r="W1" s="12" t="s">
        <v>309</v>
      </c>
      <c r="X1" s="12" t="s">
        <v>310</v>
      </c>
      <c r="Y1" s="13" t="s">
        <v>311</v>
      </c>
      <c r="Z1" s="14"/>
      <c r="AA1" s="14"/>
    </row>
    <row r="2" spans="1:28" x14ac:dyDescent="0.25">
      <c r="A2" s="16" t="s">
        <v>9</v>
      </c>
      <c r="B2" s="16" t="s">
        <v>271</v>
      </c>
      <c r="C2" s="17" t="s">
        <v>312</v>
      </c>
      <c r="D2" s="16" t="s">
        <v>313</v>
      </c>
      <c r="E2" s="16" t="s">
        <v>314</v>
      </c>
      <c r="F2" s="18">
        <v>-4263.5600000000004</v>
      </c>
      <c r="G2" s="18">
        <v>-15986.5</v>
      </c>
      <c r="H2" s="18">
        <v>-14373.55</v>
      </c>
      <c r="I2" s="18">
        <v>-13929.02</v>
      </c>
      <c r="J2" s="19">
        <v>-8308.83</v>
      </c>
      <c r="K2" s="20">
        <v>-5040</v>
      </c>
      <c r="L2" s="18">
        <v>-4166.6666666666997</v>
      </c>
      <c r="M2" s="21">
        <v>-873.33333333329995</v>
      </c>
      <c r="N2" s="22">
        <v>-11.830985</v>
      </c>
      <c r="O2" s="23">
        <v>-18.504623172958599</v>
      </c>
      <c r="P2" s="24">
        <v>6.6736381729585696</v>
      </c>
      <c r="Q2" s="20">
        <v>-13348.83</v>
      </c>
      <c r="R2" s="18">
        <v>-8333.3333333332994</v>
      </c>
      <c r="S2" s="21">
        <v>-5015.4966666666996</v>
      </c>
      <c r="T2" s="25">
        <v>-17.336141999999999</v>
      </c>
      <c r="U2" s="23">
        <v>-17.563710130265601</v>
      </c>
      <c r="V2" s="24">
        <v>0.22756813026558101</v>
      </c>
      <c r="W2" s="20">
        <v>-1322</v>
      </c>
      <c r="X2" s="21">
        <v>-12026.83</v>
      </c>
      <c r="Y2" s="26"/>
      <c r="Z2" s="14"/>
      <c r="AA2" s="14" t="s">
        <v>10</v>
      </c>
      <c r="AB2" s="15" t="str">
        <f>A2&amp;AA2</f>
        <v>Anderson - 112HC</v>
      </c>
    </row>
    <row r="3" spans="1:28" x14ac:dyDescent="0.25">
      <c r="A3" s="16" t="s">
        <v>272</v>
      </c>
      <c r="B3" s="16" t="s">
        <v>271</v>
      </c>
      <c r="C3" s="17" t="s">
        <v>312</v>
      </c>
      <c r="D3" s="16" t="s">
        <v>313</v>
      </c>
      <c r="E3" s="16" t="s">
        <v>314</v>
      </c>
      <c r="F3" s="18">
        <v>0</v>
      </c>
      <c r="G3" s="18">
        <v>0</v>
      </c>
      <c r="H3" s="18">
        <v>0</v>
      </c>
      <c r="I3" s="18">
        <v>0</v>
      </c>
      <c r="J3" s="19">
        <v>-1150</v>
      </c>
      <c r="K3" s="20">
        <v>-820</v>
      </c>
      <c r="L3" s="18">
        <v>0</v>
      </c>
      <c r="M3" s="21">
        <v>-820</v>
      </c>
      <c r="N3" s="22">
        <v>-2.6885240000000001</v>
      </c>
      <c r="O3" s="23">
        <v>0</v>
      </c>
      <c r="P3" s="24">
        <v>-2.6885240000000001</v>
      </c>
      <c r="Q3" s="20">
        <v>-1970</v>
      </c>
      <c r="R3" s="18">
        <v>0</v>
      </c>
      <c r="S3" s="21">
        <v>-1970</v>
      </c>
      <c r="T3" s="25">
        <v>-2.739916</v>
      </c>
      <c r="U3" s="23">
        <v>0</v>
      </c>
      <c r="V3" s="24">
        <v>-2.739916</v>
      </c>
      <c r="W3" s="20">
        <v>0</v>
      </c>
      <c r="X3" s="21">
        <v>-1970</v>
      </c>
      <c r="Y3" s="26"/>
      <c r="Z3" s="14"/>
      <c r="AA3" s="14" t="s">
        <v>10</v>
      </c>
      <c r="AB3" s="15" t="str">
        <f t="shared" ref="AB3:AB66" si="0">A3&amp;AA3</f>
        <v>Ashland KOA-0554HC</v>
      </c>
    </row>
    <row r="4" spans="1:28" x14ac:dyDescent="0.25">
      <c r="A4" s="16" t="s">
        <v>24</v>
      </c>
      <c r="B4" s="16" t="s">
        <v>271</v>
      </c>
      <c r="C4" s="17" t="s">
        <v>312</v>
      </c>
      <c r="D4" s="16" t="s">
        <v>313</v>
      </c>
      <c r="E4" s="16" t="s">
        <v>314</v>
      </c>
      <c r="F4" s="18">
        <v>-2970</v>
      </c>
      <c r="G4" s="18">
        <v>-1899</v>
      </c>
      <c r="H4" s="18">
        <v>-2070</v>
      </c>
      <c r="I4" s="18">
        <v>-2139</v>
      </c>
      <c r="J4" s="19">
        <v>-2139</v>
      </c>
      <c r="K4" s="20">
        <v>-1932</v>
      </c>
      <c r="L4" s="18">
        <v>-3207.4666666666999</v>
      </c>
      <c r="M4" s="21">
        <v>1275.4666666666999</v>
      </c>
      <c r="N4" s="22">
        <v>-9.2440189999999998</v>
      </c>
      <c r="O4" s="23">
        <v>-16.0618227399614</v>
      </c>
      <c r="P4" s="24">
        <v>6.81780373996141</v>
      </c>
      <c r="Q4" s="20">
        <v>-4071</v>
      </c>
      <c r="R4" s="18">
        <v>-6514.1333333332996</v>
      </c>
      <c r="S4" s="21">
        <v>2443.1333333333</v>
      </c>
      <c r="T4" s="25">
        <v>-8.1746979999999994</v>
      </c>
      <c r="U4" s="23">
        <v>-15.480869165407301</v>
      </c>
      <c r="V4" s="24">
        <v>7.3061711654073198</v>
      </c>
      <c r="W4" s="20">
        <v>-5158</v>
      </c>
      <c r="X4" s="21">
        <v>1087</v>
      </c>
      <c r="Y4" s="26"/>
      <c r="Z4" s="14"/>
      <c r="AA4" s="14" t="s">
        <v>10</v>
      </c>
      <c r="AB4" s="15" t="str">
        <f t="shared" si="0"/>
        <v>Avon - 5166HC</v>
      </c>
    </row>
    <row r="5" spans="1:28" x14ac:dyDescent="0.25">
      <c r="A5" s="16" t="s">
        <v>36</v>
      </c>
      <c r="B5" s="16" t="s">
        <v>271</v>
      </c>
      <c r="C5" s="17" t="s">
        <v>312</v>
      </c>
      <c r="D5" s="16" t="s">
        <v>313</v>
      </c>
      <c r="E5" s="16" t="s">
        <v>314</v>
      </c>
      <c r="F5" s="18">
        <v>-64</v>
      </c>
      <c r="G5" s="18">
        <v>0</v>
      </c>
      <c r="H5" s="18">
        <v>0</v>
      </c>
      <c r="I5" s="18">
        <v>-66</v>
      </c>
      <c r="J5" s="19">
        <v>0</v>
      </c>
      <c r="K5" s="20">
        <v>0</v>
      </c>
      <c r="L5" s="18">
        <v>0</v>
      </c>
      <c r="M5" s="21">
        <v>0</v>
      </c>
      <c r="N5" s="22">
        <v>0</v>
      </c>
      <c r="O5" s="23">
        <v>0</v>
      </c>
      <c r="P5" s="24">
        <v>0</v>
      </c>
      <c r="Q5" s="20">
        <v>0</v>
      </c>
      <c r="R5" s="18">
        <v>0</v>
      </c>
      <c r="S5" s="21">
        <v>0</v>
      </c>
      <c r="T5" s="25">
        <v>0</v>
      </c>
      <c r="U5" s="23">
        <v>0</v>
      </c>
      <c r="V5" s="24">
        <v>0</v>
      </c>
      <c r="W5" s="20">
        <v>0</v>
      </c>
      <c r="X5" s="21">
        <v>0</v>
      </c>
      <c r="Y5" s="26"/>
      <c r="Z5" s="14"/>
      <c r="AA5" s="14" t="s">
        <v>10</v>
      </c>
      <c r="AB5" s="15" t="str">
        <f t="shared" si="0"/>
        <v>Batesville - 120HC</v>
      </c>
    </row>
    <row r="6" spans="1:28" x14ac:dyDescent="0.25">
      <c r="A6" s="16" t="s">
        <v>39</v>
      </c>
      <c r="B6" s="16" t="s">
        <v>271</v>
      </c>
      <c r="C6" s="17" t="s">
        <v>312</v>
      </c>
      <c r="D6" s="16" t="s">
        <v>313</v>
      </c>
      <c r="E6" s="16" t="s">
        <v>314</v>
      </c>
      <c r="F6" s="18">
        <v>0</v>
      </c>
      <c r="G6" s="18">
        <v>0</v>
      </c>
      <c r="H6" s="18">
        <v>0</v>
      </c>
      <c r="I6" s="18">
        <v>0</v>
      </c>
      <c r="J6" s="19">
        <v>0</v>
      </c>
      <c r="K6" s="20">
        <v>0</v>
      </c>
      <c r="L6" s="18">
        <v>0</v>
      </c>
      <c r="M6" s="21">
        <v>0</v>
      </c>
      <c r="N6" s="22">
        <v>0</v>
      </c>
      <c r="O6" s="23">
        <v>0</v>
      </c>
      <c r="P6" s="24">
        <v>0</v>
      </c>
      <c r="Q6" s="20">
        <v>0</v>
      </c>
      <c r="R6" s="18">
        <v>0</v>
      </c>
      <c r="S6" s="21">
        <v>0</v>
      </c>
      <c r="T6" s="25">
        <v>0</v>
      </c>
      <c r="U6" s="23">
        <v>0</v>
      </c>
      <c r="V6" s="24">
        <v>0</v>
      </c>
      <c r="W6" s="20">
        <v>0</v>
      </c>
      <c r="X6" s="21">
        <v>0</v>
      </c>
      <c r="Y6" s="26"/>
      <c r="Z6" s="14"/>
      <c r="AA6" s="14" t="s">
        <v>10</v>
      </c>
      <c r="AB6" s="15" t="str">
        <f t="shared" si="0"/>
        <v>Bedford - 115HC</v>
      </c>
    </row>
    <row r="7" spans="1:28" x14ac:dyDescent="0.25">
      <c r="A7" s="16" t="s">
        <v>42</v>
      </c>
      <c r="B7" s="16" t="s">
        <v>271</v>
      </c>
      <c r="C7" s="17" t="s">
        <v>312</v>
      </c>
      <c r="D7" s="16" t="s">
        <v>313</v>
      </c>
      <c r="E7" s="16" t="s">
        <v>314</v>
      </c>
      <c r="F7" s="18">
        <v>300</v>
      </c>
      <c r="G7" s="18">
        <v>-1201.55</v>
      </c>
      <c r="H7" s="18">
        <v>-8837.67</v>
      </c>
      <c r="I7" s="18">
        <v>-6645.39</v>
      </c>
      <c r="J7" s="19">
        <v>-788.71</v>
      </c>
      <c r="K7" s="20">
        <v>0</v>
      </c>
      <c r="L7" s="18">
        <v>-816.20111111109998</v>
      </c>
      <c r="M7" s="21">
        <v>816.20111111109998</v>
      </c>
      <c r="N7" s="22">
        <v>0</v>
      </c>
      <c r="O7" s="23">
        <v>-2.9472837425774001</v>
      </c>
      <c r="P7" s="24">
        <v>2.9472837425774001</v>
      </c>
      <c r="Q7" s="20">
        <v>-788.71</v>
      </c>
      <c r="R7" s="18">
        <v>-1657.6455555555999</v>
      </c>
      <c r="S7" s="21">
        <v>868.93555555559999</v>
      </c>
      <c r="T7" s="25">
        <v>-1.011166</v>
      </c>
      <c r="U7" s="23">
        <v>-2.84068095824875</v>
      </c>
      <c r="V7" s="24">
        <v>1.82951495824875</v>
      </c>
      <c r="W7" s="20">
        <v>-9563</v>
      </c>
      <c r="X7" s="21">
        <v>8774.2900000000009</v>
      </c>
      <c r="Y7" s="26"/>
      <c r="Z7" s="14"/>
      <c r="AA7" s="14" t="s">
        <v>10</v>
      </c>
      <c r="AB7" s="15" t="str">
        <f t="shared" si="0"/>
        <v>Bellevue - 414HC</v>
      </c>
    </row>
    <row r="8" spans="1:28" x14ac:dyDescent="0.25">
      <c r="A8" s="16" t="s">
        <v>47</v>
      </c>
      <c r="B8" s="16" t="s">
        <v>271</v>
      </c>
      <c r="C8" s="17" t="s">
        <v>312</v>
      </c>
      <c r="D8" s="16" t="s">
        <v>313</v>
      </c>
      <c r="E8" s="16" t="s">
        <v>314</v>
      </c>
      <c r="F8" s="18">
        <v>0</v>
      </c>
      <c r="G8" s="18">
        <v>0</v>
      </c>
      <c r="H8" s="18">
        <v>0</v>
      </c>
      <c r="I8" s="18">
        <v>0</v>
      </c>
      <c r="J8" s="19">
        <v>0</v>
      </c>
      <c r="K8" s="20">
        <v>0</v>
      </c>
      <c r="L8" s="18">
        <v>0</v>
      </c>
      <c r="M8" s="21">
        <v>0</v>
      </c>
      <c r="N8" s="22">
        <v>0</v>
      </c>
      <c r="O8" s="23">
        <v>0</v>
      </c>
      <c r="P8" s="24">
        <v>0</v>
      </c>
      <c r="Q8" s="20">
        <v>0</v>
      </c>
      <c r="R8" s="18">
        <v>0</v>
      </c>
      <c r="S8" s="21">
        <v>0</v>
      </c>
      <c r="T8" s="25">
        <v>0</v>
      </c>
      <c r="U8" s="23">
        <v>0</v>
      </c>
      <c r="V8" s="24">
        <v>0</v>
      </c>
      <c r="W8" s="20">
        <v>0</v>
      </c>
      <c r="X8" s="21">
        <v>0</v>
      </c>
      <c r="Y8" s="26"/>
      <c r="Z8" s="14"/>
      <c r="AA8" s="14" t="s">
        <v>10</v>
      </c>
      <c r="AB8" s="15" t="str">
        <f t="shared" si="0"/>
        <v>Bloomington HS - 5149HC</v>
      </c>
    </row>
    <row r="9" spans="1:28" x14ac:dyDescent="0.25">
      <c r="A9" s="16" t="s">
        <v>49</v>
      </c>
      <c r="B9" s="16" t="s">
        <v>271</v>
      </c>
      <c r="C9" s="17" t="s">
        <v>312</v>
      </c>
      <c r="D9" s="16" t="s">
        <v>313</v>
      </c>
      <c r="E9" s="16" t="s">
        <v>314</v>
      </c>
      <c r="F9" s="18">
        <v>0.05</v>
      </c>
      <c r="G9" s="18">
        <v>0.06</v>
      </c>
      <c r="H9" s="18">
        <v>0</v>
      </c>
      <c r="I9" s="18">
        <v>0</v>
      </c>
      <c r="J9" s="19">
        <v>0</v>
      </c>
      <c r="K9" s="20">
        <v>0.01</v>
      </c>
      <c r="L9" s="18">
        <v>0</v>
      </c>
      <c r="M9" s="21">
        <v>0.01</v>
      </c>
      <c r="N9" s="22">
        <v>1.8E-5</v>
      </c>
      <c r="O9" s="23">
        <v>0</v>
      </c>
      <c r="P9" s="24">
        <v>1.8E-5</v>
      </c>
      <c r="Q9" s="20">
        <v>0.01</v>
      </c>
      <c r="R9" s="18">
        <v>0</v>
      </c>
      <c r="S9" s="21">
        <v>0.01</v>
      </c>
      <c r="T9" s="25">
        <v>7.9999999999999996E-6</v>
      </c>
      <c r="U9" s="23">
        <v>0</v>
      </c>
      <c r="V9" s="24">
        <v>7.9999999999999996E-6</v>
      </c>
      <c r="W9" s="20">
        <v>0</v>
      </c>
      <c r="X9" s="21">
        <v>0.01</v>
      </c>
      <c r="Y9" s="26"/>
      <c r="Z9" s="14"/>
      <c r="AA9" s="14" t="s">
        <v>10</v>
      </c>
      <c r="AB9" s="15" t="str">
        <f t="shared" si="0"/>
        <v>Bloomington SC - 5164HC</v>
      </c>
    </row>
    <row r="10" spans="1:28" x14ac:dyDescent="0.25">
      <c r="A10" s="16" t="s">
        <v>56</v>
      </c>
      <c r="B10" s="16" t="s">
        <v>271</v>
      </c>
      <c r="C10" s="17" t="s">
        <v>312</v>
      </c>
      <c r="D10" s="16" t="s">
        <v>313</v>
      </c>
      <c r="E10" s="16" t="s">
        <v>314</v>
      </c>
      <c r="F10" s="18">
        <v>0</v>
      </c>
      <c r="G10" s="18">
        <v>0</v>
      </c>
      <c r="H10" s="18">
        <v>0</v>
      </c>
      <c r="I10" s="18">
        <v>0</v>
      </c>
      <c r="J10" s="19">
        <v>0</v>
      </c>
      <c r="K10" s="20">
        <v>0</v>
      </c>
      <c r="L10" s="18">
        <v>0</v>
      </c>
      <c r="M10" s="21">
        <v>0</v>
      </c>
      <c r="N10" s="22">
        <v>0</v>
      </c>
      <c r="O10" s="23">
        <v>0</v>
      </c>
      <c r="P10" s="24">
        <v>0</v>
      </c>
      <c r="Q10" s="20">
        <v>0</v>
      </c>
      <c r="R10" s="18">
        <v>0</v>
      </c>
      <c r="S10" s="21">
        <v>0</v>
      </c>
      <c r="T10" s="25">
        <v>0</v>
      </c>
      <c r="U10" s="23">
        <v>0</v>
      </c>
      <c r="V10" s="24">
        <v>0</v>
      </c>
      <c r="W10" s="20">
        <v>0</v>
      </c>
      <c r="X10" s="21">
        <v>0</v>
      </c>
      <c r="Y10" s="26"/>
      <c r="Z10" s="14"/>
      <c r="AA10" s="14" t="s">
        <v>10</v>
      </c>
      <c r="AB10" s="15" t="str">
        <f t="shared" si="0"/>
        <v>Boonville - 110HC</v>
      </c>
    </row>
    <row r="11" spans="1:28" x14ac:dyDescent="0.25">
      <c r="A11" s="16" t="s">
        <v>57</v>
      </c>
      <c r="B11" s="16" t="s">
        <v>271</v>
      </c>
      <c r="C11" s="17" t="s">
        <v>312</v>
      </c>
      <c r="D11" s="16" t="s">
        <v>313</v>
      </c>
      <c r="E11" s="16" t="s">
        <v>314</v>
      </c>
      <c r="F11" s="18">
        <v>0</v>
      </c>
      <c r="G11" s="18">
        <v>-1758.06</v>
      </c>
      <c r="H11" s="18">
        <v>-9436.2999999999993</v>
      </c>
      <c r="I11" s="18">
        <v>-5450</v>
      </c>
      <c r="J11" s="19">
        <v>-1933.87</v>
      </c>
      <c r="K11" s="20">
        <v>-390</v>
      </c>
      <c r="L11" s="18">
        <v>0</v>
      </c>
      <c r="M11" s="21">
        <v>-390</v>
      </c>
      <c r="N11" s="22">
        <v>-1.1890240000000001</v>
      </c>
      <c r="O11" s="23">
        <v>0</v>
      </c>
      <c r="P11" s="24">
        <v>-1.1890240000000001</v>
      </c>
      <c r="Q11" s="20">
        <v>-2323.87</v>
      </c>
      <c r="R11" s="18">
        <v>0</v>
      </c>
      <c r="S11" s="21">
        <v>-2323.87</v>
      </c>
      <c r="T11" s="25">
        <v>-3.3341029999999998</v>
      </c>
      <c r="U11" s="23">
        <v>0</v>
      </c>
      <c r="V11" s="24">
        <v>-3.3341029999999998</v>
      </c>
      <c r="W11" s="20">
        <v>-240</v>
      </c>
      <c r="X11" s="21">
        <v>-2083.87</v>
      </c>
      <c r="Y11" s="26"/>
      <c r="Z11" s="14"/>
      <c r="AA11" s="14" t="s">
        <v>10</v>
      </c>
      <c r="AB11" s="15" t="str">
        <f t="shared" si="0"/>
        <v>Bowling Green - 443HC</v>
      </c>
    </row>
    <row r="12" spans="1:28" x14ac:dyDescent="0.25">
      <c r="A12" s="16" t="s">
        <v>61</v>
      </c>
      <c r="B12" s="16" t="s">
        <v>271</v>
      </c>
      <c r="C12" s="17" t="s">
        <v>312</v>
      </c>
      <c r="D12" s="16" t="s">
        <v>313</v>
      </c>
      <c r="E12" s="16" t="s">
        <v>314</v>
      </c>
      <c r="F12" s="18">
        <v>0</v>
      </c>
      <c r="G12" s="18">
        <v>0</v>
      </c>
      <c r="H12" s="18">
        <v>0</v>
      </c>
      <c r="I12" s="18">
        <v>0</v>
      </c>
      <c r="J12" s="19">
        <v>0</v>
      </c>
      <c r="K12" s="20">
        <v>0</v>
      </c>
      <c r="L12" s="18">
        <v>0</v>
      </c>
      <c r="M12" s="21">
        <v>0</v>
      </c>
      <c r="N12" s="22">
        <v>0</v>
      </c>
      <c r="O12" s="23">
        <v>0</v>
      </c>
      <c r="P12" s="24">
        <v>0</v>
      </c>
      <c r="Q12" s="20">
        <v>0</v>
      </c>
      <c r="R12" s="18">
        <v>0</v>
      </c>
      <c r="S12" s="21">
        <v>0</v>
      </c>
      <c r="T12" s="25">
        <v>0</v>
      </c>
      <c r="U12" s="23">
        <v>0</v>
      </c>
      <c r="V12" s="24">
        <v>0</v>
      </c>
      <c r="W12" s="20">
        <v>-720</v>
      </c>
      <c r="X12" s="21">
        <v>720</v>
      </c>
      <c r="Y12" s="26"/>
      <c r="Z12" s="14"/>
      <c r="AA12" s="14" t="s">
        <v>10</v>
      </c>
      <c r="AB12" s="15" t="str">
        <f t="shared" si="0"/>
        <v>Byron Center - 518HC</v>
      </c>
    </row>
    <row r="13" spans="1:28" x14ac:dyDescent="0.25">
      <c r="A13" s="16" t="s">
        <v>63</v>
      </c>
      <c r="B13" s="16" t="s">
        <v>271</v>
      </c>
      <c r="C13" s="17" t="s">
        <v>312</v>
      </c>
      <c r="D13" s="16" t="s">
        <v>313</v>
      </c>
      <c r="E13" s="16" t="s">
        <v>314</v>
      </c>
      <c r="F13" s="18">
        <v>-1125</v>
      </c>
      <c r="G13" s="18">
        <v>-2562</v>
      </c>
      <c r="H13" s="18">
        <v>-1870</v>
      </c>
      <c r="I13" s="18">
        <v>0</v>
      </c>
      <c r="J13" s="19">
        <v>-1070</v>
      </c>
      <c r="K13" s="20">
        <v>-1750</v>
      </c>
      <c r="L13" s="18">
        <v>-924.73225555559998</v>
      </c>
      <c r="M13" s="21">
        <v>-825.26774444440002</v>
      </c>
      <c r="N13" s="22">
        <v>-3.8043469999999999</v>
      </c>
      <c r="O13" s="23">
        <v>-2.1692987140985802</v>
      </c>
      <c r="P13" s="24">
        <v>-1.6350482859014199</v>
      </c>
      <c r="Q13" s="20">
        <v>-2820</v>
      </c>
      <c r="R13" s="18">
        <v>-1878.0644777778</v>
      </c>
      <c r="S13" s="21">
        <v>-941.93552222220001</v>
      </c>
      <c r="T13" s="25">
        <v>-3.1023100000000001</v>
      </c>
      <c r="U13" s="23">
        <v>-2.0908355245443602</v>
      </c>
      <c r="V13" s="24">
        <v>-1.01147447545564</v>
      </c>
      <c r="W13" s="20">
        <v>-1330</v>
      </c>
      <c r="X13" s="21">
        <v>-1490</v>
      </c>
      <c r="Y13" s="26"/>
      <c r="Z13" s="14"/>
      <c r="AA13" s="14" t="s">
        <v>10</v>
      </c>
      <c r="AB13" s="15" t="str">
        <f t="shared" si="0"/>
        <v>Carmel - 5165HC</v>
      </c>
    </row>
    <row r="14" spans="1:28" x14ac:dyDescent="0.25">
      <c r="A14" s="16" t="s">
        <v>71</v>
      </c>
      <c r="B14" s="16" t="s">
        <v>271</v>
      </c>
      <c r="C14" s="17" t="s">
        <v>312</v>
      </c>
      <c r="D14" s="16" t="s">
        <v>313</v>
      </c>
      <c r="E14" s="16" t="s">
        <v>314</v>
      </c>
      <c r="F14" s="18">
        <v>0</v>
      </c>
      <c r="G14" s="18">
        <v>0</v>
      </c>
      <c r="H14" s="18">
        <v>0</v>
      </c>
      <c r="I14" s="18">
        <v>0</v>
      </c>
      <c r="J14" s="19">
        <v>0</v>
      </c>
      <c r="K14" s="20">
        <v>-5766</v>
      </c>
      <c r="L14" s="18">
        <v>0</v>
      </c>
      <c r="M14" s="21">
        <v>-5766</v>
      </c>
      <c r="N14" s="22">
        <v>-19.746575</v>
      </c>
      <c r="O14" s="23">
        <v>0</v>
      </c>
      <c r="P14" s="24">
        <v>-19.746575</v>
      </c>
      <c r="Q14" s="20">
        <v>-5766</v>
      </c>
      <c r="R14" s="18">
        <v>0</v>
      </c>
      <c r="S14" s="21">
        <v>-5766</v>
      </c>
      <c r="T14" s="25">
        <v>-9.2850239999999999</v>
      </c>
      <c r="U14" s="23">
        <v>0</v>
      </c>
      <c r="V14" s="24">
        <v>-9.2850239999999999</v>
      </c>
      <c r="W14" s="20">
        <v>0</v>
      </c>
      <c r="X14" s="21">
        <v>-5766</v>
      </c>
      <c r="Y14" s="26"/>
      <c r="Z14" s="14"/>
      <c r="AA14" s="14" t="s">
        <v>10</v>
      </c>
      <c r="AB14" s="15" t="str">
        <f t="shared" si="0"/>
        <v>Columbus - 107HC</v>
      </c>
    </row>
    <row r="15" spans="1:28" x14ac:dyDescent="0.25">
      <c r="A15" s="16" t="s">
        <v>73</v>
      </c>
      <c r="B15" s="16" t="s">
        <v>271</v>
      </c>
      <c r="C15" s="17" t="s">
        <v>312</v>
      </c>
      <c r="D15" s="16" t="s">
        <v>313</v>
      </c>
      <c r="E15" s="16" t="s">
        <v>314</v>
      </c>
      <c r="F15" s="18">
        <v>0</v>
      </c>
      <c r="G15" s="18">
        <v>0</v>
      </c>
      <c r="H15" s="18">
        <v>0.05</v>
      </c>
      <c r="I15" s="18">
        <v>0.02</v>
      </c>
      <c r="J15" s="19">
        <v>0</v>
      </c>
      <c r="K15" s="20">
        <v>0</v>
      </c>
      <c r="L15" s="18">
        <v>0</v>
      </c>
      <c r="M15" s="21">
        <v>0</v>
      </c>
      <c r="N15" s="22">
        <v>0</v>
      </c>
      <c r="O15" s="23">
        <v>0</v>
      </c>
      <c r="P15" s="24">
        <v>0</v>
      </c>
      <c r="Q15" s="20">
        <v>0</v>
      </c>
      <c r="R15" s="18">
        <v>0</v>
      </c>
      <c r="S15" s="21">
        <v>0</v>
      </c>
      <c r="T15" s="25">
        <v>0</v>
      </c>
      <c r="U15" s="23">
        <v>0</v>
      </c>
      <c r="V15" s="24">
        <v>0</v>
      </c>
      <c r="W15" s="20">
        <v>0</v>
      </c>
      <c r="X15" s="21">
        <v>0</v>
      </c>
      <c r="Y15" s="26"/>
      <c r="Z15" s="14"/>
      <c r="AA15" s="14" t="s">
        <v>10</v>
      </c>
      <c r="AB15" s="15" t="str">
        <f t="shared" si="0"/>
        <v>Commerce - 503HC</v>
      </c>
    </row>
    <row r="16" spans="1:28" x14ac:dyDescent="0.25">
      <c r="A16" s="16" t="s">
        <v>77</v>
      </c>
      <c r="B16" s="16" t="s">
        <v>271</v>
      </c>
      <c r="C16" s="17" t="s">
        <v>312</v>
      </c>
      <c r="D16" s="16" t="s">
        <v>313</v>
      </c>
      <c r="E16" s="16" t="s">
        <v>314</v>
      </c>
      <c r="F16" s="18">
        <v>0</v>
      </c>
      <c r="G16" s="18">
        <v>0</v>
      </c>
      <c r="H16" s="18">
        <v>0</v>
      </c>
      <c r="I16" s="18">
        <v>0</v>
      </c>
      <c r="J16" s="19">
        <v>0</v>
      </c>
      <c r="K16" s="20">
        <v>0</v>
      </c>
      <c r="L16" s="18">
        <v>0</v>
      </c>
      <c r="M16" s="21">
        <v>0</v>
      </c>
      <c r="N16" s="22">
        <v>0</v>
      </c>
      <c r="O16" s="23">
        <v>0</v>
      </c>
      <c r="P16" s="24">
        <v>0</v>
      </c>
      <c r="Q16" s="20">
        <v>0</v>
      </c>
      <c r="R16" s="18">
        <v>0</v>
      </c>
      <c r="S16" s="21">
        <v>0</v>
      </c>
      <c r="T16" s="25">
        <v>0</v>
      </c>
      <c r="U16" s="23">
        <v>0</v>
      </c>
      <c r="V16" s="24">
        <v>0</v>
      </c>
      <c r="W16" s="20">
        <v>0</v>
      </c>
      <c r="X16" s="21">
        <v>0</v>
      </c>
      <c r="Y16" s="26"/>
      <c r="Z16" s="14"/>
      <c r="AA16" s="14" t="s">
        <v>10</v>
      </c>
      <c r="AB16" s="15" t="str">
        <f t="shared" si="0"/>
        <v>Corydon - 2180HC</v>
      </c>
    </row>
    <row r="17" spans="1:28" x14ac:dyDescent="0.25">
      <c r="A17" s="16" t="s">
        <v>81</v>
      </c>
      <c r="B17" s="16" t="s">
        <v>271</v>
      </c>
      <c r="C17" s="17" t="s">
        <v>312</v>
      </c>
      <c r="D17" s="16" t="s">
        <v>313</v>
      </c>
      <c r="E17" s="16" t="s">
        <v>314</v>
      </c>
      <c r="F17" s="18">
        <v>0</v>
      </c>
      <c r="G17" s="18">
        <v>0</v>
      </c>
      <c r="H17" s="18">
        <v>0</v>
      </c>
      <c r="I17" s="18">
        <v>0</v>
      </c>
      <c r="J17" s="19">
        <v>0</v>
      </c>
      <c r="K17" s="20">
        <v>2552</v>
      </c>
      <c r="L17" s="18">
        <v>0</v>
      </c>
      <c r="M17" s="21">
        <v>2552</v>
      </c>
      <c r="N17" s="22">
        <v>4.4075990000000003</v>
      </c>
      <c r="O17" s="23">
        <v>0</v>
      </c>
      <c r="P17" s="24">
        <v>4.4075990000000003</v>
      </c>
      <c r="Q17" s="20">
        <v>2552</v>
      </c>
      <c r="R17" s="18">
        <v>0</v>
      </c>
      <c r="S17" s="21">
        <v>2552</v>
      </c>
      <c r="T17" s="25">
        <v>2.1266660000000002</v>
      </c>
      <c r="U17" s="23">
        <v>0</v>
      </c>
      <c r="V17" s="24">
        <v>2.1266660000000002</v>
      </c>
      <c r="W17" s="20">
        <v>0</v>
      </c>
      <c r="X17" s="21">
        <v>2552</v>
      </c>
      <c r="Y17" s="26"/>
      <c r="Z17" s="14"/>
      <c r="AA17" s="14" t="s">
        <v>10</v>
      </c>
      <c r="AB17" s="15" t="str">
        <f t="shared" si="0"/>
        <v>Crawfordsville - 5167HC</v>
      </c>
    </row>
    <row r="18" spans="1:28" x14ac:dyDescent="0.25">
      <c r="A18" s="16" t="s">
        <v>84</v>
      </c>
      <c r="B18" s="16" t="s">
        <v>271</v>
      </c>
      <c r="C18" s="17" t="s">
        <v>312</v>
      </c>
      <c r="D18" s="16" t="s">
        <v>313</v>
      </c>
      <c r="E18" s="16" t="s">
        <v>314</v>
      </c>
      <c r="F18" s="18">
        <v>0</v>
      </c>
      <c r="G18" s="18">
        <v>0</v>
      </c>
      <c r="H18" s="18">
        <v>0</v>
      </c>
      <c r="I18" s="18">
        <v>0</v>
      </c>
      <c r="J18" s="19">
        <v>0</v>
      </c>
      <c r="K18" s="20">
        <v>0</v>
      </c>
      <c r="L18" s="18">
        <v>0</v>
      </c>
      <c r="M18" s="21">
        <v>0</v>
      </c>
      <c r="N18" s="22">
        <v>0</v>
      </c>
      <c r="O18" s="23">
        <v>0</v>
      </c>
      <c r="P18" s="24">
        <v>0</v>
      </c>
      <c r="Q18" s="20">
        <v>0</v>
      </c>
      <c r="R18" s="18">
        <v>0</v>
      </c>
      <c r="S18" s="21">
        <v>0</v>
      </c>
      <c r="T18" s="25">
        <v>0</v>
      </c>
      <c r="U18" s="23">
        <v>0</v>
      </c>
      <c r="V18" s="24">
        <v>0</v>
      </c>
      <c r="W18" s="20">
        <v>0</v>
      </c>
      <c r="X18" s="21">
        <v>0</v>
      </c>
      <c r="Y18" s="26"/>
      <c r="Z18" s="14"/>
      <c r="AA18" s="14" t="s">
        <v>10</v>
      </c>
      <c r="AB18" s="15" t="str">
        <f t="shared" si="0"/>
        <v>Cynthiana - 114HC</v>
      </c>
    </row>
    <row r="19" spans="1:28" x14ac:dyDescent="0.25">
      <c r="A19" s="16" t="s">
        <v>87</v>
      </c>
      <c r="B19" s="16" t="s">
        <v>271</v>
      </c>
      <c r="C19" s="17" t="s">
        <v>312</v>
      </c>
      <c r="D19" s="16" t="s">
        <v>313</v>
      </c>
      <c r="E19" s="16" t="s">
        <v>314</v>
      </c>
      <c r="F19" s="18">
        <v>0</v>
      </c>
      <c r="G19" s="18">
        <v>0</v>
      </c>
      <c r="H19" s="18">
        <v>0</v>
      </c>
      <c r="I19" s="18">
        <v>0</v>
      </c>
      <c r="J19" s="19">
        <v>0</v>
      </c>
      <c r="K19" s="20">
        <v>0</v>
      </c>
      <c r="L19" s="18">
        <v>0</v>
      </c>
      <c r="M19" s="21">
        <v>0</v>
      </c>
      <c r="N19" s="22">
        <v>0</v>
      </c>
      <c r="O19" s="23">
        <v>0</v>
      </c>
      <c r="P19" s="24">
        <v>0</v>
      </c>
      <c r="Q19" s="20">
        <v>0</v>
      </c>
      <c r="R19" s="18">
        <v>0</v>
      </c>
      <c r="S19" s="21">
        <v>0</v>
      </c>
      <c r="T19" s="25">
        <v>0</v>
      </c>
      <c r="U19" s="23">
        <v>0</v>
      </c>
      <c r="V19" s="24">
        <v>0</v>
      </c>
      <c r="W19" s="20">
        <v>0</v>
      </c>
      <c r="X19" s="21">
        <v>0</v>
      </c>
      <c r="Y19" s="26"/>
      <c r="Z19" s="14"/>
      <c r="AA19" s="14" t="s">
        <v>10</v>
      </c>
      <c r="AB19" s="15" t="str">
        <f t="shared" si="0"/>
        <v>Delphi - 2134HC</v>
      </c>
    </row>
    <row r="20" spans="1:28" x14ac:dyDescent="0.25">
      <c r="A20" s="16" t="s">
        <v>89</v>
      </c>
      <c r="B20" s="16" t="s">
        <v>271</v>
      </c>
      <c r="C20" s="17" t="s">
        <v>312</v>
      </c>
      <c r="D20" s="16" t="s">
        <v>313</v>
      </c>
      <c r="E20" s="16" t="s">
        <v>314</v>
      </c>
      <c r="F20" s="18">
        <v>0</v>
      </c>
      <c r="G20" s="18">
        <v>0</v>
      </c>
      <c r="H20" s="18">
        <v>0</v>
      </c>
      <c r="I20" s="18">
        <v>0</v>
      </c>
      <c r="J20" s="19">
        <v>0</v>
      </c>
      <c r="K20" s="20">
        <v>0</v>
      </c>
      <c r="L20" s="18">
        <v>0</v>
      </c>
      <c r="M20" s="21">
        <v>0</v>
      </c>
      <c r="N20" s="22">
        <v>0</v>
      </c>
      <c r="O20" s="23">
        <v>0</v>
      </c>
      <c r="P20" s="24">
        <v>0</v>
      </c>
      <c r="Q20" s="20">
        <v>0</v>
      </c>
      <c r="R20" s="18">
        <v>0</v>
      </c>
      <c r="S20" s="21">
        <v>0</v>
      </c>
      <c r="T20" s="25">
        <v>0</v>
      </c>
      <c r="U20" s="23">
        <v>0</v>
      </c>
      <c r="V20" s="24">
        <v>0</v>
      </c>
      <c r="W20" s="20">
        <v>0</v>
      </c>
      <c r="X20" s="21">
        <v>0</v>
      </c>
      <c r="Y20" s="26"/>
      <c r="Z20" s="14"/>
      <c r="AA20" s="14" t="s">
        <v>10</v>
      </c>
      <c r="AB20" s="15" t="str">
        <f t="shared" si="0"/>
        <v>Delphos - 407HC</v>
      </c>
    </row>
    <row r="21" spans="1:28" x14ac:dyDescent="0.25">
      <c r="A21" s="16" t="s">
        <v>93</v>
      </c>
      <c r="B21" s="16" t="s">
        <v>271</v>
      </c>
      <c r="C21" s="17" t="s">
        <v>312</v>
      </c>
      <c r="D21" s="16" t="s">
        <v>313</v>
      </c>
      <c r="E21" s="16" t="s">
        <v>314</v>
      </c>
      <c r="F21" s="18">
        <v>-1988</v>
      </c>
      <c r="G21" s="18">
        <v>-2859.84</v>
      </c>
      <c r="H21" s="18">
        <v>0</v>
      </c>
      <c r="I21" s="18">
        <v>0</v>
      </c>
      <c r="J21" s="19">
        <v>0</v>
      </c>
      <c r="K21" s="20">
        <v>0</v>
      </c>
      <c r="L21" s="18">
        <v>0</v>
      </c>
      <c r="M21" s="21">
        <v>0</v>
      </c>
      <c r="N21" s="22">
        <v>0</v>
      </c>
      <c r="O21" s="23">
        <v>0</v>
      </c>
      <c r="P21" s="24">
        <v>0</v>
      </c>
      <c r="Q21" s="20">
        <v>0</v>
      </c>
      <c r="R21" s="18">
        <v>0</v>
      </c>
      <c r="S21" s="21">
        <v>0</v>
      </c>
      <c r="T21" s="25">
        <v>0</v>
      </c>
      <c r="U21" s="23">
        <v>0</v>
      </c>
      <c r="V21" s="24">
        <v>0</v>
      </c>
      <c r="W21" s="20">
        <v>0</v>
      </c>
      <c r="X21" s="21">
        <v>0</v>
      </c>
      <c r="Y21" s="26"/>
      <c r="Z21" s="14"/>
      <c r="AA21" s="14" t="s">
        <v>10</v>
      </c>
      <c r="AB21" s="15" t="str">
        <f t="shared" si="0"/>
        <v>Elkhart - 132HC</v>
      </c>
    </row>
    <row r="22" spans="1:28" x14ac:dyDescent="0.25">
      <c r="A22" s="16" t="s">
        <v>94</v>
      </c>
      <c r="B22" s="16" t="s">
        <v>271</v>
      </c>
      <c r="C22" s="17" t="s">
        <v>312</v>
      </c>
      <c r="D22" s="16" t="s">
        <v>313</v>
      </c>
      <c r="E22" s="16" t="s">
        <v>314</v>
      </c>
      <c r="F22" s="18">
        <v>0</v>
      </c>
      <c r="G22" s="18">
        <v>0</v>
      </c>
      <c r="H22" s="18">
        <v>-140</v>
      </c>
      <c r="I22" s="18">
        <v>-770</v>
      </c>
      <c r="J22" s="19">
        <v>0</v>
      </c>
      <c r="K22" s="20">
        <v>0</v>
      </c>
      <c r="L22" s="18">
        <v>0</v>
      </c>
      <c r="M22" s="21">
        <v>0</v>
      </c>
      <c r="N22" s="22">
        <v>0</v>
      </c>
      <c r="O22" s="23">
        <v>0</v>
      </c>
      <c r="P22" s="24">
        <v>0</v>
      </c>
      <c r="Q22" s="20">
        <v>0</v>
      </c>
      <c r="R22" s="18">
        <v>0</v>
      </c>
      <c r="S22" s="21">
        <v>0</v>
      </c>
      <c r="T22" s="25">
        <v>0</v>
      </c>
      <c r="U22" s="23">
        <v>0</v>
      </c>
      <c r="V22" s="24">
        <v>0</v>
      </c>
      <c r="W22" s="20">
        <v>0</v>
      </c>
      <c r="X22" s="21">
        <v>0</v>
      </c>
      <c r="Y22" s="26"/>
      <c r="Z22" s="14"/>
      <c r="AA22" s="14" t="s">
        <v>10</v>
      </c>
      <c r="AB22" s="15" t="str">
        <f t="shared" si="0"/>
        <v>Englewood - 416HC</v>
      </c>
    </row>
    <row r="23" spans="1:28" x14ac:dyDescent="0.25">
      <c r="A23" s="16" t="s">
        <v>96</v>
      </c>
      <c r="B23" s="16" t="s">
        <v>271</v>
      </c>
      <c r="C23" s="17" t="s">
        <v>312</v>
      </c>
      <c r="D23" s="16" t="s">
        <v>313</v>
      </c>
      <c r="E23" s="16" t="s">
        <v>314</v>
      </c>
      <c r="F23" s="18">
        <v>-5701.32</v>
      </c>
      <c r="G23" s="18">
        <v>-9908.94</v>
      </c>
      <c r="H23" s="18">
        <v>-7202.76</v>
      </c>
      <c r="I23" s="18">
        <v>1798.89</v>
      </c>
      <c r="J23" s="19">
        <v>399</v>
      </c>
      <c r="K23" s="20">
        <v>1197</v>
      </c>
      <c r="L23" s="18">
        <v>-815.12009999999998</v>
      </c>
      <c r="M23" s="21">
        <v>2012.1201000000001</v>
      </c>
      <c r="N23" s="22">
        <v>2.4428570000000001</v>
      </c>
      <c r="O23" s="23">
        <v>-1.6084789056411499</v>
      </c>
      <c r="P23" s="24">
        <v>4.0513359056411504</v>
      </c>
      <c r="Q23" s="20">
        <v>1596</v>
      </c>
      <c r="R23" s="18">
        <v>-1655.4501</v>
      </c>
      <c r="S23" s="21">
        <v>3251.4501</v>
      </c>
      <c r="T23" s="25">
        <v>1.617021</v>
      </c>
      <c r="U23" s="23">
        <v>-1.55030047938434</v>
      </c>
      <c r="V23" s="24">
        <v>3.1673214793843401</v>
      </c>
      <c r="W23" s="20">
        <v>2612</v>
      </c>
      <c r="X23" s="21">
        <v>-1016</v>
      </c>
      <c r="Y23" s="26"/>
      <c r="Z23" s="14"/>
      <c r="AA23" s="14" t="s">
        <v>10</v>
      </c>
      <c r="AB23" s="15" t="str">
        <f t="shared" si="0"/>
        <v>Evansville NR - 2186HC</v>
      </c>
    </row>
    <row r="24" spans="1:28" x14ac:dyDescent="0.25">
      <c r="A24" s="16" t="s">
        <v>98</v>
      </c>
      <c r="B24" s="16" t="s">
        <v>271</v>
      </c>
      <c r="C24" s="17" t="s">
        <v>312</v>
      </c>
      <c r="D24" s="16" t="s">
        <v>313</v>
      </c>
      <c r="E24" s="16" t="s">
        <v>314</v>
      </c>
      <c r="F24" s="18">
        <v>-1151.23</v>
      </c>
      <c r="G24" s="18">
        <v>212.52</v>
      </c>
      <c r="H24" s="18">
        <v>-1727</v>
      </c>
      <c r="I24" s="18">
        <v>0</v>
      </c>
      <c r="J24" s="19">
        <v>2154</v>
      </c>
      <c r="K24" s="20">
        <v>1428</v>
      </c>
      <c r="L24" s="18">
        <v>-998.5600333333</v>
      </c>
      <c r="M24" s="21">
        <v>2426.5600333333</v>
      </c>
      <c r="N24" s="22">
        <v>2.987447</v>
      </c>
      <c r="O24" s="23">
        <v>-1.91592000880905</v>
      </c>
      <c r="P24" s="24">
        <v>4.9033670088090497</v>
      </c>
      <c r="Q24" s="20">
        <v>3582</v>
      </c>
      <c r="R24" s="18">
        <v>-2028.0033666667</v>
      </c>
      <c r="S24" s="21">
        <v>5610.0033666666995</v>
      </c>
      <c r="T24" s="25">
        <v>3.5325440000000001</v>
      </c>
      <c r="U24" s="23">
        <v>-1.8466214867362001</v>
      </c>
      <c r="V24" s="24">
        <v>5.3791654867362002</v>
      </c>
      <c r="W24" s="20">
        <v>-2033</v>
      </c>
      <c r="X24" s="21">
        <v>5615</v>
      </c>
      <c r="Y24" s="26"/>
      <c r="Z24" s="14"/>
      <c r="AA24" s="14" t="s">
        <v>10</v>
      </c>
      <c r="AB24" s="15" t="str">
        <f t="shared" si="0"/>
        <v>Evansville RP - 111HC</v>
      </c>
    </row>
    <row r="25" spans="1:28" x14ac:dyDescent="0.25">
      <c r="A25" s="16" t="s">
        <v>100</v>
      </c>
      <c r="B25" s="16" t="s">
        <v>271</v>
      </c>
      <c r="C25" s="17" t="s">
        <v>312</v>
      </c>
      <c r="D25" s="16" t="s">
        <v>313</v>
      </c>
      <c r="E25" s="16" t="s">
        <v>314</v>
      </c>
      <c r="F25" s="18">
        <v>-2548.7800000000002</v>
      </c>
      <c r="G25" s="18">
        <v>-1804.33</v>
      </c>
      <c r="H25" s="18">
        <v>-2310.66</v>
      </c>
      <c r="I25" s="18">
        <v>0</v>
      </c>
      <c r="J25" s="19">
        <v>3112</v>
      </c>
      <c r="K25" s="20">
        <v>0</v>
      </c>
      <c r="L25" s="18">
        <v>0</v>
      </c>
      <c r="M25" s="21">
        <v>0</v>
      </c>
      <c r="N25" s="22">
        <v>0</v>
      </c>
      <c r="O25" s="23">
        <v>0</v>
      </c>
      <c r="P25" s="24">
        <v>0</v>
      </c>
      <c r="Q25" s="20">
        <v>3112</v>
      </c>
      <c r="R25" s="18">
        <v>0</v>
      </c>
      <c r="S25" s="21">
        <v>3112</v>
      </c>
      <c r="T25" s="25">
        <v>4.2747250000000001</v>
      </c>
      <c r="U25" s="23">
        <v>0</v>
      </c>
      <c r="V25" s="24">
        <v>4.2747250000000001</v>
      </c>
      <c r="W25" s="20">
        <v>0</v>
      </c>
      <c r="X25" s="21">
        <v>3112</v>
      </c>
      <c r="Y25" s="26"/>
      <c r="Z25" s="14"/>
      <c r="AA25" s="14" t="s">
        <v>10</v>
      </c>
      <c r="AB25" s="15" t="str">
        <f t="shared" si="0"/>
        <v>Evansville WR - 142HC</v>
      </c>
    </row>
    <row r="26" spans="1:28" x14ac:dyDescent="0.25">
      <c r="A26" s="16" t="s">
        <v>101</v>
      </c>
      <c r="B26" s="16" t="s">
        <v>271</v>
      </c>
      <c r="C26" s="17" t="s">
        <v>312</v>
      </c>
      <c r="D26" s="16" t="s">
        <v>313</v>
      </c>
      <c r="E26" s="16" t="s">
        <v>314</v>
      </c>
      <c r="F26" s="18">
        <v>0</v>
      </c>
      <c r="G26" s="18">
        <v>1017</v>
      </c>
      <c r="H26" s="18">
        <v>0</v>
      </c>
      <c r="I26" s="18">
        <v>0</v>
      </c>
      <c r="J26" s="19">
        <v>0</v>
      </c>
      <c r="K26" s="20">
        <v>0</v>
      </c>
      <c r="L26" s="18">
        <v>0</v>
      </c>
      <c r="M26" s="21">
        <v>0</v>
      </c>
      <c r="N26" s="22">
        <v>0</v>
      </c>
      <c r="O26" s="23">
        <v>0</v>
      </c>
      <c r="P26" s="24">
        <v>0</v>
      </c>
      <c r="Q26" s="20">
        <v>0</v>
      </c>
      <c r="R26" s="18">
        <v>0</v>
      </c>
      <c r="S26" s="21">
        <v>0</v>
      </c>
      <c r="T26" s="25">
        <v>0</v>
      </c>
      <c r="U26" s="23">
        <v>0</v>
      </c>
      <c r="V26" s="24">
        <v>0</v>
      </c>
      <c r="W26" s="20">
        <v>0</v>
      </c>
      <c r="X26" s="21">
        <v>0</v>
      </c>
      <c r="Y26" s="26"/>
      <c r="Z26" s="14"/>
      <c r="AA26" s="14" t="s">
        <v>10</v>
      </c>
      <c r="AB26" s="15" t="str">
        <f t="shared" si="0"/>
        <v>Ferdinand - 303HC</v>
      </c>
    </row>
    <row r="27" spans="1:28" x14ac:dyDescent="0.25">
      <c r="A27" s="16" t="s">
        <v>104</v>
      </c>
      <c r="B27" s="16" t="s">
        <v>271</v>
      </c>
      <c r="C27" s="17" t="s">
        <v>312</v>
      </c>
      <c r="D27" s="16" t="s">
        <v>313</v>
      </c>
      <c r="E27" s="16" t="s">
        <v>314</v>
      </c>
      <c r="F27" s="18">
        <v>-870</v>
      </c>
      <c r="G27" s="18">
        <v>-959</v>
      </c>
      <c r="H27" s="18">
        <v>-600</v>
      </c>
      <c r="I27" s="18">
        <v>-860</v>
      </c>
      <c r="J27" s="19">
        <v>0</v>
      </c>
      <c r="K27" s="20">
        <v>0</v>
      </c>
      <c r="L27" s="18">
        <v>-672.49130000000002</v>
      </c>
      <c r="M27" s="21">
        <v>672.49130000000002</v>
      </c>
      <c r="N27" s="22">
        <v>0</v>
      </c>
      <c r="O27" s="23">
        <v>-2.64813447902285</v>
      </c>
      <c r="P27" s="24">
        <v>2.64813447902285</v>
      </c>
      <c r="Q27" s="20">
        <v>0</v>
      </c>
      <c r="R27" s="18">
        <v>-1365.7813000000001</v>
      </c>
      <c r="S27" s="21">
        <v>1365.7813000000001</v>
      </c>
      <c r="T27" s="25">
        <v>0</v>
      </c>
      <c r="U27" s="23">
        <v>-2.55235187598988</v>
      </c>
      <c r="V27" s="24">
        <v>2.55235187598988</v>
      </c>
      <c r="W27" s="20">
        <v>0</v>
      </c>
      <c r="X27" s="21">
        <v>0</v>
      </c>
      <c r="Y27" s="26"/>
      <c r="Z27" s="14"/>
      <c r="AA27" s="14" t="s">
        <v>10</v>
      </c>
      <c r="AB27" s="15" t="str">
        <f t="shared" si="0"/>
        <v>Findlay - 408HC</v>
      </c>
    </row>
    <row r="28" spans="1:28" x14ac:dyDescent="0.25">
      <c r="A28" s="16" t="s">
        <v>109</v>
      </c>
      <c r="B28" s="16" t="s">
        <v>271</v>
      </c>
      <c r="C28" s="17" t="s">
        <v>312</v>
      </c>
      <c r="D28" s="16" t="s">
        <v>313</v>
      </c>
      <c r="E28" s="16" t="s">
        <v>314</v>
      </c>
      <c r="F28" s="18">
        <v>6697</v>
      </c>
      <c r="G28" s="18">
        <v>0</v>
      </c>
      <c r="H28" s="18">
        <v>0</v>
      </c>
      <c r="I28" s="18">
        <v>0</v>
      </c>
      <c r="J28" s="19">
        <v>0</v>
      </c>
      <c r="K28" s="20">
        <v>0</v>
      </c>
      <c r="L28" s="18">
        <v>0</v>
      </c>
      <c r="M28" s="21">
        <v>0</v>
      </c>
      <c r="N28" s="22">
        <v>0</v>
      </c>
      <c r="O28" s="23">
        <v>0</v>
      </c>
      <c r="P28" s="24">
        <v>0</v>
      </c>
      <c r="Q28" s="20">
        <v>0</v>
      </c>
      <c r="R28" s="18">
        <v>0</v>
      </c>
      <c r="S28" s="21">
        <v>0</v>
      </c>
      <c r="T28" s="25">
        <v>0</v>
      </c>
      <c r="U28" s="23">
        <v>0</v>
      </c>
      <c r="V28" s="24">
        <v>0</v>
      </c>
      <c r="W28" s="20">
        <v>0</v>
      </c>
      <c r="X28" s="21">
        <v>0</v>
      </c>
      <c r="Y28" s="26"/>
      <c r="Z28" s="14"/>
      <c r="AA28" s="14" t="s">
        <v>10</v>
      </c>
      <c r="AB28" s="15" t="str">
        <f t="shared" si="0"/>
        <v>Fremont - 403HC</v>
      </c>
    </row>
    <row r="29" spans="1:28" x14ac:dyDescent="0.25">
      <c r="A29" s="16" t="s">
        <v>113</v>
      </c>
      <c r="B29" s="16" t="s">
        <v>271</v>
      </c>
      <c r="C29" s="17" t="s">
        <v>312</v>
      </c>
      <c r="D29" s="16" t="s">
        <v>313</v>
      </c>
      <c r="E29" s="16" t="s">
        <v>314</v>
      </c>
      <c r="F29" s="18">
        <v>-1200</v>
      </c>
      <c r="G29" s="18">
        <v>-1240</v>
      </c>
      <c r="H29" s="18">
        <v>-1200</v>
      </c>
      <c r="I29" s="18">
        <v>-1240</v>
      </c>
      <c r="J29" s="19">
        <v>-1240</v>
      </c>
      <c r="K29" s="20">
        <v>-1120</v>
      </c>
      <c r="L29" s="18">
        <v>-833.33333333329995</v>
      </c>
      <c r="M29" s="21">
        <v>-286.6666666667</v>
      </c>
      <c r="N29" s="22">
        <v>-4.3921559999999999</v>
      </c>
      <c r="O29" s="23">
        <v>-3.3068783068781702</v>
      </c>
      <c r="P29" s="24">
        <v>-1.08527769312183</v>
      </c>
      <c r="Q29" s="20">
        <v>-2360</v>
      </c>
      <c r="R29" s="18">
        <v>-1666.6666666666999</v>
      </c>
      <c r="S29" s="21">
        <v>-693.33333333329995</v>
      </c>
      <c r="T29" s="25">
        <v>-3.8815780000000002</v>
      </c>
      <c r="U29" s="23">
        <v>-3.1353982665403102</v>
      </c>
      <c r="V29" s="24">
        <v>-0.74617973345969202</v>
      </c>
      <c r="W29" s="20">
        <v>0</v>
      </c>
      <c r="X29" s="21">
        <v>-2360</v>
      </c>
      <c r="Y29" s="26"/>
      <c r="Z29" s="14"/>
      <c r="AA29" s="14" t="s">
        <v>10</v>
      </c>
      <c r="AB29" s="15" t="str">
        <f t="shared" si="0"/>
        <v>Gahanna - 436HC</v>
      </c>
    </row>
    <row r="30" spans="1:28" x14ac:dyDescent="0.25">
      <c r="A30" s="16" t="s">
        <v>114</v>
      </c>
      <c r="B30" s="16" t="s">
        <v>271</v>
      </c>
      <c r="C30" s="17" t="s">
        <v>312</v>
      </c>
      <c r="D30" s="16" t="s">
        <v>313</v>
      </c>
      <c r="E30" s="16" t="s">
        <v>314</v>
      </c>
      <c r="F30" s="18">
        <v>0</v>
      </c>
      <c r="G30" s="18">
        <v>0</v>
      </c>
      <c r="H30" s="18">
        <v>0</v>
      </c>
      <c r="I30" s="18">
        <v>0</v>
      </c>
      <c r="J30" s="19">
        <v>-960</v>
      </c>
      <c r="K30" s="20">
        <v>0</v>
      </c>
      <c r="L30" s="18">
        <v>0</v>
      </c>
      <c r="M30" s="21">
        <v>0</v>
      </c>
      <c r="N30" s="22">
        <v>0</v>
      </c>
      <c r="O30" s="23">
        <v>0</v>
      </c>
      <c r="P30" s="24">
        <v>0</v>
      </c>
      <c r="Q30" s="20">
        <v>-960</v>
      </c>
      <c r="R30" s="18">
        <v>0</v>
      </c>
      <c r="S30" s="21">
        <v>-960</v>
      </c>
      <c r="T30" s="25">
        <v>-1.1136889999999999</v>
      </c>
      <c r="U30" s="23">
        <v>0</v>
      </c>
      <c r="V30" s="24">
        <v>-1.1136889999999999</v>
      </c>
      <c r="W30" s="20">
        <v>0</v>
      </c>
      <c r="X30" s="21">
        <v>-960</v>
      </c>
      <c r="Y30" s="26"/>
      <c r="Z30" s="14"/>
      <c r="AA30" s="14" t="s">
        <v>10</v>
      </c>
      <c r="AB30" s="15" t="str">
        <f t="shared" si="0"/>
        <v>Genoa - 411HC</v>
      </c>
    </row>
    <row r="31" spans="1:28" x14ac:dyDescent="0.25">
      <c r="A31" s="16" t="s">
        <v>116</v>
      </c>
      <c r="B31" s="16" t="s">
        <v>271</v>
      </c>
      <c r="C31" s="17" t="s">
        <v>312</v>
      </c>
      <c r="D31" s="16" t="s">
        <v>313</v>
      </c>
      <c r="E31" s="16" t="s">
        <v>314</v>
      </c>
      <c r="F31" s="18">
        <v>-24900</v>
      </c>
      <c r="G31" s="18">
        <v>-29409.9</v>
      </c>
      <c r="H31" s="18">
        <v>-16549.95</v>
      </c>
      <c r="I31" s="18">
        <v>-25046.9</v>
      </c>
      <c r="J31" s="19">
        <v>-11493.88</v>
      </c>
      <c r="K31" s="20">
        <v>-1783.97</v>
      </c>
      <c r="L31" s="18">
        <v>-17997.541666666701</v>
      </c>
      <c r="M31" s="21">
        <v>16213.571666666699</v>
      </c>
      <c r="N31" s="22">
        <v>-3.0864530000000001</v>
      </c>
      <c r="O31" s="23">
        <v>-25.152754745023302</v>
      </c>
      <c r="P31" s="24">
        <v>22.066301745023299</v>
      </c>
      <c r="Q31" s="20">
        <v>-13277.85</v>
      </c>
      <c r="R31" s="18">
        <v>-36551.708333333401</v>
      </c>
      <c r="S31" s="21">
        <v>23273.858333333399</v>
      </c>
      <c r="T31" s="25">
        <v>-9.8427349999999993</v>
      </c>
      <c r="U31" s="23">
        <v>-24.2429836053728</v>
      </c>
      <c r="V31" s="24">
        <v>14.4002486053729</v>
      </c>
      <c r="W31" s="20">
        <v>-64891.85</v>
      </c>
      <c r="X31" s="21">
        <v>51614</v>
      </c>
      <c r="Y31" s="26"/>
      <c r="Z31" s="14"/>
      <c r="AA31" s="14" t="s">
        <v>10</v>
      </c>
      <c r="AB31" s="15" t="str">
        <f t="shared" si="0"/>
        <v>Goshen MW - 124HC</v>
      </c>
    </row>
    <row r="32" spans="1:28" x14ac:dyDescent="0.25">
      <c r="A32" s="16" t="s">
        <v>120</v>
      </c>
      <c r="B32" s="16" t="s">
        <v>271</v>
      </c>
      <c r="C32" s="17" t="s">
        <v>312</v>
      </c>
      <c r="D32" s="16" t="s">
        <v>313</v>
      </c>
      <c r="E32" s="16" t="s">
        <v>314</v>
      </c>
      <c r="F32" s="18">
        <v>5.33</v>
      </c>
      <c r="G32" s="18">
        <v>40</v>
      </c>
      <c r="H32" s="18">
        <v>40</v>
      </c>
      <c r="I32" s="18">
        <v>80</v>
      </c>
      <c r="J32" s="19">
        <v>73.55</v>
      </c>
      <c r="K32" s="20">
        <v>80</v>
      </c>
      <c r="L32" s="18">
        <v>0</v>
      </c>
      <c r="M32" s="21">
        <v>80</v>
      </c>
      <c r="N32" s="22">
        <v>2.8571420000000001</v>
      </c>
      <c r="O32" s="23">
        <v>0</v>
      </c>
      <c r="P32" s="24">
        <v>2.8571420000000001</v>
      </c>
      <c r="Q32" s="20">
        <v>153.55000000000001</v>
      </c>
      <c r="R32" s="18">
        <v>0</v>
      </c>
      <c r="S32" s="21">
        <v>153.55000000000001</v>
      </c>
      <c r="T32" s="25">
        <v>2.0750000000000002</v>
      </c>
      <c r="U32" s="23">
        <v>0</v>
      </c>
      <c r="V32" s="24">
        <v>2.0750000000000002</v>
      </c>
      <c r="W32" s="20">
        <v>0</v>
      </c>
      <c r="X32" s="21">
        <v>153.55000000000001</v>
      </c>
      <c r="Y32" s="26"/>
      <c r="Z32" s="14"/>
      <c r="AA32" s="14" t="s">
        <v>10</v>
      </c>
      <c r="AB32" s="15" t="str">
        <f t="shared" si="0"/>
        <v>Grand Blanc - 2505HC</v>
      </c>
    </row>
    <row r="33" spans="1:28" x14ac:dyDescent="0.25">
      <c r="A33" s="16" t="s">
        <v>122</v>
      </c>
      <c r="B33" s="16" t="s">
        <v>271</v>
      </c>
      <c r="C33" s="17" t="s">
        <v>312</v>
      </c>
      <c r="D33" s="16" t="s">
        <v>313</v>
      </c>
      <c r="E33" s="16" t="s">
        <v>314</v>
      </c>
      <c r="F33" s="18">
        <v>0</v>
      </c>
      <c r="G33" s="18">
        <v>0</v>
      </c>
      <c r="H33" s="18">
        <v>0</v>
      </c>
      <c r="I33" s="18">
        <v>0</v>
      </c>
      <c r="J33" s="19">
        <v>9889</v>
      </c>
      <c r="K33" s="20">
        <v>25927</v>
      </c>
      <c r="L33" s="18">
        <v>0</v>
      </c>
      <c r="M33" s="21">
        <v>25927</v>
      </c>
      <c r="N33" s="22">
        <v>76.255882</v>
      </c>
      <c r="O33" s="23">
        <v>0</v>
      </c>
      <c r="P33" s="24">
        <v>76.255882</v>
      </c>
      <c r="Q33" s="20">
        <v>35816</v>
      </c>
      <c r="R33" s="18">
        <v>0</v>
      </c>
      <c r="S33" s="21">
        <v>35816</v>
      </c>
      <c r="T33" s="25">
        <v>55.271604000000004</v>
      </c>
      <c r="U33" s="23">
        <v>0</v>
      </c>
      <c r="V33" s="24">
        <v>55.271604000000004</v>
      </c>
      <c r="W33" s="20">
        <v>0</v>
      </c>
      <c r="X33" s="21">
        <v>35816</v>
      </c>
      <c r="Y33" s="26"/>
      <c r="Z33" s="14"/>
      <c r="AA33" s="14" t="s">
        <v>10</v>
      </c>
      <c r="AB33" s="15" t="str">
        <f t="shared" si="0"/>
        <v>Greenfield - 125HC</v>
      </c>
    </row>
    <row r="34" spans="1:28" x14ac:dyDescent="0.25">
      <c r="A34" s="16" t="s">
        <v>124</v>
      </c>
      <c r="B34" s="16" t="s">
        <v>271</v>
      </c>
      <c r="C34" s="17" t="s">
        <v>312</v>
      </c>
      <c r="D34" s="16" t="s">
        <v>313</v>
      </c>
      <c r="E34" s="16" t="s">
        <v>314</v>
      </c>
      <c r="F34" s="18">
        <v>0</v>
      </c>
      <c r="G34" s="18">
        <v>0</v>
      </c>
      <c r="H34" s="18">
        <v>0</v>
      </c>
      <c r="I34" s="18">
        <v>0</v>
      </c>
      <c r="J34" s="19">
        <v>0</v>
      </c>
      <c r="K34" s="20">
        <v>0</v>
      </c>
      <c r="L34" s="18">
        <v>0</v>
      </c>
      <c r="M34" s="21">
        <v>0</v>
      </c>
      <c r="N34" s="22">
        <v>0</v>
      </c>
      <c r="O34" s="23">
        <v>0</v>
      </c>
      <c r="P34" s="24">
        <v>0</v>
      </c>
      <c r="Q34" s="20">
        <v>0</v>
      </c>
      <c r="R34" s="18">
        <v>0</v>
      </c>
      <c r="S34" s="21">
        <v>0</v>
      </c>
      <c r="T34" s="25">
        <v>0</v>
      </c>
      <c r="U34" s="23">
        <v>0</v>
      </c>
      <c r="V34" s="24">
        <v>0</v>
      </c>
      <c r="W34" s="20">
        <v>-1286.3900000000001</v>
      </c>
      <c r="X34" s="21">
        <v>1286.3900000000001</v>
      </c>
      <c r="Y34" s="26"/>
      <c r="Z34" s="14"/>
      <c r="AA34" s="14" t="s">
        <v>10</v>
      </c>
      <c r="AB34" s="15" t="str">
        <f t="shared" si="0"/>
        <v>Greensburg - 150HC</v>
      </c>
    </row>
    <row r="35" spans="1:28" x14ac:dyDescent="0.25">
      <c r="A35" s="16" t="s">
        <v>125</v>
      </c>
      <c r="B35" s="16" t="s">
        <v>271</v>
      </c>
      <c r="C35" s="17" t="s">
        <v>312</v>
      </c>
      <c r="D35" s="16" t="s">
        <v>313</v>
      </c>
      <c r="E35" s="16" t="s">
        <v>314</v>
      </c>
      <c r="F35" s="18">
        <v>-1320</v>
      </c>
      <c r="G35" s="18">
        <v>-1840</v>
      </c>
      <c r="H35" s="18">
        <v>-1500</v>
      </c>
      <c r="I35" s="18">
        <v>-1240</v>
      </c>
      <c r="J35" s="19">
        <v>0</v>
      </c>
      <c r="K35" s="20">
        <v>-540</v>
      </c>
      <c r="L35" s="18">
        <v>-142.26666666669999</v>
      </c>
      <c r="M35" s="21">
        <v>-397.73333333329998</v>
      </c>
      <c r="N35" s="22">
        <v>-1.4323600000000001</v>
      </c>
      <c r="O35" s="23">
        <v>-0.36292517006811198</v>
      </c>
      <c r="P35" s="24">
        <v>-1.0694348299318901</v>
      </c>
      <c r="Q35" s="20">
        <v>-540</v>
      </c>
      <c r="R35" s="18">
        <v>-288.93333333330003</v>
      </c>
      <c r="S35" s="21">
        <v>-251.0666666667</v>
      </c>
      <c r="T35" s="25">
        <v>-0.65693400000000002</v>
      </c>
      <c r="U35" s="23">
        <v>-0.34979822437445501</v>
      </c>
      <c r="V35" s="24">
        <v>-0.307135775625545</v>
      </c>
      <c r="W35" s="20">
        <v>0</v>
      </c>
      <c r="X35" s="21">
        <v>-540</v>
      </c>
      <c r="Y35" s="26"/>
      <c r="Z35" s="14"/>
      <c r="AA35" s="14" t="s">
        <v>10</v>
      </c>
      <c r="AB35" s="15" t="str">
        <f t="shared" si="0"/>
        <v>Hamilton - 439HC</v>
      </c>
    </row>
    <row r="36" spans="1:28" x14ac:dyDescent="0.25">
      <c r="A36" s="16" t="s">
        <v>126</v>
      </c>
      <c r="B36" s="16" t="s">
        <v>271</v>
      </c>
      <c r="C36" s="17" t="s">
        <v>312</v>
      </c>
      <c r="D36" s="16" t="s">
        <v>313</v>
      </c>
      <c r="E36" s="16" t="s">
        <v>314</v>
      </c>
      <c r="F36" s="18">
        <v>0</v>
      </c>
      <c r="G36" s="18">
        <v>0</v>
      </c>
      <c r="H36" s="18">
        <v>-120</v>
      </c>
      <c r="I36" s="18">
        <v>0</v>
      </c>
      <c r="J36" s="19">
        <v>0</v>
      </c>
      <c r="K36" s="20">
        <v>0</v>
      </c>
      <c r="L36" s="18">
        <v>-390.15555555560002</v>
      </c>
      <c r="M36" s="21">
        <v>390.15555555560002</v>
      </c>
      <c r="N36" s="22">
        <v>0</v>
      </c>
      <c r="O36" s="23">
        <v>-2.8202830463638602</v>
      </c>
      <c r="P36" s="24">
        <v>2.8202830463638602</v>
      </c>
      <c r="Q36" s="20">
        <v>0</v>
      </c>
      <c r="R36" s="18">
        <v>-792.37777777780002</v>
      </c>
      <c r="S36" s="21">
        <v>792.37777777780002</v>
      </c>
      <c r="T36" s="25">
        <v>0</v>
      </c>
      <c r="U36" s="23">
        <v>-2.7667307227892102</v>
      </c>
      <c r="V36" s="24">
        <v>2.7667307227892102</v>
      </c>
      <c r="W36" s="20">
        <v>-1180</v>
      </c>
      <c r="X36" s="21">
        <v>1180</v>
      </c>
      <c r="Y36" s="26"/>
      <c r="Z36" s="14"/>
      <c r="AA36" s="14" t="s">
        <v>10</v>
      </c>
      <c r="AB36" s="15" t="str">
        <f t="shared" si="0"/>
        <v>Hanover - 116HC</v>
      </c>
    </row>
    <row r="37" spans="1:28" x14ac:dyDescent="0.25">
      <c r="A37" s="16" t="s">
        <v>127</v>
      </c>
      <c r="B37" s="16" t="s">
        <v>271</v>
      </c>
      <c r="C37" s="17" t="s">
        <v>312</v>
      </c>
      <c r="D37" s="16" t="s">
        <v>313</v>
      </c>
      <c r="E37" s="16" t="s">
        <v>314</v>
      </c>
      <c r="F37" s="18">
        <v>0</v>
      </c>
      <c r="G37" s="18">
        <v>0</v>
      </c>
      <c r="H37" s="18">
        <v>0</v>
      </c>
      <c r="I37" s="18">
        <v>0</v>
      </c>
      <c r="J37" s="19">
        <v>0</v>
      </c>
      <c r="K37" s="20">
        <v>0</v>
      </c>
      <c r="L37" s="18">
        <v>0</v>
      </c>
      <c r="M37" s="21">
        <v>0</v>
      </c>
      <c r="N37" s="22">
        <v>0</v>
      </c>
      <c r="O37" s="23">
        <v>0</v>
      </c>
      <c r="P37" s="24">
        <v>0</v>
      </c>
      <c r="Q37" s="20">
        <v>0</v>
      </c>
      <c r="R37" s="18">
        <v>0</v>
      </c>
      <c r="S37" s="21">
        <v>0</v>
      </c>
      <c r="T37" s="25">
        <v>0</v>
      </c>
      <c r="U37" s="23">
        <v>0</v>
      </c>
      <c r="V37" s="24">
        <v>0</v>
      </c>
      <c r="W37" s="20">
        <v>0</v>
      </c>
      <c r="X37" s="21">
        <v>0</v>
      </c>
      <c r="Y37" s="26"/>
      <c r="Z37" s="14"/>
      <c r="AA37" s="14" t="s">
        <v>10</v>
      </c>
      <c r="AB37" s="15" t="str">
        <f t="shared" si="0"/>
        <v>Harrison - 442HC</v>
      </c>
    </row>
    <row r="38" spans="1:28" x14ac:dyDescent="0.25">
      <c r="A38" s="16" t="s">
        <v>128</v>
      </c>
      <c r="B38" s="16" t="s">
        <v>271</v>
      </c>
      <c r="C38" s="17" t="s">
        <v>312</v>
      </c>
      <c r="D38" s="16" t="s">
        <v>313</v>
      </c>
      <c r="E38" s="16" t="s">
        <v>314</v>
      </c>
      <c r="F38" s="18">
        <v>0</v>
      </c>
      <c r="G38" s="18">
        <v>0</v>
      </c>
      <c r="H38" s="18">
        <v>0</v>
      </c>
      <c r="I38" s="18">
        <v>-1980</v>
      </c>
      <c r="J38" s="19">
        <v>-2665</v>
      </c>
      <c r="K38" s="20">
        <v>-2100</v>
      </c>
      <c r="L38" s="18">
        <v>0</v>
      </c>
      <c r="M38" s="21">
        <v>-2100</v>
      </c>
      <c r="N38" s="22">
        <v>-4.1257359999999998</v>
      </c>
      <c r="O38" s="23">
        <v>0</v>
      </c>
      <c r="P38" s="24">
        <v>-4.1257359999999998</v>
      </c>
      <c r="Q38" s="20">
        <v>-4765</v>
      </c>
      <c r="R38" s="18">
        <v>0</v>
      </c>
      <c r="S38" s="21">
        <v>-4765</v>
      </c>
      <c r="T38" s="25">
        <v>-4.3595600000000001</v>
      </c>
      <c r="U38" s="23">
        <v>0</v>
      </c>
      <c r="V38" s="24">
        <v>-4.3595600000000001</v>
      </c>
      <c r="W38" s="20">
        <v>0</v>
      </c>
      <c r="X38" s="21">
        <v>-4765</v>
      </c>
      <c r="Y38" s="26"/>
      <c r="Z38" s="14"/>
      <c r="AA38" s="14" t="s">
        <v>10</v>
      </c>
      <c r="AB38" s="15" t="str">
        <f t="shared" si="0"/>
        <v>Harrodsburg - 2187HC</v>
      </c>
    </row>
    <row r="39" spans="1:28" x14ac:dyDescent="0.25">
      <c r="A39" s="16" t="s">
        <v>130</v>
      </c>
      <c r="B39" s="16" t="s">
        <v>271</v>
      </c>
      <c r="C39" s="17" t="s">
        <v>312</v>
      </c>
      <c r="D39" s="16" t="s">
        <v>313</v>
      </c>
      <c r="E39" s="16" t="s">
        <v>314</v>
      </c>
      <c r="F39" s="18">
        <v>0.05</v>
      </c>
      <c r="G39" s="18">
        <v>0</v>
      </c>
      <c r="H39" s="18">
        <v>0</v>
      </c>
      <c r="I39" s="18">
        <v>0</v>
      </c>
      <c r="J39" s="19">
        <v>0</v>
      </c>
      <c r="K39" s="20">
        <v>0</v>
      </c>
      <c r="L39" s="18">
        <v>0</v>
      </c>
      <c r="M39" s="21">
        <v>0</v>
      </c>
      <c r="N39" s="22">
        <v>0</v>
      </c>
      <c r="O39" s="23">
        <v>0</v>
      </c>
      <c r="P39" s="24">
        <v>0</v>
      </c>
      <c r="Q39" s="20">
        <v>0</v>
      </c>
      <c r="R39" s="18">
        <v>0</v>
      </c>
      <c r="S39" s="21">
        <v>0</v>
      </c>
      <c r="T39" s="25">
        <v>0</v>
      </c>
      <c r="U39" s="23">
        <v>0</v>
      </c>
      <c r="V39" s="24">
        <v>0</v>
      </c>
      <c r="W39" s="20">
        <v>0</v>
      </c>
      <c r="X39" s="21">
        <v>0</v>
      </c>
      <c r="Y39" s="26"/>
      <c r="Z39" s="14"/>
      <c r="AA39" s="14" t="s">
        <v>10</v>
      </c>
      <c r="AB39" s="15" t="str">
        <f t="shared" si="0"/>
        <v>Hilliard - 437HC</v>
      </c>
    </row>
    <row r="40" spans="1:28" x14ac:dyDescent="0.25">
      <c r="A40" s="16" t="s">
        <v>131</v>
      </c>
      <c r="B40" s="16" t="s">
        <v>271</v>
      </c>
      <c r="C40" s="17" t="s">
        <v>312</v>
      </c>
      <c r="D40" s="16" t="s">
        <v>313</v>
      </c>
      <c r="E40" s="16" t="s">
        <v>314</v>
      </c>
      <c r="F40" s="18">
        <v>0</v>
      </c>
      <c r="G40" s="18">
        <v>0</v>
      </c>
      <c r="H40" s="18">
        <v>0</v>
      </c>
      <c r="I40" s="18">
        <v>519</v>
      </c>
      <c r="J40" s="19">
        <v>0</v>
      </c>
      <c r="K40" s="20">
        <v>0.05</v>
      </c>
      <c r="L40" s="18">
        <v>0</v>
      </c>
      <c r="M40" s="21">
        <v>0.05</v>
      </c>
      <c r="N40" s="22">
        <v>5.0000000000000001E-3</v>
      </c>
      <c r="O40" s="23">
        <v>0</v>
      </c>
      <c r="P40" s="24">
        <v>5.0000000000000001E-3</v>
      </c>
      <c r="Q40" s="20">
        <v>0.05</v>
      </c>
      <c r="R40" s="18">
        <v>0</v>
      </c>
      <c r="S40" s="21">
        <v>0.05</v>
      </c>
      <c r="T40" s="25">
        <v>8.1899999999999996E-4</v>
      </c>
      <c r="U40" s="23">
        <v>0</v>
      </c>
      <c r="V40" s="24">
        <v>8.1899999999999996E-4</v>
      </c>
      <c r="W40" s="20">
        <v>0</v>
      </c>
      <c r="X40" s="21">
        <v>0.05</v>
      </c>
      <c r="Y40" s="26"/>
      <c r="Z40" s="14"/>
      <c r="AA40" s="14" t="s">
        <v>10</v>
      </c>
      <c r="AB40" s="15" t="str">
        <f t="shared" si="0"/>
        <v>Howell - 2509HC</v>
      </c>
    </row>
    <row r="41" spans="1:28" x14ac:dyDescent="0.25">
      <c r="A41" s="16" t="s">
        <v>132</v>
      </c>
      <c r="B41" s="16" t="s">
        <v>271</v>
      </c>
      <c r="C41" s="17" t="s">
        <v>312</v>
      </c>
      <c r="D41" s="16" t="s">
        <v>313</v>
      </c>
      <c r="E41" s="16" t="s">
        <v>314</v>
      </c>
      <c r="F41" s="18">
        <v>-3600</v>
      </c>
      <c r="G41" s="18">
        <v>-4932</v>
      </c>
      <c r="H41" s="18">
        <v>-3600</v>
      </c>
      <c r="I41" s="18">
        <v>-3720</v>
      </c>
      <c r="J41" s="19">
        <v>0</v>
      </c>
      <c r="K41" s="20">
        <v>0</v>
      </c>
      <c r="L41" s="18">
        <v>-1611.7595444444</v>
      </c>
      <c r="M41" s="21">
        <v>1611.7595444444</v>
      </c>
      <c r="N41" s="22">
        <v>0</v>
      </c>
      <c r="O41" s="23">
        <v>-5.14873353068106</v>
      </c>
      <c r="P41" s="24">
        <v>5.14873353068106</v>
      </c>
      <c r="Q41" s="20">
        <v>0</v>
      </c>
      <c r="R41" s="18">
        <v>-3273.3673222222001</v>
      </c>
      <c r="S41" s="21">
        <v>3273.3673222222001</v>
      </c>
      <c r="T41" s="25">
        <v>0</v>
      </c>
      <c r="U41" s="23">
        <v>-5.0238923847722399</v>
      </c>
      <c r="V41" s="24">
        <v>5.0238923847722399</v>
      </c>
      <c r="W41" s="20">
        <v>-730.8</v>
      </c>
      <c r="X41" s="21">
        <v>730.8</v>
      </c>
      <c r="Y41" s="26"/>
      <c r="Z41" s="14"/>
      <c r="AA41" s="14" t="s">
        <v>10</v>
      </c>
      <c r="AB41" s="15" t="str">
        <f t="shared" si="0"/>
        <v>Hudsonville - 524HC</v>
      </c>
    </row>
    <row r="42" spans="1:28" ht="18" x14ac:dyDescent="0.25">
      <c r="A42" s="16" t="s">
        <v>133</v>
      </c>
      <c r="B42" s="16" t="s">
        <v>271</v>
      </c>
      <c r="C42" s="17" t="s">
        <v>312</v>
      </c>
      <c r="D42" s="16" t="s">
        <v>313</v>
      </c>
      <c r="E42" s="16" t="s">
        <v>314</v>
      </c>
      <c r="F42" s="18">
        <v>0</v>
      </c>
      <c r="G42" s="18">
        <v>0</v>
      </c>
      <c r="H42" s="18">
        <v>0</v>
      </c>
      <c r="I42" s="18">
        <v>0</v>
      </c>
      <c r="J42" s="19">
        <v>-1960</v>
      </c>
      <c r="K42" s="20">
        <v>-10178.68</v>
      </c>
      <c r="L42" s="18">
        <v>-5497.1721444444001</v>
      </c>
      <c r="M42" s="21">
        <v>-4681.5078555556001</v>
      </c>
      <c r="N42" s="22">
        <v>-58.836300000000001</v>
      </c>
      <c r="O42" s="23">
        <v>-20.855249291511701</v>
      </c>
      <c r="P42" s="24">
        <v>-37.981050708488297</v>
      </c>
      <c r="Q42" s="20">
        <v>-12138.68</v>
      </c>
      <c r="R42" s="18">
        <v>-11164.3599222222</v>
      </c>
      <c r="S42" s="21">
        <v>-974.32007777779995</v>
      </c>
      <c r="T42" s="25">
        <v>-31.860052</v>
      </c>
      <c r="U42" s="23">
        <v>-20.100918240779301</v>
      </c>
      <c r="V42" s="24">
        <v>-11.759133759220701</v>
      </c>
      <c r="W42" s="20">
        <v>-9680</v>
      </c>
      <c r="X42" s="21">
        <v>-2458.6799999999998</v>
      </c>
      <c r="Y42" s="26" t="s">
        <v>315</v>
      </c>
      <c r="Z42" s="14"/>
      <c r="AA42" s="14" t="s">
        <v>10</v>
      </c>
      <c r="AB42" s="15" t="str">
        <f t="shared" si="0"/>
        <v>Indianapolis AP - 5160HC</v>
      </c>
    </row>
    <row r="43" spans="1:28" x14ac:dyDescent="0.25">
      <c r="A43" s="16" t="s">
        <v>134</v>
      </c>
      <c r="B43" s="16" t="s">
        <v>271</v>
      </c>
      <c r="C43" s="17" t="s">
        <v>312</v>
      </c>
      <c r="D43" s="16" t="s">
        <v>313</v>
      </c>
      <c r="E43" s="16" t="s">
        <v>314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20">
        <v>0</v>
      </c>
      <c r="L43" s="18">
        <v>-444.04444444440003</v>
      </c>
      <c r="M43" s="21">
        <v>444.04444444440003</v>
      </c>
      <c r="N43" s="22">
        <v>0</v>
      </c>
      <c r="O43" s="23">
        <v>-1.5191037961815901</v>
      </c>
      <c r="P43" s="24">
        <v>1.5191037961815901</v>
      </c>
      <c r="Q43" s="20">
        <v>0</v>
      </c>
      <c r="R43" s="18">
        <v>-901.82222222220003</v>
      </c>
      <c r="S43" s="21">
        <v>901.82222222220003</v>
      </c>
      <c r="T43" s="25">
        <v>0</v>
      </c>
      <c r="U43" s="23">
        <v>-1.4641580534227301</v>
      </c>
      <c r="V43" s="24">
        <v>1.4641580534227301</v>
      </c>
      <c r="W43" s="20">
        <v>-1521.12</v>
      </c>
      <c r="X43" s="21">
        <v>1521.12</v>
      </c>
      <c r="Y43" s="26"/>
      <c r="Z43" s="14"/>
      <c r="AA43" s="14" t="s">
        <v>10</v>
      </c>
      <c r="AB43" s="15" t="str">
        <f t="shared" si="0"/>
        <v>Indianapolis CL - 5161HC</v>
      </c>
    </row>
    <row r="44" spans="1:28" x14ac:dyDescent="0.25">
      <c r="A44" s="16" t="s">
        <v>135</v>
      </c>
      <c r="B44" s="16" t="s">
        <v>271</v>
      </c>
      <c r="C44" s="17" t="s">
        <v>312</v>
      </c>
      <c r="D44" s="16" t="s">
        <v>313</v>
      </c>
      <c r="E44" s="16" t="s">
        <v>314</v>
      </c>
      <c r="F44" s="18">
        <v>0</v>
      </c>
      <c r="G44" s="18">
        <v>0</v>
      </c>
      <c r="H44" s="18">
        <v>0</v>
      </c>
      <c r="I44" s="18">
        <v>0</v>
      </c>
      <c r="J44" s="19">
        <v>0</v>
      </c>
      <c r="K44" s="20">
        <v>0</v>
      </c>
      <c r="L44" s="18">
        <v>0</v>
      </c>
      <c r="M44" s="21">
        <v>0</v>
      </c>
      <c r="N44" s="22">
        <v>0</v>
      </c>
      <c r="O44" s="23">
        <v>0</v>
      </c>
      <c r="P44" s="24">
        <v>0</v>
      </c>
      <c r="Q44" s="20">
        <v>0</v>
      </c>
      <c r="R44" s="18">
        <v>0</v>
      </c>
      <c r="S44" s="21">
        <v>0</v>
      </c>
      <c r="T44" s="25">
        <v>0</v>
      </c>
      <c r="U44" s="23">
        <v>0</v>
      </c>
      <c r="V44" s="24">
        <v>0</v>
      </c>
      <c r="W44" s="20">
        <v>0</v>
      </c>
      <c r="X44" s="21">
        <v>0</v>
      </c>
      <c r="Y44" s="26"/>
      <c r="Z44" s="14"/>
      <c r="AA44" s="14" t="s">
        <v>10</v>
      </c>
      <c r="AB44" s="15" t="str">
        <f t="shared" si="0"/>
        <v>Jasper - 108HC</v>
      </c>
    </row>
    <row r="45" spans="1:28" x14ac:dyDescent="0.25">
      <c r="A45" s="16" t="s">
        <v>136</v>
      </c>
      <c r="B45" s="16" t="s">
        <v>271</v>
      </c>
      <c r="C45" s="17" t="s">
        <v>312</v>
      </c>
      <c r="D45" s="16" t="s">
        <v>313</v>
      </c>
      <c r="E45" s="16" t="s">
        <v>314</v>
      </c>
      <c r="F45" s="18">
        <v>0</v>
      </c>
      <c r="G45" s="18">
        <v>0</v>
      </c>
      <c r="H45" s="18">
        <v>0</v>
      </c>
      <c r="I45" s="18">
        <v>0</v>
      </c>
      <c r="J45" s="19">
        <v>0</v>
      </c>
      <c r="K45" s="20">
        <v>0</v>
      </c>
      <c r="L45" s="18">
        <v>0</v>
      </c>
      <c r="M45" s="21">
        <v>0</v>
      </c>
      <c r="N45" s="22">
        <v>0</v>
      </c>
      <c r="O45" s="23">
        <v>0</v>
      </c>
      <c r="P45" s="24">
        <v>0</v>
      </c>
      <c r="Q45" s="20">
        <v>0</v>
      </c>
      <c r="R45" s="18">
        <v>0</v>
      </c>
      <c r="S45" s="21">
        <v>0</v>
      </c>
      <c r="T45" s="25">
        <v>0</v>
      </c>
      <c r="U45" s="23">
        <v>0</v>
      </c>
      <c r="V45" s="24">
        <v>0</v>
      </c>
      <c r="W45" s="20">
        <v>0</v>
      </c>
      <c r="X45" s="21">
        <v>0</v>
      </c>
      <c r="Y45" s="26"/>
      <c r="Z45" s="14"/>
      <c r="AA45" s="14" t="s">
        <v>10</v>
      </c>
      <c r="AB45" s="15" t="str">
        <f t="shared" si="0"/>
        <v>Kalida - 406HC</v>
      </c>
    </row>
    <row r="46" spans="1:28" x14ac:dyDescent="0.25">
      <c r="A46" s="16" t="s">
        <v>137</v>
      </c>
      <c r="B46" s="16" t="s">
        <v>271</v>
      </c>
      <c r="C46" s="17" t="s">
        <v>312</v>
      </c>
      <c r="D46" s="16" t="s">
        <v>313</v>
      </c>
      <c r="E46" s="16" t="s">
        <v>314</v>
      </c>
      <c r="F46" s="18">
        <v>0</v>
      </c>
      <c r="G46" s="18">
        <v>-160</v>
      </c>
      <c r="H46" s="18">
        <v>0</v>
      </c>
      <c r="I46" s="18">
        <v>0</v>
      </c>
      <c r="J46" s="19">
        <v>0</v>
      </c>
      <c r="K46" s="20">
        <v>-394.05</v>
      </c>
      <c r="L46" s="18">
        <v>-1345.0666666667</v>
      </c>
      <c r="M46" s="21">
        <v>951.01666666669996</v>
      </c>
      <c r="N46" s="22">
        <v>-1.3826309999999999</v>
      </c>
      <c r="O46" s="23">
        <v>-3.5027777777778599</v>
      </c>
      <c r="P46" s="24">
        <v>2.12014677777786</v>
      </c>
      <c r="Q46" s="20">
        <v>-394.05</v>
      </c>
      <c r="R46" s="18">
        <v>-2731.7333333332999</v>
      </c>
      <c r="S46" s="21">
        <v>2337.6833333333002</v>
      </c>
      <c r="T46" s="25">
        <v>-0.66901500000000003</v>
      </c>
      <c r="U46" s="23">
        <v>-3.3760828625235</v>
      </c>
      <c r="V46" s="24">
        <v>2.7070678625235001</v>
      </c>
      <c r="W46" s="20">
        <v>0</v>
      </c>
      <c r="X46" s="21">
        <v>-394.05</v>
      </c>
      <c r="Y46" s="26"/>
      <c r="Z46" s="14"/>
      <c r="AA46" s="14" t="s">
        <v>10</v>
      </c>
      <c r="AB46" s="15" t="str">
        <f t="shared" si="0"/>
        <v>Kendallville - 2185HC</v>
      </c>
    </row>
    <row r="47" spans="1:28" x14ac:dyDescent="0.25">
      <c r="A47" s="16" t="s">
        <v>138</v>
      </c>
      <c r="B47" s="16" t="s">
        <v>271</v>
      </c>
      <c r="C47" s="17" t="s">
        <v>312</v>
      </c>
      <c r="D47" s="16" t="s">
        <v>313</v>
      </c>
      <c r="E47" s="16" t="s">
        <v>314</v>
      </c>
      <c r="F47" s="18">
        <v>0</v>
      </c>
      <c r="G47" s="18">
        <v>0</v>
      </c>
      <c r="H47" s="18">
        <v>0</v>
      </c>
      <c r="I47" s="18">
        <v>0</v>
      </c>
      <c r="J47" s="19">
        <v>0</v>
      </c>
      <c r="K47" s="20">
        <v>-4320</v>
      </c>
      <c r="L47" s="18">
        <v>0</v>
      </c>
      <c r="M47" s="21">
        <v>-4320</v>
      </c>
      <c r="N47" s="22">
        <v>-27</v>
      </c>
      <c r="O47" s="23">
        <v>0</v>
      </c>
      <c r="P47" s="24">
        <v>-27</v>
      </c>
      <c r="Q47" s="20">
        <v>-4320</v>
      </c>
      <c r="R47" s="18">
        <v>0</v>
      </c>
      <c r="S47" s="21">
        <v>-4320</v>
      </c>
      <c r="T47" s="25">
        <v>-12.934131000000001</v>
      </c>
      <c r="U47" s="23">
        <v>0</v>
      </c>
      <c r="V47" s="24">
        <v>-12.934131000000001</v>
      </c>
      <c r="W47" s="20">
        <v>-100</v>
      </c>
      <c r="X47" s="21">
        <v>-4220</v>
      </c>
      <c r="Y47" s="26"/>
      <c r="Z47" s="14"/>
      <c r="AA47" s="14" t="s">
        <v>10</v>
      </c>
      <c r="AB47" s="15" t="str">
        <f t="shared" si="0"/>
        <v>Kokomo WK - 5168HC</v>
      </c>
    </row>
    <row r="48" spans="1:28" x14ac:dyDescent="0.25">
      <c r="A48" s="16" t="s">
        <v>139</v>
      </c>
      <c r="B48" s="16" t="s">
        <v>271</v>
      </c>
      <c r="C48" s="17" t="s">
        <v>312</v>
      </c>
      <c r="D48" s="16" t="s">
        <v>313</v>
      </c>
      <c r="E48" s="16" t="s">
        <v>314</v>
      </c>
      <c r="F48" s="18">
        <v>-300</v>
      </c>
      <c r="G48" s="18">
        <v>-600</v>
      </c>
      <c r="H48" s="18">
        <v>0</v>
      </c>
      <c r="I48" s="18">
        <v>0</v>
      </c>
      <c r="J48" s="19">
        <v>-4922</v>
      </c>
      <c r="K48" s="20">
        <v>-16692</v>
      </c>
      <c r="L48" s="18">
        <v>-637.78577777780004</v>
      </c>
      <c r="M48" s="21">
        <v>-16054.214222222199</v>
      </c>
      <c r="N48" s="22">
        <v>-31.317073000000001</v>
      </c>
      <c r="O48" s="23">
        <v>-1.3958542696437</v>
      </c>
      <c r="P48" s="24">
        <v>-29.921218730356301</v>
      </c>
      <c r="Q48" s="20">
        <v>-21614</v>
      </c>
      <c r="R48" s="18">
        <v>-1295.2968888889</v>
      </c>
      <c r="S48" s="21">
        <v>-20318.703111111099</v>
      </c>
      <c r="T48" s="25">
        <v>-24.900921</v>
      </c>
      <c r="U48" s="23">
        <v>-1.35054607004927</v>
      </c>
      <c r="V48" s="24">
        <v>-23.550374929950699</v>
      </c>
      <c r="W48" s="20">
        <v>0</v>
      </c>
      <c r="X48" s="21">
        <v>-21614</v>
      </c>
      <c r="Y48" s="26"/>
      <c r="Z48" s="14"/>
      <c r="AA48" s="14" t="s">
        <v>10</v>
      </c>
      <c r="AB48" s="15" t="str">
        <f t="shared" si="0"/>
        <v>Kokomo WP - 106HC</v>
      </c>
    </row>
    <row r="49" spans="1:28" x14ac:dyDescent="0.25">
      <c r="A49" s="16" t="s">
        <v>142</v>
      </c>
      <c r="B49" s="16" t="s">
        <v>271</v>
      </c>
      <c r="C49" s="17" t="s">
        <v>312</v>
      </c>
      <c r="D49" s="16" t="s">
        <v>313</v>
      </c>
      <c r="E49" s="16" t="s">
        <v>314</v>
      </c>
      <c r="F49" s="18">
        <v>0</v>
      </c>
      <c r="G49" s="18">
        <v>0</v>
      </c>
      <c r="H49" s="18">
        <v>0</v>
      </c>
      <c r="I49" s="18">
        <v>0</v>
      </c>
      <c r="J49" s="19">
        <v>0</v>
      </c>
      <c r="K49" s="20">
        <v>0</v>
      </c>
      <c r="L49" s="18">
        <v>0</v>
      </c>
      <c r="M49" s="21">
        <v>0</v>
      </c>
      <c r="N49" s="22">
        <v>0</v>
      </c>
      <c r="O49" s="23">
        <v>0</v>
      </c>
      <c r="P49" s="24">
        <v>0</v>
      </c>
      <c r="Q49" s="20">
        <v>0</v>
      </c>
      <c r="R49" s="18">
        <v>0</v>
      </c>
      <c r="S49" s="21">
        <v>0</v>
      </c>
      <c r="T49" s="25">
        <v>0</v>
      </c>
      <c r="U49" s="23">
        <v>0</v>
      </c>
      <c r="V49" s="24">
        <v>0</v>
      </c>
      <c r="W49" s="20">
        <v>0</v>
      </c>
      <c r="X49" s="21">
        <v>0</v>
      </c>
      <c r="Y49" s="26"/>
      <c r="Z49" s="14"/>
      <c r="AA49" s="14" t="s">
        <v>10</v>
      </c>
      <c r="AB49" s="15" t="str">
        <f t="shared" si="0"/>
        <v>La Grange - 177HC</v>
      </c>
    </row>
    <row r="50" spans="1:28" x14ac:dyDescent="0.25">
      <c r="A50" s="16" t="s">
        <v>143</v>
      </c>
      <c r="B50" s="16" t="s">
        <v>271</v>
      </c>
      <c r="C50" s="17" t="s">
        <v>312</v>
      </c>
      <c r="D50" s="16" t="s">
        <v>313</v>
      </c>
      <c r="E50" s="16" t="s">
        <v>314</v>
      </c>
      <c r="F50" s="18">
        <v>-3060</v>
      </c>
      <c r="G50" s="18">
        <v>-1240</v>
      </c>
      <c r="H50" s="18">
        <v>-1200</v>
      </c>
      <c r="I50" s="18">
        <v>-8128</v>
      </c>
      <c r="J50" s="19">
        <v>-1983.52</v>
      </c>
      <c r="K50" s="20">
        <v>-2212</v>
      </c>
      <c r="L50" s="18">
        <v>-1180.1666666666999</v>
      </c>
      <c r="M50" s="21">
        <v>-1031.8333333333001</v>
      </c>
      <c r="N50" s="22">
        <v>-8.2537310000000002</v>
      </c>
      <c r="O50" s="23">
        <v>-6.0356232548009698</v>
      </c>
      <c r="P50" s="24">
        <v>-2.2181077451990299</v>
      </c>
      <c r="Q50" s="20">
        <v>-4195.5200000000004</v>
      </c>
      <c r="R50" s="18">
        <v>-2396.8333333332998</v>
      </c>
      <c r="S50" s="21">
        <v>-1798.6866666666999</v>
      </c>
      <c r="T50" s="25">
        <v>-8.6150300000000009</v>
      </c>
      <c r="U50" s="23">
        <v>-5.8173157213840296</v>
      </c>
      <c r="V50" s="24">
        <v>-2.7977142786159699</v>
      </c>
      <c r="W50" s="20">
        <v>0.05</v>
      </c>
      <c r="X50" s="21">
        <v>-4195.57</v>
      </c>
      <c r="Y50" s="26"/>
      <c r="Z50" s="14"/>
      <c r="AA50" s="14" t="s">
        <v>10</v>
      </c>
      <c r="AB50" s="15" t="str">
        <f t="shared" si="0"/>
        <v>Lafayette CS - 133HC</v>
      </c>
    </row>
    <row r="51" spans="1:28" x14ac:dyDescent="0.25">
      <c r="A51" s="16" t="s">
        <v>144</v>
      </c>
      <c r="B51" s="16" t="s">
        <v>271</v>
      </c>
      <c r="C51" s="17" t="s">
        <v>312</v>
      </c>
      <c r="D51" s="16" t="s">
        <v>313</v>
      </c>
      <c r="E51" s="16" t="s">
        <v>314</v>
      </c>
      <c r="F51" s="18">
        <v>-1040</v>
      </c>
      <c r="G51" s="18">
        <v>-4650</v>
      </c>
      <c r="H51" s="18">
        <v>-4500</v>
      </c>
      <c r="I51" s="18">
        <v>960</v>
      </c>
      <c r="J51" s="19">
        <v>-4920</v>
      </c>
      <c r="K51" s="20">
        <v>-1840</v>
      </c>
      <c r="L51" s="18">
        <v>-762.95888888889999</v>
      </c>
      <c r="M51" s="21">
        <v>-1077.0411111111</v>
      </c>
      <c r="N51" s="22">
        <v>-8.5185180000000003</v>
      </c>
      <c r="O51" s="23">
        <v>-5.2346688342328997</v>
      </c>
      <c r="P51" s="24">
        <v>-3.2838491657671001</v>
      </c>
      <c r="Q51" s="20">
        <v>-6760</v>
      </c>
      <c r="R51" s="18">
        <v>-1549.5144444443999</v>
      </c>
      <c r="S51" s="21">
        <v>-5210.4855555555996</v>
      </c>
      <c r="T51" s="25">
        <v>-14.054054000000001</v>
      </c>
      <c r="U51" s="23">
        <v>-5.0752943926547998</v>
      </c>
      <c r="V51" s="24">
        <v>-8.9787596073452001</v>
      </c>
      <c r="W51" s="20">
        <v>0</v>
      </c>
      <c r="X51" s="21">
        <v>-6760</v>
      </c>
      <c r="Y51" s="26"/>
      <c r="Z51" s="14"/>
      <c r="AA51" s="14" t="s">
        <v>10</v>
      </c>
      <c r="AB51" s="15" t="str">
        <f t="shared" si="0"/>
        <v>Lafayette SL - 5162HC</v>
      </c>
    </row>
    <row r="52" spans="1:28" x14ac:dyDescent="0.25">
      <c r="A52" s="16" t="s">
        <v>146</v>
      </c>
      <c r="B52" s="16" t="s">
        <v>271</v>
      </c>
      <c r="C52" s="17" t="s">
        <v>312</v>
      </c>
      <c r="D52" s="16" t="s">
        <v>313</v>
      </c>
      <c r="E52" s="16" t="s">
        <v>314</v>
      </c>
      <c r="F52" s="18">
        <v>-1440</v>
      </c>
      <c r="G52" s="18">
        <v>-1488</v>
      </c>
      <c r="H52" s="18">
        <v>210</v>
      </c>
      <c r="I52" s="18">
        <v>4402</v>
      </c>
      <c r="J52" s="19">
        <v>-2608</v>
      </c>
      <c r="K52" s="20">
        <v>-1904</v>
      </c>
      <c r="L52" s="18">
        <v>-1416.2</v>
      </c>
      <c r="M52" s="21">
        <v>-487.8</v>
      </c>
      <c r="N52" s="22">
        <v>-5.9314640000000001</v>
      </c>
      <c r="O52" s="23">
        <v>-14.493919959841399</v>
      </c>
      <c r="P52" s="24">
        <v>8.5624559598414205</v>
      </c>
      <c r="Q52" s="20">
        <v>-4512</v>
      </c>
      <c r="R52" s="18">
        <v>-2876.2</v>
      </c>
      <c r="S52" s="21">
        <v>-1635.8</v>
      </c>
      <c r="T52" s="25">
        <v>-7.6996580000000003</v>
      </c>
      <c r="U52" s="23">
        <v>-13.9696771795362</v>
      </c>
      <c r="V52" s="24">
        <v>6.2700191795361704</v>
      </c>
      <c r="W52" s="20">
        <v>-3894</v>
      </c>
      <c r="X52" s="21">
        <v>-618</v>
      </c>
      <c r="Y52" s="26"/>
      <c r="Z52" s="14"/>
      <c r="AA52" s="14" t="s">
        <v>10</v>
      </c>
      <c r="AB52" s="15" t="str">
        <f t="shared" si="0"/>
        <v>Lafayette SM - 2136HC</v>
      </c>
    </row>
    <row r="53" spans="1:28" x14ac:dyDescent="0.25">
      <c r="A53" s="16" t="s">
        <v>147</v>
      </c>
      <c r="B53" s="16" t="s">
        <v>271</v>
      </c>
      <c r="C53" s="17" t="s">
        <v>312</v>
      </c>
      <c r="D53" s="16" t="s">
        <v>313</v>
      </c>
      <c r="E53" s="16" t="s">
        <v>314</v>
      </c>
      <c r="F53" s="18">
        <v>0</v>
      </c>
      <c r="G53" s="18">
        <v>-3000</v>
      </c>
      <c r="H53" s="18">
        <v>0</v>
      </c>
      <c r="I53" s="18">
        <v>0</v>
      </c>
      <c r="J53" s="19">
        <v>0</v>
      </c>
      <c r="K53" s="20">
        <v>0</v>
      </c>
      <c r="L53" s="18">
        <v>-1552.8794666667</v>
      </c>
      <c r="M53" s="21">
        <v>1552.8794666667</v>
      </c>
      <c r="N53" s="22">
        <v>0</v>
      </c>
      <c r="O53" s="23">
        <v>-5.5718037600632098</v>
      </c>
      <c r="P53" s="24">
        <v>5.5718037600632098</v>
      </c>
      <c r="Q53" s="20">
        <v>0</v>
      </c>
      <c r="R53" s="18">
        <v>-3153.7861333332999</v>
      </c>
      <c r="S53" s="21">
        <v>3153.7861333332999</v>
      </c>
      <c r="T53" s="25">
        <v>0</v>
      </c>
      <c r="U53" s="23">
        <v>-5.3878557790122503</v>
      </c>
      <c r="V53" s="24">
        <v>5.3878557790122503</v>
      </c>
      <c r="W53" s="20">
        <v>-10191.719999999999</v>
      </c>
      <c r="X53" s="21">
        <v>10191.719999999999</v>
      </c>
      <c r="Y53" s="26"/>
      <c r="Z53" s="14"/>
      <c r="AA53" s="14" t="s">
        <v>10</v>
      </c>
      <c r="AB53" s="15" t="str">
        <f t="shared" si="0"/>
        <v>Lancaster - 445HC</v>
      </c>
    </row>
    <row r="54" spans="1:28" x14ac:dyDescent="0.25">
      <c r="A54" s="16" t="s">
        <v>149</v>
      </c>
      <c r="B54" s="16" t="s">
        <v>271</v>
      </c>
      <c r="C54" s="17" t="s">
        <v>312</v>
      </c>
      <c r="D54" s="16" t="s">
        <v>313</v>
      </c>
      <c r="E54" s="16" t="s">
        <v>314</v>
      </c>
      <c r="F54" s="18">
        <v>600</v>
      </c>
      <c r="G54" s="18">
        <v>2480</v>
      </c>
      <c r="H54" s="18">
        <v>2400</v>
      </c>
      <c r="I54" s="18">
        <v>2480</v>
      </c>
      <c r="J54" s="19">
        <v>2480</v>
      </c>
      <c r="K54" s="20">
        <v>-760</v>
      </c>
      <c r="L54" s="18">
        <v>0</v>
      </c>
      <c r="M54" s="21">
        <v>-760</v>
      </c>
      <c r="N54" s="22">
        <v>-4.6913580000000001</v>
      </c>
      <c r="O54" s="23">
        <v>0</v>
      </c>
      <c r="P54" s="24">
        <v>-4.6913580000000001</v>
      </c>
      <c r="Q54" s="20">
        <v>1720</v>
      </c>
      <c r="R54" s="18">
        <v>0</v>
      </c>
      <c r="S54" s="21">
        <v>1720</v>
      </c>
      <c r="T54" s="25">
        <v>6.852589</v>
      </c>
      <c r="U54" s="23">
        <v>0</v>
      </c>
      <c r="V54" s="24">
        <v>6.852589</v>
      </c>
      <c r="W54" s="20">
        <v>-5210.3599999999997</v>
      </c>
      <c r="X54" s="21">
        <v>6930.36</v>
      </c>
      <c r="Y54" s="26"/>
      <c r="Z54" s="14"/>
      <c r="AA54" s="14" t="s">
        <v>10</v>
      </c>
      <c r="AB54" s="15" t="str">
        <f t="shared" si="0"/>
        <v>Lapeer - 2506HC</v>
      </c>
    </row>
    <row r="55" spans="1:28" x14ac:dyDescent="0.25">
      <c r="A55" s="16" t="s">
        <v>151</v>
      </c>
      <c r="B55" s="16" t="s">
        <v>271</v>
      </c>
      <c r="C55" s="17" t="s">
        <v>312</v>
      </c>
      <c r="D55" s="16" t="s">
        <v>313</v>
      </c>
      <c r="E55" s="16" t="s">
        <v>314</v>
      </c>
      <c r="F55" s="18">
        <v>-900</v>
      </c>
      <c r="G55" s="18">
        <v>-2960</v>
      </c>
      <c r="H55" s="18">
        <v>-2710</v>
      </c>
      <c r="I55" s="18">
        <v>-260</v>
      </c>
      <c r="J55" s="19">
        <v>0</v>
      </c>
      <c r="K55" s="20">
        <v>0</v>
      </c>
      <c r="L55" s="18">
        <v>-517.98323333329995</v>
      </c>
      <c r="M55" s="21">
        <v>517.98323333329995</v>
      </c>
      <c r="N55" s="22">
        <v>0</v>
      </c>
      <c r="O55" s="23">
        <v>-2.06285269034001</v>
      </c>
      <c r="P55" s="24">
        <v>2.06285269034001</v>
      </c>
      <c r="Q55" s="20">
        <v>0</v>
      </c>
      <c r="R55" s="18">
        <v>-1051.9865666666999</v>
      </c>
      <c r="S55" s="21">
        <v>1051.9865666666999</v>
      </c>
      <c r="T55" s="25">
        <v>0</v>
      </c>
      <c r="U55" s="23">
        <v>-1.99769582382608</v>
      </c>
      <c r="V55" s="24">
        <v>1.99769582382608</v>
      </c>
      <c r="W55" s="20">
        <v>-101.03</v>
      </c>
      <c r="X55" s="21">
        <v>101.03</v>
      </c>
      <c r="Y55" s="26"/>
      <c r="Z55" s="14"/>
      <c r="AA55" s="14" t="s">
        <v>10</v>
      </c>
      <c r="AB55" s="15" t="str">
        <f t="shared" si="0"/>
        <v>Lebanon - 104HC</v>
      </c>
    </row>
    <row r="56" spans="1:28" x14ac:dyDescent="0.25">
      <c r="A56" s="16" t="s">
        <v>152</v>
      </c>
      <c r="B56" s="16" t="s">
        <v>271</v>
      </c>
      <c r="C56" s="17" t="s">
        <v>312</v>
      </c>
      <c r="D56" s="16" t="s">
        <v>313</v>
      </c>
      <c r="E56" s="16" t="s">
        <v>314</v>
      </c>
      <c r="F56" s="18">
        <v>0</v>
      </c>
      <c r="G56" s="18">
        <v>0</v>
      </c>
      <c r="H56" s="18">
        <v>-724</v>
      </c>
      <c r="I56" s="18">
        <v>-3620</v>
      </c>
      <c r="J56" s="19">
        <v>-233.55</v>
      </c>
      <c r="K56" s="20">
        <v>0</v>
      </c>
      <c r="L56" s="18">
        <v>-249.18222222220001</v>
      </c>
      <c r="M56" s="21">
        <v>249.18222222220001</v>
      </c>
      <c r="N56" s="22">
        <v>0</v>
      </c>
      <c r="O56" s="23">
        <v>-0.92317065138633703</v>
      </c>
      <c r="P56" s="24">
        <v>0.92317065138633703</v>
      </c>
      <c r="Q56" s="20">
        <v>-233.55</v>
      </c>
      <c r="R56" s="18">
        <v>-506.07111111109998</v>
      </c>
      <c r="S56" s="21">
        <v>272.52111111110003</v>
      </c>
      <c r="T56" s="25">
        <v>-0.56007099999999999</v>
      </c>
      <c r="U56" s="23">
        <v>-0.90008201175829206</v>
      </c>
      <c r="V56" s="24">
        <v>0.34001101175829301</v>
      </c>
      <c r="W56" s="20">
        <v>0</v>
      </c>
      <c r="X56" s="21">
        <v>-233.55</v>
      </c>
      <c r="Y56" s="26"/>
      <c r="Z56" s="14"/>
      <c r="AA56" s="14" t="s">
        <v>10</v>
      </c>
      <c r="AB56" s="15" t="str">
        <f t="shared" si="0"/>
        <v>Leipsic - 409HC</v>
      </c>
    </row>
    <row r="57" spans="1:28" x14ac:dyDescent="0.25">
      <c r="A57" s="16" t="s">
        <v>161</v>
      </c>
      <c r="B57" s="16" t="s">
        <v>271</v>
      </c>
      <c r="C57" s="17" t="s">
        <v>312</v>
      </c>
      <c r="D57" s="16" t="s">
        <v>313</v>
      </c>
      <c r="E57" s="16" t="s">
        <v>314</v>
      </c>
      <c r="F57" s="18">
        <v>0</v>
      </c>
      <c r="G57" s="18">
        <v>0</v>
      </c>
      <c r="H57" s="18">
        <v>0</v>
      </c>
      <c r="I57" s="18">
        <v>0</v>
      </c>
      <c r="J57" s="19">
        <v>-120</v>
      </c>
      <c r="K57" s="20">
        <v>0</v>
      </c>
      <c r="L57" s="18">
        <v>0</v>
      </c>
      <c r="M57" s="21">
        <v>0</v>
      </c>
      <c r="N57" s="22">
        <v>0</v>
      </c>
      <c r="O57" s="23">
        <v>0</v>
      </c>
      <c r="P57" s="24">
        <v>0</v>
      </c>
      <c r="Q57" s="20">
        <v>-120</v>
      </c>
      <c r="R57" s="18">
        <v>0</v>
      </c>
      <c r="S57" s="21">
        <v>-120</v>
      </c>
      <c r="T57" s="25">
        <v>-0.56603700000000001</v>
      </c>
      <c r="U57" s="23">
        <v>0</v>
      </c>
      <c r="V57" s="24">
        <v>-0.56603700000000001</v>
      </c>
      <c r="W57" s="20">
        <v>-1550</v>
      </c>
      <c r="X57" s="21">
        <v>1430</v>
      </c>
      <c r="Y57" s="26"/>
      <c r="Z57" s="14"/>
      <c r="AA57" s="14" t="s">
        <v>10</v>
      </c>
      <c r="AB57" s="15" t="str">
        <f t="shared" si="0"/>
        <v>Liberty Township - 441HC</v>
      </c>
    </row>
    <row r="58" spans="1:28" x14ac:dyDescent="0.25">
      <c r="A58" s="16" t="s">
        <v>162</v>
      </c>
      <c r="B58" s="16" t="s">
        <v>271</v>
      </c>
      <c r="C58" s="17" t="s">
        <v>312</v>
      </c>
      <c r="D58" s="16" t="s">
        <v>313</v>
      </c>
      <c r="E58" s="16" t="s">
        <v>314</v>
      </c>
      <c r="F58" s="18">
        <v>-3230</v>
      </c>
      <c r="G58" s="18">
        <v>0</v>
      </c>
      <c r="H58" s="18">
        <v>-1000</v>
      </c>
      <c r="I58" s="18">
        <v>-600</v>
      </c>
      <c r="J58" s="19">
        <v>0</v>
      </c>
      <c r="K58" s="20">
        <v>-600</v>
      </c>
      <c r="L58" s="18">
        <v>0</v>
      </c>
      <c r="M58" s="21">
        <v>-600</v>
      </c>
      <c r="N58" s="22">
        <v>-5.6603770000000004</v>
      </c>
      <c r="O58" s="23">
        <v>0</v>
      </c>
      <c r="P58" s="24">
        <v>-5.6603770000000004</v>
      </c>
      <c r="Q58" s="20">
        <v>-600</v>
      </c>
      <c r="R58" s="18">
        <v>0</v>
      </c>
      <c r="S58" s="21">
        <v>-600</v>
      </c>
      <c r="T58" s="25">
        <v>-2.3166020000000001</v>
      </c>
      <c r="U58" s="23">
        <v>0</v>
      </c>
      <c r="V58" s="24">
        <v>-2.3166020000000001</v>
      </c>
      <c r="W58" s="20">
        <v>0</v>
      </c>
      <c r="X58" s="21">
        <v>-600</v>
      </c>
      <c r="Y58" s="26"/>
      <c r="Z58" s="14"/>
      <c r="AA58" s="14" t="s">
        <v>10</v>
      </c>
      <c r="AB58" s="15" t="str">
        <f t="shared" si="0"/>
        <v>Lima - 410HC</v>
      </c>
    </row>
    <row r="59" spans="1:28" x14ac:dyDescent="0.25">
      <c r="A59" s="16" t="s">
        <v>163</v>
      </c>
      <c r="B59" s="16" t="s">
        <v>271</v>
      </c>
      <c r="C59" s="17" t="s">
        <v>312</v>
      </c>
      <c r="D59" s="16" t="s">
        <v>313</v>
      </c>
      <c r="E59" s="16" t="s">
        <v>314</v>
      </c>
      <c r="F59" s="18">
        <v>0</v>
      </c>
      <c r="G59" s="18">
        <v>0</v>
      </c>
      <c r="H59" s="18">
        <v>0</v>
      </c>
      <c r="I59" s="18">
        <v>-6100</v>
      </c>
      <c r="J59" s="19">
        <v>0</v>
      </c>
      <c r="K59" s="20">
        <v>0</v>
      </c>
      <c r="L59" s="18">
        <v>0</v>
      </c>
      <c r="M59" s="21">
        <v>0</v>
      </c>
      <c r="N59" s="22">
        <v>0</v>
      </c>
      <c r="O59" s="23">
        <v>0</v>
      </c>
      <c r="P59" s="24">
        <v>0</v>
      </c>
      <c r="Q59" s="20">
        <v>0</v>
      </c>
      <c r="R59" s="18">
        <v>0</v>
      </c>
      <c r="S59" s="21">
        <v>0</v>
      </c>
      <c r="T59" s="25">
        <v>0</v>
      </c>
      <c r="U59" s="23">
        <v>0</v>
      </c>
      <c r="V59" s="24">
        <v>0</v>
      </c>
      <c r="W59" s="20">
        <v>0</v>
      </c>
      <c r="X59" s="21">
        <v>0</v>
      </c>
      <c r="Y59" s="26"/>
      <c r="Z59" s="14"/>
      <c r="AA59" s="14" t="s">
        <v>10</v>
      </c>
      <c r="AB59" s="15" t="str">
        <f t="shared" si="0"/>
        <v>Lima SL - 433HC</v>
      </c>
    </row>
    <row r="60" spans="1:28" x14ac:dyDescent="0.25">
      <c r="A60" s="16" t="s">
        <v>165</v>
      </c>
      <c r="B60" s="16" t="s">
        <v>271</v>
      </c>
      <c r="C60" s="17" t="s">
        <v>312</v>
      </c>
      <c r="D60" s="16" t="s">
        <v>313</v>
      </c>
      <c r="E60" s="16" t="s">
        <v>314</v>
      </c>
      <c r="F60" s="18">
        <v>0</v>
      </c>
      <c r="G60" s="18">
        <v>0</v>
      </c>
      <c r="H60" s="18">
        <v>0</v>
      </c>
      <c r="I60" s="18">
        <v>0</v>
      </c>
      <c r="J60" s="19">
        <v>0</v>
      </c>
      <c r="K60" s="20">
        <v>-540</v>
      </c>
      <c r="L60" s="18">
        <v>-1211.2066666666999</v>
      </c>
      <c r="M60" s="21">
        <v>671.20666666670002</v>
      </c>
      <c r="N60" s="22">
        <v>-2.6865670000000001</v>
      </c>
      <c r="O60" s="23">
        <v>-6.3887824175825996</v>
      </c>
      <c r="P60" s="24">
        <v>3.7022154175825999</v>
      </c>
      <c r="Q60" s="20">
        <v>-540</v>
      </c>
      <c r="R60" s="18">
        <v>-2459.8733333332998</v>
      </c>
      <c r="S60" s="21">
        <v>1919.8733333333</v>
      </c>
      <c r="T60" s="25">
        <v>-1.398963</v>
      </c>
      <c r="U60" s="23">
        <v>-6.1577011734027902</v>
      </c>
      <c r="V60" s="24">
        <v>4.75873817340279</v>
      </c>
      <c r="W60" s="20">
        <v>0</v>
      </c>
      <c r="X60" s="21">
        <v>-540</v>
      </c>
      <c r="Y60" s="26"/>
      <c r="Z60" s="14"/>
      <c r="AA60" s="14" t="s">
        <v>10</v>
      </c>
      <c r="AB60" s="15" t="str">
        <f t="shared" si="0"/>
        <v>Logansport - 130HC</v>
      </c>
    </row>
    <row r="61" spans="1:28" x14ac:dyDescent="0.25">
      <c r="A61" s="16" t="s">
        <v>168</v>
      </c>
      <c r="B61" s="16" t="s">
        <v>271</v>
      </c>
      <c r="C61" s="17" t="s">
        <v>312</v>
      </c>
      <c r="D61" s="16" t="s">
        <v>313</v>
      </c>
      <c r="E61" s="16" t="s">
        <v>314</v>
      </c>
      <c r="F61" s="18">
        <v>-2100</v>
      </c>
      <c r="G61" s="18">
        <v>-2169.9899999999998</v>
      </c>
      <c r="H61" s="18">
        <v>-1620</v>
      </c>
      <c r="I61" s="18">
        <v>-1050</v>
      </c>
      <c r="J61" s="19">
        <v>-2689.98</v>
      </c>
      <c r="K61" s="20">
        <v>-1960.02</v>
      </c>
      <c r="L61" s="18">
        <v>-1269.6135999999999</v>
      </c>
      <c r="M61" s="21">
        <v>-690.40639999999996</v>
      </c>
      <c r="N61" s="22">
        <v>-4.4244240000000001</v>
      </c>
      <c r="O61" s="23">
        <v>-2.4799391729818798</v>
      </c>
      <c r="P61" s="24">
        <v>-1.9444848270181201</v>
      </c>
      <c r="Q61" s="20">
        <v>-4650</v>
      </c>
      <c r="R61" s="18">
        <v>-2578.4935999999998</v>
      </c>
      <c r="S61" s="21">
        <v>-2071.5064000000002</v>
      </c>
      <c r="T61" s="25">
        <v>-4.5994060000000001</v>
      </c>
      <c r="U61" s="23">
        <v>-2.3902401674240799</v>
      </c>
      <c r="V61" s="24">
        <v>-2.2091658325759198</v>
      </c>
      <c r="W61" s="20">
        <v>0</v>
      </c>
      <c r="X61" s="21">
        <v>-4650</v>
      </c>
      <c r="Y61" s="26"/>
      <c r="Z61" s="14"/>
      <c r="AA61" s="14" t="s">
        <v>10</v>
      </c>
      <c r="AB61" s="15" t="str">
        <f t="shared" si="0"/>
        <v>Louisville FS - 2154HC</v>
      </c>
    </row>
    <row r="62" spans="1:28" x14ac:dyDescent="0.25">
      <c r="A62" s="16" t="s">
        <v>169</v>
      </c>
      <c r="B62" s="16" t="s">
        <v>271</v>
      </c>
      <c r="C62" s="17" t="s">
        <v>312</v>
      </c>
      <c r="D62" s="16" t="s">
        <v>313</v>
      </c>
      <c r="E62" s="16" t="s">
        <v>314</v>
      </c>
      <c r="F62" s="18">
        <v>-420</v>
      </c>
      <c r="G62" s="18">
        <v>-2366</v>
      </c>
      <c r="H62" s="18">
        <v>0</v>
      </c>
      <c r="I62" s="18">
        <v>0</v>
      </c>
      <c r="J62" s="19">
        <v>0.01</v>
      </c>
      <c r="K62" s="20">
        <v>0.04</v>
      </c>
      <c r="L62" s="18">
        <v>0</v>
      </c>
      <c r="M62" s="21">
        <v>0.04</v>
      </c>
      <c r="N62" s="22">
        <v>1.4799999999999999E-4</v>
      </c>
      <c r="O62" s="23">
        <v>0</v>
      </c>
      <c r="P62" s="24">
        <v>1.4799999999999999E-4</v>
      </c>
      <c r="Q62" s="20">
        <v>0.05</v>
      </c>
      <c r="R62" s="18">
        <v>0</v>
      </c>
      <c r="S62" s="21">
        <v>0.05</v>
      </c>
      <c r="T62" s="25">
        <v>9.0000000000000006E-5</v>
      </c>
      <c r="U62" s="23">
        <v>0</v>
      </c>
      <c r="V62" s="24">
        <v>9.0000000000000006E-5</v>
      </c>
      <c r="W62" s="20">
        <v>0</v>
      </c>
      <c r="X62" s="21">
        <v>0.05</v>
      </c>
      <c r="Y62" s="26"/>
      <c r="Z62" s="14"/>
      <c r="AA62" s="14" t="s">
        <v>10</v>
      </c>
      <c r="AB62" s="15" t="str">
        <f t="shared" si="0"/>
        <v>Louisville GR - 126HC</v>
      </c>
    </row>
    <row r="63" spans="1:28" x14ac:dyDescent="0.25">
      <c r="A63" s="16" t="s">
        <v>172</v>
      </c>
      <c r="B63" s="16" t="s">
        <v>271</v>
      </c>
      <c r="C63" s="17" t="s">
        <v>312</v>
      </c>
      <c r="D63" s="16" t="s">
        <v>313</v>
      </c>
      <c r="E63" s="16" t="s">
        <v>314</v>
      </c>
      <c r="F63" s="18">
        <v>0</v>
      </c>
      <c r="G63" s="18">
        <v>-1240</v>
      </c>
      <c r="H63" s="18">
        <v>-1200</v>
      </c>
      <c r="I63" s="18">
        <v>-1240</v>
      </c>
      <c r="J63" s="19">
        <v>0</v>
      </c>
      <c r="K63" s="20">
        <v>0</v>
      </c>
      <c r="L63" s="18">
        <v>-500.08888888889999</v>
      </c>
      <c r="M63" s="21">
        <v>500.08888888889999</v>
      </c>
      <c r="N63" s="22">
        <v>0</v>
      </c>
      <c r="O63" s="23">
        <v>-1.4670101485992</v>
      </c>
      <c r="P63" s="24">
        <v>1.4670101485992</v>
      </c>
      <c r="Q63" s="20">
        <v>0</v>
      </c>
      <c r="R63" s="18">
        <v>-1015.6444444444001</v>
      </c>
      <c r="S63" s="21">
        <v>1015.6444444444001</v>
      </c>
      <c r="T63" s="25">
        <v>0</v>
      </c>
      <c r="U63" s="23">
        <v>-1.41394862478991</v>
      </c>
      <c r="V63" s="24">
        <v>1.41394862478991</v>
      </c>
      <c r="W63" s="20">
        <v>-2360</v>
      </c>
      <c r="X63" s="21">
        <v>2360</v>
      </c>
      <c r="Y63" s="26"/>
      <c r="Z63" s="14"/>
      <c r="AA63" s="14" t="s">
        <v>10</v>
      </c>
      <c r="AB63" s="15" t="str">
        <f t="shared" si="0"/>
        <v>Louisville SB - 175HC</v>
      </c>
    </row>
    <row r="64" spans="1:28" x14ac:dyDescent="0.25">
      <c r="A64" s="16" t="s">
        <v>175</v>
      </c>
      <c r="B64" s="16" t="s">
        <v>271</v>
      </c>
      <c r="C64" s="17" t="s">
        <v>312</v>
      </c>
      <c r="D64" s="16" t="s">
        <v>313</v>
      </c>
      <c r="E64" s="16" t="s">
        <v>314</v>
      </c>
      <c r="F64" s="18">
        <v>0</v>
      </c>
      <c r="G64" s="18">
        <v>2195</v>
      </c>
      <c r="H64" s="18">
        <v>-2401</v>
      </c>
      <c r="I64" s="18">
        <v>0</v>
      </c>
      <c r="J64" s="19">
        <v>0</v>
      </c>
      <c r="K64" s="20">
        <v>0</v>
      </c>
      <c r="L64" s="18">
        <v>0</v>
      </c>
      <c r="M64" s="21">
        <v>0</v>
      </c>
      <c r="N64" s="22">
        <v>0</v>
      </c>
      <c r="O64" s="23">
        <v>0</v>
      </c>
      <c r="P64" s="24">
        <v>0</v>
      </c>
      <c r="Q64" s="20">
        <v>0</v>
      </c>
      <c r="R64" s="18">
        <v>0</v>
      </c>
      <c r="S64" s="21">
        <v>0</v>
      </c>
      <c r="T64" s="25">
        <v>0</v>
      </c>
      <c r="U64" s="23">
        <v>0</v>
      </c>
      <c r="V64" s="24">
        <v>0</v>
      </c>
      <c r="W64" s="20">
        <v>399</v>
      </c>
      <c r="X64" s="21">
        <v>-399</v>
      </c>
      <c r="Y64" s="26"/>
      <c r="Z64" s="14"/>
      <c r="AA64" s="14" t="s">
        <v>10</v>
      </c>
      <c r="AB64" s="15" t="str">
        <f t="shared" si="0"/>
        <v>Louisville WP - 145HC</v>
      </c>
    </row>
    <row r="65" spans="1:28" x14ac:dyDescent="0.25">
      <c r="A65" s="16" t="s">
        <v>176</v>
      </c>
      <c r="B65" s="16" t="s">
        <v>271</v>
      </c>
      <c r="C65" s="17" t="s">
        <v>312</v>
      </c>
      <c r="D65" s="16" t="s">
        <v>313</v>
      </c>
      <c r="E65" s="16" t="s">
        <v>314</v>
      </c>
      <c r="F65" s="18">
        <v>-2919</v>
      </c>
      <c r="G65" s="18">
        <v>-440</v>
      </c>
      <c r="H65" s="18">
        <v>-600</v>
      </c>
      <c r="I65" s="18">
        <v>-2180</v>
      </c>
      <c r="J65" s="19">
        <v>-620</v>
      </c>
      <c r="K65" s="20">
        <v>-560</v>
      </c>
      <c r="L65" s="18">
        <v>-500</v>
      </c>
      <c r="M65" s="21">
        <v>-60</v>
      </c>
      <c r="N65" s="22">
        <v>-5.045045</v>
      </c>
      <c r="O65" s="23">
        <v>-7.3640194607936698</v>
      </c>
      <c r="P65" s="24">
        <v>2.3189744607936702</v>
      </c>
      <c r="Q65" s="20">
        <v>-1180</v>
      </c>
      <c r="R65" s="18">
        <v>-1000</v>
      </c>
      <c r="S65" s="21">
        <v>-180</v>
      </c>
      <c r="T65" s="25">
        <v>-5.0427350000000004</v>
      </c>
      <c r="U65" s="23">
        <v>-6.9895777932956502</v>
      </c>
      <c r="V65" s="24">
        <v>1.94684279329565</v>
      </c>
      <c r="W65" s="20">
        <v>0</v>
      </c>
      <c r="X65" s="21">
        <v>-1180</v>
      </c>
      <c r="Y65" s="26"/>
      <c r="Z65" s="14"/>
      <c r="AA65" s="14" t="s">
        <v>10</v>
      </c>
      <c r="AB65" s="15" t="str">
        <f t="shared" si="0"/>
        <v>Louisville WS - 190HC</v>
      </c>
    </row>
    <row r="66" spans="1:28" x14ac:dyDescent="0.25">
      <c r="A66" s="16" t="s">
        <v>181</v>
      </c>
      <c r="B66" s="16" t="s">
        <v>271</v>
      </c>
      <c r="C66" s="17" t="s">
        <v>312</v>
      </c>
      <c r="D66" s="16" t="s">
        <v>313</v>
      </c>
      <c r="E66" s="16" t="s">
        <v>314</v>
      </c>
      <c r="F66" s="18">
        <v>14935.29</v>
      </c>
      <c r="G66" s="18">
        <v>-10806.63</v>
      </c>
      <c r="H66" s="18">
        <v>-6191.1</v>
      </c>
      <c r="I66" s="18">
        <v>-6397.47</v>
      </c>
      <c r="J66" s="19">
        <v>-6397.47</v>
      </c>
      <c r="K66" s="20">
        <v>-5778.36</v>
      </c>
      <c r="L66" s="18">
        <v>-7887.6843333332999</v>
      </c>
      <c r="M66" s="21">
        <v>2109.3243333332998</v>
      </c>
      <c r="N66" s="22">
        <v>-17.352432</v>
      </c>
      <c r="O66" s="23">
        <v>-31.335151491074601</v>
      </c>
      <c r="P66" s="24">
        <v>13.982719491074601</v>
      </c>
      <c r="Q66" s="20">
        <v>-12175.83</v>
      </c>
      <c r="R66" s="18">
        <v>-16019.3176666667</v>
      </c>
      <c r="S66" s="21">
        <v>3843.4876666667001</v>
      </c>
      <c r="T66" s="25">
        <v>-17.468909</v>
      </c>
      <c r="U66" s="23">
        <v>-30.201764044167199</v>
      </c>
      <c r="V66" s="24">
        <v>12.7328550441672</v>
      </c>
      <c r="W66" s="20">
        <v>0</v>
      </c>
      <c r="X66" s="21">
        <v>-12175.83</v>
      </c>
      <c r="Y66" s="26"/>
      <c r="Z66" s="14"/>
      <c r="AA66" s="14" t="s">
        <v>10</v>
      </c>
      <c r="AB66" s="15" t="str">
        <f t="shared" si="0"/>
        <v>Lowell - 156HC</v>
      </c>
    </row>
    <row r="67" spans="1:28" x14ac:dyDescent="0.25">
      <c r="A67" s="16" t="s">
        <v>183</v>
      </c>
      <c r="B67" s="16" t="s">
        <v>271</v>
      </c>
      <c r="C67" s="17" t="s">
        <v>312</v>
      </c>
      <c r="D67" s="16" t="s">
        <v>313</v>
      </c>
      <c r="E67" s="16" t="s">
        <v>314</v>
      </c>
      <c r="F67" s="18">
        <v>0</v>
      </c>
      <c r="G67" s="18">
        <v>0</v>
      </c>
      <c r="H67" s="18">
        <v>0</v>
      </c>
      <c r="I67" s="18">
        <v>0</v>
      </c>
      <c r="J67" s="19">
        <v>0</v>
      </c>
      <c r="K67" s="20">
        <v>-1900</v>
      </c>
      <c r="L67" s="18">
        <v>-426.8</v>
      </c>
      <c r="M67" s="21">
        <v>-1473.2</v>
      </c>
      <c r="N67" s="22">
        <v>-17.757009</v>
      </c>
      <c r="O67" s="23">
        <v>-3.5487171246451599</v>
      </c>
      <c r="P67" s="24">
        <v>-14.208291875354799</v>
      </c>
      <c r="Q67" s="20">
        <v>-1900</v>
      </c>
      <c r="R67" s="18">
        <v>-866.8</v>
      </c>
      <c r="S67" s="21">
        <v>-1033.2</v>
      </c>
      <c r="T67" s="25">
        <v>-6.8840570000000003</v>
      </c>
      <c r="U67" s="23">
        <v>-3.4438604084064099</v>
      </c>
      <c r="V67" s="24">
        <v>-3.4401965915935899</v>
      </c>
      <c r="W67" s="20">
        <v>0</v>
      </c>
      <c r="X67" s="21">
        <v>-1900</v>
      </c>
      <c r="Y67" s="26"/>
      <c r="Z67" s="14"/>
      <c r="AA67" s="14" t="s">
        <v>10</v>
      </c>
      <c r="AB67" s="15" t="str">
        <f t="shared" ref="AB67:AB130" si="1">A67&amp;AA67</f>
        <v>Madison - 2157HC</v>
      </c>
    </row>
    <row r="68" spans="1:28" x14ac:dyDescent="0.25">
      <c r="A68" s="16" t="s">
        <v>184</v>
      </c>
      <c r="B68" s="16" t="s">
        <v>271</v>
      </c>
      <c r="C68" s="17" t="s">
        <v>312</v>
      </c>
      <c r="D68" s="16" t="s">
        <v>313</v>
      </c>
      <c r="E68" s="16" t="s">
        <v>314</v>
      </c>
      <c r="F68" s="18">
        <v>-6880</v>
      </c>
      <c r="G68" s="18">
        <v>-8440</v>
      </c>
      <c r="H68" s="18">
        <v>-6000</v>
      </c>
      <c r="I68" s="18">
        <v>33000</v>
      </c>
      <c r="J68" s="19">
        <v>0</v>
      </c>
      <c r="K68" s="20">
        <v>0</v>
      </c>
      <c r="L68" s="18">
        <v>0</v>
      </c>
      <c r="M68" s="21">
        <v>0</v>
      </c>
      <c r="N68" s="22">
        <v>0</v>
      </c>
      <c r="O68" s="23">
        <v>0</v>
      </c>
      <c r="P68" s="24">
        <v>0</v>
      </c>
      <c r="Q68" s="20">
        <v>0</v>
      </c>
      <c r="R68" s="18">
        <v>0</v>
      </c>
      <c r="S68" s="21">
        <v>0</v>
      </c>
      <c r="T68" s="25">
        <v>0</v>
      </c>
      <c r="U68" s="23">
        <v>0</v>
      </c>
      <c r="V68" s="24">
        <v>0</v>
      </c>
      <c r="W68" s="20">
        <v>0</v>
      </c>
      <c r="X68" s="21">
        <v>0</v>
      </c>
      <c r="Y68" s="26"/>
      <c r="Z68" s="14"/>
      <c r="AA68" s="14" t="s">
        <v>10</v>
      </c>
      <c r="AB68" s="15" t="str">
        <f t="shared" si="1"/>
        <v>Miami Township - 440HC</v>
      </c>
    </row>
    <row r="69" spans="1:28" x14ac:dyDescent="0.25">
      <c r="A69" s="16" t="s">
        <v>274</v>
      </c>
      <c r="B69" s="16" t="s">
        <v>271</v>
      </c>
      <c r="C69" s="17" t="s">
        <v>312</v>
      </c>
      <c r="D69" s="16" t="s">
        <v>313</v>
      </c>
      <c r="E69" s="16" t="s">
        <v>314</v>
      </c>
      <c r="F69" s="18">
        <v>0</v>
      </c>
      <c r="G69" s="18">
        <v>0</v>
      </c>
      <c r="H69" s="18">
        <v>0</v>
      </c>
      <c r="I69" s="18">
        <v>0</v>
      </c>
      <c r="J69" s="19">
        <v>0</v>
      </c>
      <c r="K69" s="20">
        <v>-728</v>
      </c>
      <c r="L69" s="18">
        <v>0</v>
      </c>
      <c r="M69" s="21">
        <v>-728</v>
      </c>
      <c r="N69" s="22">
        <v>-1.6035239999999999</v>
      </c>
      <c r="O69" s="23">
        <v>0</v>
      </c>
      <c r="P69" s="24">
        <v>-1.6035239999999999</v>
      </c>
      <c r="Q69" s="20">
        <v>-728</v>
      </c>
      <c r="R69" s="18">
        <v>0</v>
      </c>
      <c r="S69" s="21">
        <v>-728</v>
      </c>
      <c r="T69" s="25">
        <v>-0.97849399999999997</v>
      </c>
      <c r="U69" s="23">
        <v>0</v>
      </c>
      <c r="V69" s="24">
        <v>-0.97849399999999997</v>
      </c>
      <c r="W69" s="20">
        <v>0</v>
      </c>
      <c r="X69" s="21">
        <v>-728</v>
      </c>
      <c r="Y69" s="26"/>
      <c r="Z69" s="14"/>
      <c r="AA69" s="14" t="s">
        <v>10</v>
      </c>
      <c r="AB69" s="15" t="str">
        <f t="shared" si="1"/>
        <v>Miamisburg KOM-0556HC</v>
      </c>
    </row>
    <row r="70" spans="1:28" x14ac:dyDescent="0.25">
      <c r="A70" s="16" t="s">
        <v>185</v>
      </c>
      <c r="B70" s="16" t="s">
        <v>271</v>
      </c>
      <c r="C70" s="17" t="s">
        <v>312</v>
      </c>
      <c r="D70" s="16" t="s">
        <v>313</v>
      </c>
      <c r="E70" s="16" t="s">
        <v>314</v>
      </c>
      <c r="F70" s="18">
        <v>-1279</v>
      </c>
      <c r="G70" s="18">
        <v>-277</v>
      </c>
      <c r="H70" s="18">
        <v>-1374.67</v>
      </c>
      <c r="I70" s="18">
        <v>-217</v>
      </c>
      <c r="J70" s="19">
        <v>-877</v>
      </c>
      <c r="K70" s="20">
        <v>-2036.33</v>
      </c>
      <c r="L70" s="18">
        <v>-253.17</v>
      </c>
      <c r="M70" s="21">
        <v>-1783.16</v>
      </c>
      <c r="N70" s="22">
        <v>-7.9544139999999999</v>
      </c>
      <c r="O70" s="23">
        <v>-1.3080386630924401</v>
      </c>
      <c r="P70" s="24">
        <v>-6.6463753369075604</v>
      </c>
      <c r="Q70" s="20">
        <v>-2913.33</v>
      </c>
      <c r="R70" s="18">
        <v>-514.16999999999996</v>
      </c>
      <c r="S70" s="21">
        <v>-2399.16</v>
      </c>
      <c r="T70" s="25">
        <v>-5.6133519999999999</v>
      </c>
      <c r="U70" s="23">
        <v>-1.2607271126363599</v>
      </c>
      <c r="V70" s="24">
        <v>-4.3526248873636399</v>
      </c>
      <c r="W70" s="20">
        <v>-1444</v>
      </c>
      <c r="X70" s="21">
        <v>-1469.33</v>
      </c>
      <c r="Y70" s="26"/>
      <c r="Z70" s="14"/>
      <c r="AA70" s="14" t="s">
        <v>10</v>
      </c>
      <c r="AB70" s="15" t="str">
        <f t="shared" si="1"/>
        <v>Monclova - 2422HC</v>
      </c>
    </row>
    <row r="71" spans="1:28" x14ac:dyDescent="0.25">
      <c r="A71" s="16" t="s">
        <v>186</v>
      </c>
      <c r="B71" s="16" t="s">
        <v>271</v>
      </c>
      <c r="C71" s="17" t="s">
        <v>312</v>
      </c>
      <c r="D71" s="16" t="s">
        <v>313</v>
      </c>
      <c r="E71" s="16" t="s">
        <v>314</v>
      </c>
      <c r="F71" s="18">
        <v>0</v>
      </c>
      <c r="G71" s="18">
        <v>299</v>
      </c>
      <c r="H71" s="18">
        <v>-299</v>
      </c>
      <c r="I71" s="18">
        <v>0</v>
      </c>
      <c r="J71" s="19">
        <v>0</v>
      </c>
      <c r="K71" s="20">
        <v>0</v>
      </c>
      <c r="L71" s="18">
        <v>0</v>
      </c>
      <c r="M71" s="21">
        <v>0</v>
      </c>
      <c r="N71" s="22">
        <v>0</v>
      </c>
      <c r="O71" s="23">
        <v>0</v>
      </c>
      <c r="P71" s="24">
        <v>0</v>
      </c>
      <c r="Q71" s="20">
        <v>0</v>
      </c>
      <c r="R71" s="18">
        <v>0</v>
      </c>
      <c r="S71" s="21">
        <v>0</v>
      </c>
      <c r="T71" s="25">
        <v>0</v>
      </c>
      <c r="U71" s="23">
        <v>0</v>
      </c>
      <c r="V71" s="24">
        <v>0</v>
      </c>
      <c r="W71" s="20">
        <v>0</v>
      </c>
      <c r="X71" s="21">
        <v>0</v>
      </c>
      <c r="Y71" s="26"/>
      <c r="Z71" s="14"/>
      <c r="AA71" s="14" t="s">
        <v>10</v>
      </c>
      <c r="AB71" s="15" t="str">
        <f t="shared" si="1"/>
        <v>Monticello - 140HC</v>
      </c>
    </row>
    <row r="72" spans="1:28" x14ac:dyDescent="0.25">
      <c r="A72" s="16" t="s">
        <v>188</v>
      </c>
      <c r="B72" s="16" t="s">
        <v>271</v>
      </c>
      <c r="C72" s="17" t="s">
        <v>312</v>
      </c>
      <c r="D72" s="16" t="s">
        <v>313</v>
      </c>
      <c r="E72" s="16" t="s">
        <v>314</v>
      </c>
      <c r="F72" s="18">
        <v>0</v>
      </c>
      <c r="G72" s="18">
        <v>0</v>
      </c>
      <c r="H72" s="18">
        <v>-3500</v>
      </c>
      <c r="I72" s="18">
        <v>-4340</v>
      </c>
      <c r="J72" s="19">
        <v>-8680</v>
      </c>
      <c r="K72" s="20">
        <v>-7700</v>
      </c>
      <c r="L72" s="18">
        <v>-430.03333333329999</v>
      </c>
      <c r="M72" s="21">
        <v>-7269.9666666666999</v>
      </c>
      <c r="N72" s="22">
        <v>-25.412541000000001</v>
      </c>
      <c r="O72" s="23">
        <v>-1.6171382811381501</v>
      </c>
      <c r="P72" s="24">
        <v>-23.795402718861801</v>
      </c>
      <c r="Q72" s="20">
        <v>-16380</v>
      </c>
      <c r="R72" s="18">
        <v>-873.36666666669998</v>
      </c>
      <c r="S72" s="21">
        <v>-15506.6333333333</v>
      </c>
      <c r="T72" s="25">
        <v>-23.773584</v>
      </c>
      <c r="U72" s="23">
        <v>-1.5586466466466999</v>
      </c>
      <c r="V72" s="24">
        <v>-22.214937353353299</v>
      </c>
      <c r="W72" s="20">
        <v>0</v>
      </c>
      <c r="X72" s="21">
        <v>-16380</v>
      </c>
      <c r="Y72" s="26"/>
      <c r="Z72" s="14"/>
      <c r="AA72" s="14" t="s">
        <v>10</v>
      </c>
      <c r="AB72" s="15" t="str">
        <f t="shared" si="1"/>
        <v>Mooresville - 5174HC</v>
      </c>
    </row>
    <row r="73" spans="1:28" x14ac:dyDescent="0.25">
      <c r="A73" s="16" t="s">
        <v>189</v>
      </c>
      <c r="B73" s="16" t="s">
        <v>271</v>
      </c>
      <c r="C73" s="17" t="s">
        <v>312</v>
      </c>
      <c r="D73" s="16" t="s">
        <v>313</v>
      </c>
      <c r="E73" s="16" t="s">
        <v>314</v>
      </c>
      <c r="F73" s="18">
        <v>-350</v>
      </c>
      <c r="G73" s="18">
        <v>0</v>
      </c>
      <c r="H73" s="18">
        <v>-535.70000000000005</v>
      </c>
      <c r="I73" s="18">
        <v>-785.7</v>
      </c>
      <c r="J73" s="19">
        <v>-501.45</v>
      </c>
      <c r="K73" s="20">
        <v>0</v>
      </c>
      <c r="L73" s="18">
        <v>0</v>
      </c>
      <c r="M73" s="21">
        <v>0</v>
      </c>
      <c r="N73" s="22">
        <v>0</v>
      </c>
      <c r="O73" s="23">
        <v>0</v>
      </c>
      <c r="P73" s="24">
        <v>0</v>
      </c>
      <c r="Q73" s="20">
        <v>-501.45</v>
      </c>
      <c r="R73" s="18">
        <v>0</v>
      </c>
      <c r="S73" s="21">
        <v>-501.45</v>
      </c>
      <c r="T73" s="25">
        <v>-0.83994899999999995</v>
      </c>
      <c r="U73" s="23">
        <v>0</v>
      </c>
      <c r="V73" s="24">
        <v>-0.83994899999999995</v>
      </c>
      <c r="W73" s="20">
        <v>0</v>
      </c>
      <c r="X73" s="21">
        <v>-501.45</v>
      </c>
      <c r="Y73" s="26"/>
      <c r="Z73" s="14"/>
      <c r="AA73" s="14" t="s">
        <v>10</v>
      </c>
      <c r="AB73" s="15" t="str">
        <f t="shared" si="1"/>
        <v>Mount Washington - 176HC</v>
      </c>
    </row>
    <row r="74" spans="1:28" x14ac:dyDescent="0.25">
      <c r="A74" s="16" t="s">
        <v>190</v>
      </c>
      <c r="B74" s="16" t="s">
        <v>271</v>
      </c>
      <c r="C74" s="17" t="s">
        <v>312</v>
      </c>
      <c r="D74" s="16" t="s">
        <v>313</v>
      </c>
      <c r="E74" s="16" t="s">
        <v>314</v>
      </c>
      <c r="F74" s="18">
        <v>-2990</v>
      </c>
      <c r="G74" s="18">
        <v>-773</v>
      </c>
      <c r="H74" s="18">
        <v>-1301</v>
      </c>
      <c r="I74" s="18">
        <v>-2504.46</v>
      </c>
      <c r="J74" s="19">
        <v>-1787.68</v>
      </c>
      <c r="K74" s="20">
        <v>-140</v>
      </c>
      <c r="L74" s="18">
        <v>-59.008333333300001</v>
      </c>
      <c r="M74" s="21">
        <v>-80.991666666699999</v>
      </c>
      <c r="N74" s="22">
        <v>-0.44444400000000001</v>
      </c>
      <c r="O74" s="23">
        <v>-0.137748351847577</v>
      </c>
      <c r="P74" s="24">
        <v>-0.30669564815242301</v>
      </c>
      <c r="Q74" s="20">
        <v>-1927.68</v>
      </c>
      <c r="R74" s="18">
        <v>-119.84166666669999</v>
      </c>
      <c r="S74" s="21">
        <v>-1807.8383333332999</v>
      </c>
      <c r="T74" s="25">
        <v>-2.9296039999999999</v>
      </c>
      <c r="U74" s="23">
        <v>-0.132766015864385</v>
      </c>
      <c r="V74" s="24">
        <v>-2.7968379841356099</v>
      </c>
      <c r="W74" s="20">
        <v>-2521.5</v>
      </c>
      <c r="X74" s="21">
        <v>593.82000000000005</v>
      </c>
      <c r="Y74" s="26"/>
      <c r="Z74" s="14"/>
      <c r="AA74" s="14" t="s">
        <v>10</v>
      </c>
      <c r="AB74" s="15" t="str">
        <f t="shared" si="1"/>
        <v>Muncie - 128HC</v>
      </c>
    </row>
    <row r="75" spans="1:28" x14ac:dyDescent="0.25">
      <c r="A75" s="16" t="s">
        <v>193</v>
      </c>
      <c r="B75" s="16" t="s">
        <v>271</v>
      </c>
      <c r="C75" s="17" t="s">
        <v>312</v>
      </c>
      <c r="D75" s="16" t="s">
        <v>313</v>
      </c>
      <c r="E75" s="16" t="s">
        <v>314</v>
      </c>
      <c r="F75" s="18">
        <v>0</v>
      </c>
      <c r="G75" s="18">
        <v>-1000</v>
      </c>
      <c r="H75" s="18">
        <v>-783.33</v>
      </c>
      <c r="I75" s="18">
        <v>0</v>
      </c>
      <c r="J75" s="19">
        <v>0</v>
      </c>
      <c r="K75" s="20">
        <v>0</v>
      </c>
      <c r="L75" s="18">
        <v>-1789.9733333332999</v>
      </c>
      <c r="M75" s="21">
        <v>1789.9733333332999</v>
      </c>
      <c r="N75" s="22">
        <v>0</v>
      </c>
      <c r="O75" s="23">
        <v>-6.6695481531161001</v>
      </c>
      <c r="P75" s="24">
        <v>6.6695481531161001</v>
      </c>
      <c r="Q75" s="20">
        <v>0</v>
      </c>
      <c r="R75" s="18">
        <v>-3635.3066666667</v>
      </c>
      <c r="S75" s="21">
        <v>3635.3066666667</v>
      </c>
      <c r="T75" s="25">
        <v>0</v>
      </c>
      <c r="U75" s="23">
        <v>-6.47623798241088</v>
      </c>
      <c r="V75" s="24">
        <v>6.47623798241088</v>
      </c>
      <c r="W75" s="20">
        <v>-13752</v>
      </c>
      <c r="X75" s="21">
        <v>13752</v>
      </c>
      <c r="Y75" s="26"/>
      <c r="Z75" s="14"/>
      <c r="AA75" s="14" t="s">
        <v>10</v>
      </c>
      <c r="AB75" s="15" t="str">
        <f t="shared" si="1"/>
        <v>Muskegon - 525HC</v>
      </c>
    </row>
    <row r="76" spans="1:28" x14ac:dyDescent="0.25">
      <c r="A76" s="16" t="s">
        <v>194</v>
      </c>
      <c r="B76" s="16" t="s">
        <v>271</v>
      </c>
      <c r="C76" s="17" t="s">
        <v>312</v>
      </c>
      <c r="D76" s="16" t="s">
        <v>313</v>
      </c>
      <c r="E76" s="16" t="s">
        <v>314</v>
      </c>
      <c r="F76" s="18">
        <v>0</v>
      </c>
      <c r="G76" s="18">
        <v>0</v>
      </c>
      <c r="H76" s="18">
        <v>0</v>
      </c>
      <c r="I76" s="18">
        <v>0</v>
      </c>
      <c r="J76" s="19">
        <v>0</v>
      </c>
      <c r="K76" s="20">
        <v>0</v>
      </c>
      <c r="L76" s="18">
        <v>0</v>
      </c>
      <c r="M76" s="21">
        <v>0</v>
      </c>
      <c r="N76" s="22">
        <v>0</v>
      </c>
      <c r="O76" s="23">
        <v>0</v>
      </c>
      <c r="P76" s="24">
        <v>0</v>
      </c>
      <c r="Q76" s="20">
        <v>0</v>
      </c>
      <c r="R76" s="18">
        <v>0</v>
      </c>
      <c r="S76" s="21">
        <v>0</v>
      </c>
      <c r="T76" s="25">
        <v>0</v>
      </c>
      <c r="U76" s="23">
        <v>0</v>
      </c>
      <c r="V76" s="24">
        <v>0</v>
      </c>
      <c r="W76" s="20">
        <v>0</v>
      </c>
      <c r="X76" s="21">
        <v>0</v>
      </c>
      <c r="Y76" s="26"/>
      <c r="Z76" s="14"/>
      <c r="AA76" s="14" t="s">
        <v>10</v>
      </c>
      <c r="AB76" s="15" t="str">
        <f t="shared" si="1"/>
        <v>New Albany AW - 105HC</v>
      </c>
    </row>
    <row r="77" spans="1:28" x14ac:dyDescent="0.25">
      <c r="A77" s="16" t="s">
        <v>197</v>
      </c>
      <c r="B77" s="16" t="s">
        <v>271</v>
      </c>
      <c r="C77" s="17" t="s">
        <v>312</v>
      </c>
      <c r="D77" s="16" t="s">
        <v>313</v>
      </c>
      <c r="E77" s="16" t="s">
        <v>314</v>
      </c>
      <c r="F77" s="18">
        <v>0</v>
      </c>
      <c r="G77" s="18">
        <v>0</v>
      </c>
      <c r="H77" s="18">
        <v>0</v>
      </c>
      <c r="I77" s="18">
        <v>0</v>
      </c>
      <c r="J77" s="19">
        <v>0</v>
      </c>
      <c r="K77" s="20">
        <v>0</v>
      </c>
      <c r="L77" s="18">
        <v>0</v>
      </c>
      <c r="M77" s="21">
        <v>0</v>
      </c>
      <c r="N77" s="22">
        <v>0</v>
      </c>
      <c r="O77" s="23">
        <v>0</v>
      </c>
      <c r="P77" s="24">
        <v>0</v>
      </c>
      <c r="Q77" s="20">
        <v>0</v>
      </c>
      <c r="R77" s="18">
        <v>0</v>
      </c>
      <c r="S77" s="21">
        <v>0</v>
      </c>
      <c r="T77" s="25">
        <v>0</v>
      </c>
      <c r="U77" s="23">
        <v>0</v>
      </c>
      <c r="V77" s="24">
        <v>0</v>
      </c>
      <c r="W77" s="20">
        <v>0</v>
      </c>
      <c r="X77" s="21">
        <v>0</v>
      </c>
      <c r="Y77" s="26"/>
      <c r="Z77" s="14"/>
      <c r="AA77" s="14" t="s">
        <v>10</v>
      </c>
      <c r="AB77" s="15" t="str">
        <f t="shared" si="1"/>
        <v>New Albany SC - 5151HC</v>
      </c>
    </row>
    <row r="78" spans="1:28" x14ac:dyDescent="0.25">
      <c r="A78" s="16" t="s">
        <v>198</v>
      </c>
      <c r="B78" s="16" t="s">
        <v>271</v>
      </c>
      <c r="C78" s="17" t="s">
        <v>312</v>
      </c>
      <c r="D78" s="16" t="s">
        <v>313</v>
      </c>
      <c r="E78" s="16" t="s">
        <v>314</v>
      </c>
      <c r="F78" s="18">
        <v>0</v>
      </c>
      <c r="G78" s="18">
        <v>0</v>
      </c>
      <c r="H78" s="18">
        <v>0</v>
      </c>
      <c r="I78" s="18">
        <v>-2550</v>
      </c>
      <c r="J78" s="19">
        <v>0</v>
      </c>
      <c r="K78" s="20">
        <v>1500</v>
      </c>
      <c r="L78" s="18">
        <v>-418.89665555559998</v>
      </c>
      <c r="M78" s="21">
        <v>1918.8966555556001</v>
      </c>
      <c r="N78" s="22">
        <v>7.5</v>
      </c>
      <c r="O78" s="23">
        <v>-1.6294799936764901</v>
      </c>
      <c r="P78" s="24">
        <v>9.1294799936764903</v>
      </c>
      <c r="Q78" s="20">
        <v>1500</v>
      </c>
      <c r="R78" s="18">
        <v>-850.74887777779998</v>
      </c>
      <c r="S78" s="21">
        <v>2350.7488777777999</v>
      </c>
      <c r="T78" s="25">
        <v>2.5641020000000001</v>
      </c>
      <c r="U78" s="23">
        <v>-1.5890963824425799</v>
      </c>
      <c r="V78" s="24">
        <v>4.1531983824425804</v>
      </c>
      <c r="W78" s="20">
        <v>0</v>
      </c>
      <c r="X78" s="21">
        <v>1500</v>
      </c>
      <c r="Y78" s="26"/>
      <c r="Z78" s="14"/>
      <c r="AA78" s="14" t="s">
        <v>10</v>
      </c>
      <c r="AB78" s="15" t="str">
        <f t="shared" si="1"/>
        <v>New Albany SM - 438HC</v>
      </c>
    </row>
    <row r="79" spans="1:28" x14ac:dyDescent="0.25">
      <c r="A79" s="16" t="s">
        <v>199</v>
      </c>
      <c r="B79" s="16" t="s">
        <v>271</v>
      </c>
      <c r="C79" s="17" t="s">
        <v>312</v>
      </c>
      <c r="D79" s="16" t="s">
        <v>313</v>
      </c>
      <c r="E79" s="16" t="s">
        <v>314</v>
      </c>
      <c r="F79" s="18">
        <v>0</v>
      </c>
      <c r="G79" s="18">
        <v>0</v>
      </c>
      <c r="H79" s="18">
        <v>0</v>
      </c>
      <c r="I79" s="18">
        <v>0</v>
      </c>
      <c r="J79" s="19">
        <v>0</v>
      </c>
      <c r="K79" s="20">
        <v>0</v>
      </c>
      <c r="L79" s="18">
        <v>0</v>
      </c>
      <c r="M79" s="21">
        <v>0</v>
      </c>
      <c r="N79" s="22">
        <v>0</v>
      </c>
      <c r="O79" s="23">
        <v>0</v>
      </c>
      <c r="P79" s="24">
        <v>0</v>
      </c>
      <c r="Q79" s="20">
        <v>0</v>
      </c>
      <c r="R79" s="18">
        <v>0</v>
      </c>
      <c r="S79" s="21">
        <v>0</v>
      </c>
      <c r="T79" s="25">
        <v>0</v>
      </c>
      <c r="U79" s="23">
        <v>0</v>
      </c>
      <c r="V79" s="24">
        <v>0</v>
      </c>
      <c r="W79" s="20">
        <v>0</v>
      </c>
      <c r="X79" s="21">
        <v>0</v>
      </c>
      <c r="Y79" s="26"/>
      <c r="Z79" s="14"/>
      <c r="AA79" s="14" t="s">
        <v>10</v>
      </c>
      <c r="AB79" s="15" t="str">
        <f t="shared" si="1"/>
        <v>New Castle GO - 2153HC</v>
      </c>
    </row>
    <row r="80" spans="1:28" x14ac:dyDescent="0.25">
      <c r="A80" s="16" t="s">
        <v>201</v>
      </c>
      <c r="B80" s="16" t="s">
        <v>271</v>
      </c>
      <c r="C80" s="17" t="s">
        <v>312</v>
      </c>
      <c r="D80" s="16" t="s">
        <v>313</v>
      </c>
      <c r="E80" s="16" t="s">
        <v>314</v>
      </c>
      <c r="F80" s="18">
        <v>-680</v>
      </c>
      <c r="G80" s="18">
        <v>-4510</v>
      </c>
      <c r="H80" s="18">
        <v>-2280</v>
      </c>
      <c r="I80" s="18">
        <v>-310</v>
      </c>
      <c r="J80" s="19">
        <v>-360</v>
      </c>
      <c r="K80" s="20">
        <v>0</v>
      </c>
      <c r="L80" s="18">
        <v>-295.0416666667</v>
      </c>
      <c r="M80" s="21">
        <v>295.0416666667</v>
      </c>
      <c r="N80" s="22">
        <v>0</v>
      </c>
      <c r="O80" s="23">
        <v>-0.838644650781324</v>
      </c>
      <c r="P80" s="24">
        <v>0.838644650781324</v>
      </c>
      <c r="Q80" s="20">
        <v>-360</v>
      </c>
      <c r="R80" s="18">
        <v>-599.20833333329995</v>
      </c>
      <c r="S80" s="21">
        <v>239.2083333333</v>
      </c>
      <c r="T80" s="25">
        <v>-0.40313500000000002</v>
      </c>
      <c r="U80" s="23">
        <v>-0.80831100711322801</v>
      </c>
      <c r="V80" s="24">
        <v>0.40517600711322799</v>
      </c>
      <c r="W80" s="20">
        <v>-9200</v>
      </c>
      <c r="X80" s="21">
        <v>8840</v>
      </c>
      <c r="Y80" s="26"/>
      <c r="Z80" s="14"/>
      <c r="AA80" s="14" t="s">
        <v>10</v>
      </c>
      <c r="AB80" s="15" t="str">
        <f t="shared" si="1"/>
        <v>Noblesville - 141HC</v>
      </c>
    </row>
    <row r="81" spans="1:28" x14ac:dyDescent="0.25">
      <c r="A81" s="16" t="s">
        <v>202</v>
      </c>
      <c r="B81" s="16" t="s">
        <v>271</v>
      </c>
      <c r="C81" s="17" t="s">
        <v>312</v>
      </c>
      <c r="D81" s="16" t="s">
        <v>313</v>
      </c>
      <c r="E81" s="16" t="s">
        <v>314</v>
      </c>
      <c r="F81" s="18">
        <v>0</v>
      </c>
      <c r="G81" s="18">
        <v>0</v>
      </c>
      <c r="H81" s="18">
        <v>0</v>
      </c>
      <c r="I81" s="18">
        <v>0</v>
      </c>
      <c r="J81" s="19">
        <v>0</v>
      </c>
      <c r="K81" s="20">
        <v>0</v>
      </c>
      <c r="L81" s="18">
        <v>0</v>
      </c>
      <c r="M81" s="21">
        <v>0</v>
      </c>
      <c r="N81" s="22">
        <v>0</v>
      </c>
      <c r="O81" s="23">
        <v>0</v>
      </c>
      <c r="P81" s="24">
        <v>0</v>
      </c>
      <c r="Q81" s="20">
        <v>0</v>
      </c>
      <c r="R81" s="18">
        <v>0</v>
      </c>
      <c r="S81" s="21">
        <v>0</v>
      </c>
      <c r="T81" s="25">
        <v>0</v>
      </c>
      <c r="U81" s="23">
        <v>0</v>
      </c>
      <c r="V81" s="24">
        <v>0</v>
      </c>
      <c r="W81" s="20">
        <v>-120</v>
      </c>
      <c r="X81" s="21">
        <v>120</v>
      </c>
      <c r="Y81" s="26"/>
      <c r="Z81" s="14"/>
      <c r="AA81" s="14" t="s">
        <v>10</v>
      </c>
      <c r="AB81" s="15" t="str">
        <f t="shared" si="1"/>
        <v>North Baltimore - 415HC</v>
      </c>
    </row>
    <row r="82" spans="1:28" x14ac:dyDescent="0.25">
      <c r="A82" s="16" t="s">
        <v>204</v>
      </c>
      <c r="B82" s="16" t="s">
        <v>271</v>
      </c>
      <c r="C82" s="17" t="s">
        <v>312</v>
      </c>
      <c r="D82" s="16" t="s">
        <v>313</v>
      </c>
      <c r="E82" s="16" t="s">
        <v>314</v>
      </c>
      <c r="F82" s="18">
        <v>1200.03</v>
      </c>
      <c r="G82" s="18">
        <v>1240</v>
      </c>
      <c r="H82" s="18">
        <v>1200</v>
      </c>
      <c r="I82" s="18">
        <v>1240.02</v>
      </c>
      <c r="J82" s="19">
        <v>1240.03</v>
      </c>
      <c r="K82" s="20">
        <v>2240</v>
      </c>
      <c r="L82" s="18">
        <v>0</v>
      </c>
      <c r="M82" s="21">
        <v>2240</v>
      </c>
      <c r="N82" s="22">
        <v>35.555554999999998</v>
      </c>
      <c r="O82" s="23">
        <v>0</v>
      </c>
      <c r="P82" s="24">
        <v>35.555554999999998</v>
      </c>
      <c r="Q82" s="20">
        <v>3480.03</v>
      </c>
      <c r="R82" s="18">
        <v>0</v>
      </c>
      <c r="S82" s="21">
        <v>3480.03</v>
      </c>
      <c r="T82" s="25">
        <v>20.115780000000001</v>
      </c>
      <c r="U82" s="23">
        <v>0</v>
      </c>
      <c r="V82" s="24">
        <v>20.115780000000001</v>
      </c>
      <c r="W82" s="20">
        <v>12489</v>
      </c>
      <c r="X82" s="21">
        <v>-9008.9699999999993</v>
      </c>
      <c r="Y82" s="26"/>
      <c r="Z82" s="14"/>
      <c r="AA82" s="14" t="s">
        <v>10</v>
      </c>
      <c r="AB82" s="15" t="str">
        <f t="shared" si="1"/>
        <v>Okemos - 2504HC</v>
      </c>
    </row>
    <row r="83" spans="1:28" x14ac:dyDescent="0.25">
      <c r="A83" s="16" t="s">
        <v>205</v>
      </c>
      <c r="B83" s="16" t="s">
        <v>271</v>
      </c>
      <c r="C83" s="17" t="s">
        <v>312</v>
      </c>
      <c r="D83" s="16" t="s">
        <v>313</v>
      </c>
      <c r="E83" s="16" t="s">
        <v>314</v>
      </c>
      <c r="F83" s="18">
        <v>-4800</v>
      </c>
      <c r="G83" s="18">
        <v>-4650</v>
      </c>
      <c r="H83" s="18">
        <v>-7350</v>
      </c>
      <c r="I83" s="18">
        <v>-5150</v>
      </c>
      <c r="J83" s="19">
        <v>-5050</v>
      </c>
      <c r="K83" s="20">
        <v>-1120</v>
      </c>
      <c r="L83" s="18">
        <v>0</v>
      </c>
      <c r="M83" s="21">
        <v>-1120</v>
      </c>
      <c r="N83" s="22">
        <v>-5.1851849999999997</v>
      </c>
      <c r="O83" s="23">
        <v>0</v>
      </c>
      <c r="P83" s="24">
        <v>-5.1851849999999997</v>
      </c>
      <c r="Q83" s="20">
        <v>-6170</v>
      </c>
      <c r="R83" s="18">
        <v>0</v>
      </c>
      <c r="S83" s="21">
        <v>-6170</v>
      </c>
      <c r="T83" s="25">
        <v>-10.317724999999999</v>
      </c>
      <c r="U83" s="23">
        <v>0</v>
      </c>
      <c r="V83" s="24">
        <v>-10.317724999999999</v>
      </c>
      <c r="W83" s="20">
        <v>0</v>
      </c>
      <c r="X83" s="21">
        <v>-6170</v>
      </c>
      <c r="Y83" s="26"/>
      <c r="Z83" s="14"/>
      <c r="AA83" s="14" t="s">
        <v>10</v>
      </c>
      <c r="AB83" s="15" t="str">
        <f t="shared" si="1"/>
        <v>Ottawa MO - 430HC</v>
      </c>
    </row>
    <row r="84" spans="1:28" x14ac:dyDescent="0.25">
      <c r="A84" s="16" t="s">
        <v>275</v>
      </c>
      <c r="B84" s="16" t="s">
        <v>271</v>
      </c>
      <c r="C84" s="17" t="s">
        <v>312</v>
      </c>
      <c r="D84" s="16" t="s">
        <v>313</v>
      </c>
      <c r="E84" s="16" t="s">
        <v>314</v>
      </c>
      <c r="F84" s="18">
        <v>0</v>
      </c>
      <c r="G84" s="18">
        <v>0</v>
      </c>
      <c r="H84" s="18">
        <v>0</v>
      </c>
      <c r="I84" s="18">
        <v>0</v>
      </c>
      <c r="J84" s="19">
        <v>0</v>
      </c>
      <c r="K84" s="20">
        <v>-1993.64</v>
      </c>
      <c r="L84" s="18">
        <v>0</v>
      </c>
      <c r="M84" s="21">
        <v>-1993.64</v>
      </c>
      <c r="N84" s="22">
        <v>-6.6233880000000003</v>
      </c>
      <c r="O84" s="23">
        <v>0</v>
      </c>
      <c r="P84" s="24">
        <v>-6.6233880000000003</v>
      </c>
      <c r="Q84" s="20">
        <v>-1993.64</v>
      </c>
      <c r="R84" s="18">
        <v>0</v>
      </c>
      <c r="S84" s="21">
        <v>-1993.64</v>
      </c>
      <c r="T84" s="25">
        <v>-3.2000639999999998</v>
      </c>
      <c r="U84" s="23">
        <v>0</v>
      </c>
      <c r="V84" s="24">
        <v>-3.2000639999999998</v>
      </c>
      <c r="W84" s="20">
        <v>0</v>
      </c>
      <c r="X84" s="21">
        <v>-1993.64</v>
      </c>
      <c r="Y84" s="26"/>
      <c r="Z84" s="14"/>
      <c r="AA84" s="14" t="s">
        <v>10</v>
      </c>
      <c r="AB84" s="15" t="str">
        <f t="shared" si="1"/>
        <v>Perrysburg KHC-0557HC</v>
      </c>
    </row>
    <row r="85" spans="1:28" x14ac:dyDescent="0.25">
      <c r="A85" s="16" t="s">
        <v>208</v>
      </c>
      <c r="B85" s="16" t="s">
        <v>271</v>
      </c>
      <c r="C85" s="17" t="s">
        <v>312</v>
      </c>
      <c r="D85" s="16" t="s">
        <v>313</v>
      </c>
      <c r="E85" s="16" t="s">
        <v>314</v>
      </c>
      <c r="F85" s="18">
        <v>-551</v>
      </c>
      <c r="G85" s="18">
        <v>0</v>
      </c>
      <c r="H85" s="18">
        <v>0</v>
      </c>
      <c r="I85" s="18">
        <v>-350</v>
      </c>
      <c r="J85" s="19">
        <v>0</v>
      </c>
      <c r="K85" s="20">
        <v>-1767</v>
      </c>
      <c r="L85" s="18">
        <v>-2794.8329777777999</v>
      </c>
      <c r="M85" s="21">
        <v>1027.8329777777999</v>
      </c>
      <c r="N85" s="22">
        <v>-8.180555</v>
      </c>
      <c r="O85" s="23">
        <v>-13.4837990146123</v>
      </c>
      <c r="P85" s="24">
        <v>5.3032440146123001</v>
      </c>
      <c r="Q85" s="20">
        <v>-1767</v>
      </c>
      <c r="R85" s="18">
        <v>-5676.1040888889002</v>
      </c>
      <c r="S85" s="21">
        <v>3909.1040888889002</v>
      </c>
      <c r="T85" s="25">
        <v>-4.3097560000000001</v>
      </c>
      <c r="U85" s="23">
        <v>-12.996092148279001</v>
      </c>
      <c r="V85" s="24">
        <v>8.6863361482790307</v>
      </c>
      <c r="W85" s="20">
        <v>-10654.5</v>
      </c>
      <c r="X85" s="21">
        <v>8887.5</v>
      </c>
      <c r="Y85" s="26"/>
      <c r="Z85" s="14"/>
      <c r="AA85" s="14" t="s">
        <v>10</v>
      </c>
      <c r="AB85" s="15" t="str">
        <f t="shared" si="1"/>
        <v>Peru - 2144HC</v>
      </c>
    </row>
    <row r="86" spans="1:28" x14ac:dyDescent="0.25">
      <c r="A86" s="16" t="s">
        <v>210</v>
      </c>
      <c r="B86" s="16" t="s">
        <v>271</v>
      </c>
      <c r="C86" s="17" t="s">
        <v>312</v>
      </c>
      <c r="D86" s="16" t="s">
        <v>313</v>
      </c>
      <c r="E86" s="16" t="s">
        <v>314</v>
      </c>
      <c r="F86" s="18">
        <v>0</v>
      </c>
      <c r="G86" s="18">
        <v>-230</v>
      </c>
      <c r="H86" s="18">
        <v>0</v>
      </c>
      <c r="I86" s="18">
        <v>0</v>
      </c>
      <c r="J86" s="19">
        <v>-2900</v>
      </c>
      <c r="K86" s="20">
        <v>0</v>
      </c>
      <c r="L86" s="18">
        <v>0</v>
      </c>
      <c r="M86" s="21">
        <v>0</v>
      </c>
      <c r="N86" s="22">
        <v>0</v>
      </c>
      <c r="O86" s="23">
        <v>0</v>
      </c>
      <c r="P86" s="24">
        <v>0</v>
      </c>
      <c r="Q86" s="20">
        <v>-2900</v>
      </c>
      <c r="R86" s="18">
        <v>0</v>
      </c>
      <c r="S86" s="21">
        <v>-2900</v>
      </c>
      <c r="T86" s="25">
        <v>-9.5081959999999999</v>
      </c>
      <c r="U86" s="23">
        <v>0</v>
      </c>
      <c r="V86" s="24">
        <v>-9.5081959999999999</v>
      </c>
      <c r="W86" s="20">
        <v>0</v>
      </c>
      <c r="X86" s="21">
        <v>-2900</v>
      </c>
      <c r="Y86" s="26"/>
      <c r="Z86" s="14"/>
      <c r="AA86" s="14" t="s">
        <v>10</v>
      </c>
      <c r="AB86" s="15" t="str">
        <f t="shared" si="1"/>
        <v>Petersburg - 304HC</v>
      </c>
    </row>
    <row r="87" spans="1:28" x14ac:dyDescent="0.25">
      <c r="A87" s="16" t="s">
        <v>211</v>
      </c>
      <c r="B87" s="16" t="s">
        <v>271</v>
      </c>
      <c r="C87" s="17" t="s">
        <v>312</v>
      </c>
      <c r="D87" s="16" t="s">
        <v>313</v>
      </c>
      <c r="E87" s="16" t="s">
        <v>314</v>
      </c>
      <c r="F87" s="18">
        <v>0</v>
      </c>
      <c r="G87" s="18">
        <v>0</v>
      </c>
      <c r="H87" s="18">
        <v>-3960</v>
      </c>
      <c r="I87" s="18">
        <v>-1080</v>
      </c>
      <c r="J87" s="19">
        <v>0</v>
      </c>
      <c r="K87" s="20">
        <v>0</v>
      </c>
      <c r="L87" s="18">
        <v>-156</v>
      </c>
      <c r="M87" s="21">
        <v>156</v>
      </c>
      <c r="N87" s="22">
        <v>0</v>
      </c>
      <c r="O87" s="23">
        <v>-0.489299610894943</v>
      </c>
      <c r="P87" s="24">
        <v>0.489299610894943</v>
      </c>
      <c r="Q87" s="20">
        <v>0</v>
      </c>
      <c r="R87" s="18">
        <v>-312</v>
      </c>
      <c r="S87" s="21">
        <v>312</v>
      </c>
      <c r="T87" s="25">
        <v>0</v>
      </c>
      <c r="U87" s="23">
        <v>-0.46441996966299698</v>
      </c>
      <c r="V87" s="24">
        <v>0.46441996966299698</v>
      </c>
      <c r="W87" s="20">
        <v>-255.58</v>
      </c>
      <c r="X87" s="21">
        <v>255.58</v>
      </c>
      <c r="Y87" s="26"/>
      <c r="Z87" s="14"/>
      <c r="AA87" s="14" t="s">
        <v>10</v>
      </c>
      <c r="AB87" s="15" t="str">
        <f t="shared" si="1"/>
        <v>Pickerington - 421HC</v>
      </c>
    </row>
    <row r="88" spans="1:28" x14ac:dyDescent="0.25">
      <c r="A88" s="16" t="s">
        <v>212</v>
      </c>
      <c r="B88" s="16" t="s">
        <v>271</v>
      </c>
      <c r="C88" s="17" t="s">
        <v>312</v>
      </c>
      <c r="D88" s="16" t="s">
        <v>313</v>
      </c>
      <c r="E88" s="16" t="s">
        <v>314</v>
      </c>
      <c r="F88" s="18">
        <v>0</v>
      </c>
      <c r="G88" s="18">
        <v>6740</v>
      </c>
      <c r="H88" s="18">
        <v>0</v>
      </c>
      <c r="I88" s="18">
        <v>-1851</v>
      </c>
      <c r="J88" s="19">
        <v>-1622</v>
      </c>
      <c r="K88" s="20">
        <v>-576</v>
      </c>
      <c r="L88" s="18">
        <v>0</v>
      </c>
      <c r="M88" s="21">
        <v>-576</v>
      </c>
      <c r="N88" s="22">
        <v>-3.2914279999999998</v>
      </c>
      <c r="O88" s="23">
        <v>0</v>
      </c>
      <c r="P88" s="24">
        <v>-3.2914279999999998</v>
      </c>
      <c r="Q88" s="20">
        <v>-2198</v>
      </c>
      <c r="R88" s="18">
        <v>0</v>
      </c>
      <c r="S88" s="21">
        <v>-2198</v>
      </c>
      <c r="T88" s="25">
        <v>-6.1225620000000003</v>
      </c>
      <c r="U88" s="23">
        <v>0</v>
      </c>
      <c r="V88" s="24">
        <v>-6.1225620000000003</v>
      </c>
      <c r="W88" s="20">
        <v>-1116.93</v>
      </c>
      <c r="X88" s="21">
        <v>-1081.07</v>
      </c>
      <c r="Y88" s="26"/>
      <c r="Z88" s="14"/>
      <c r="AA88" s="14" t="s">
        <v>10</v>
      </c>
      <c r="AB88" s="15" t="str">
        <f t="shared" si="1"/>
        <v>Princeton - 117HC</v>
      </c>
    </row>
    <row r="89" spans="1:28" x14ac:dyDescent="0.25">
      <c r="A89" s="16" t="s">
        <v>213</v>
      </c>
      <c r="B89" s="16" t="s">
        <v>271</v>
      </c>
      <c r="C89" s="17" t="s">
        <v>312</v>
      </c>
      <c r="D89" s="16" t="s">
        <v>313</v>
      </c>
      <c r="E89" s="16" t="s">
        <v>314</v>
      </c>
      <c r="F89" s="18">
        <v>0</v>
      </c>
      <c r="G89" s="18">
        <v>0</v>
      </c>
      <c r="H89" s="18">
        <v>0</v>
      </c>
      <c r="I89" s="18">
        <v>-1400</v>
      </c>
      <c r="J89" s="19">
        <v>0</v>
      </c>
      <c r="K89" s="20">
        <v>0</v>
      </c>
      <c r="L89" s="18">
        <v>0</v>
      </c>
      <c r="M89" s="21">
        <v>0</v>
      </c>
      <c r="N89" s="22">
        <v>0</v>
      </c>
      <c r="O89" s="23">
        <v>0</v>
      </c>
      <c r="P89" s="24">
        <v>0</v>
      </c>
      <c r="Q89" s="20">
        <v>0</v>
      </c>
      <c r="R89" s="18">
        <v>0</v>
      </c>
      <c r="S89" s="21">
        <v>0</v>
      </c>
      <c r="T89" s="25">
        <v>0</v>
      </c>
      <c r="U89" s="23">
        <v>0</v>
      </c>
      <c r="V89" s="24">
        <v>0</v>
      </c>
      <c r="W89" s="20">
        <v>0</v>
      </c>
      <c r="X89" s="21">
        <v>0</v>
      </c>
      <c r="Y89" s="26"/>
      <c r="Z89" s="14"/>
      <c r="AA89" s="14" t="s">
        <v>10</v>
      </c>
      <c r="AB89" s="15" t="str">
        <f t="shared" si="1"/>
        <v>Richmond FP - 123HC</v>
      </c>
    </row>
    <row r="90" spans="1:28" x14ac:dyDescent="0.25">
      <c r="A90" s="16" t="s">
        <v>214</v>
      </c>
      <c r="B90" s="16" t="s">
        <v>271</v>
      </c>
      <c r="C90" s="17" t="s">
        <v>312</v>
      </c>
      <c r="D90" s="16" t="s">
        <v>313</v>
      </c>
      <c r="E90" s="16" t="s">
        <v>314</v>
      </c>
      <c r="F90" s="18">
        <v>-6440</v>
      </c>
      <c r="G90" s="18">
        <v>-5390</v>
      </c>
      <c r="H90" s="18">
        <v>-635</v>
      </c>
      <c r="I90" s="18">
        <v>0</v>
      </c>
      <c r="J90" s="19">
        <v>-4200</v>
      </c>
      <c r="K90" s="20">
        <v>1356</v>
      </c>
      <c r="L90" s="18">
        <v>-5600.5644444443997</v>
      </c>
      <c r="M90" s="21">
        <v>6956.5644444443997</v>
      </c>
      <c r="N90" s="22">
        <v>20.238804999999999</v>
      </c>
      <c r="O90" s="23">
        <v>-59.634425466215298</v>
      </c>
      <c r="P90" s="24">
        <v>79.873230466215304</v>
      </c>
      <c r="Q90" s="20">
        <v>-2844</v>
      </c>
      <c r="R90" s="18">
        <v>-11374.3422222222</v>
      </c>
      <c r="S90" s="21">
        <v>8530.3422222221998</v>
      </c>
      <c r="T90" s="25">
        <v>-18.467531999999999</v>
      </c>
      <c r="U90" s="23">
        <v>-57.477457779424199</v>
      </c>
      <c r="V90" s="24">
        <v>39.009925779424201</v>
      </c>
      <c r="W90" s="20">
        <v>-7280</v>
      </c>
      <c r="X90" s="21">
        <v>4436</v>
      </c>
      <c r="Y90" s="26"/>
      <c r="Z90" s="14"/>
      <c r="AA90" s="14" t="s">
        <v>10</v>
      </c>
      <c r="AB90" s="15" t="str">
        <f t="shared" si="1"/>
        <v>Richmond SR - 5173HC</v>
      </c>
    </row>
    <row r="91" spans="1:28" x14ac:dyDescent="0.25">
      <c r="A91" s="16" t="s">
        <v>215</v>
      </c>
      <c r="B91" s="16" t="s">
        <v>271</v>
      </c>
      <c r="C91" s="17" t="s">
        <v>312</v>
      </c>
      <c r="D91" s="16" t="s">
        <v>313</v>
      </c>
      <c r="E91" s="16" t="s">
        <v>314</v>
      </c>
      <c r="F91" s="18">
        <v>0</v>
      </c>
      <c r="G91" s="18">
        <v>0</v>
      </c>
      <c r="H91" s="18">
        <v>0</v>
      </c>
      <c r="I91" s="18">
        <v>0</v>
      </c>
      <c r="J91" s="19">
        <v>0</v>
      </c>
      <c r="K91" s="20">
        <v>0</v>
      </c>
      <c r="L91" s="18">
        <v>0</v>
      </c>
      <c r="M91" s="21">
        <v>0</v>
      </c>
      <c r="N91" s="22">
        <v>0</v>
      </c>
      <c r="O91" s="23">
        <v>0</v>
      </c>
      <c r="P91" s="24">
        <v>0</v>
      </c>
      <c r="Q91" s="20">
        <v>0</v>
      </c>
      <c r="R91" s="18">
        <v>0</v>
      </c>
      <c r="S91" s="21">
        <v>0</v>
      </c>
      <c r="T91" s="25">
        <v>0</v>
      </c>
      <c r="U91" s="23">
        <v>0</v>
      </c>
      <c r="V91" s="24">
        <v>0</v>
      </c>
      <c r="W91" s="20">
        <v>0</v>
      </c>
      <c r="X91" s="21">
        <v>0</v>
      </c>
      <c r="Y91" s="26"/>
      <c r="Z91" s="14"/>
      <c r="AA91" s="14" t="s">
        <v>10</v>
      </c>
      <c r="AB91" s="15" t="str">
        <f t="shared" si="1"/>
        <v>Romeo - 2512HC</v>
      </c>
    </row>
    <row r="92" spans="1:28" x14ac:dyDescent="0.25">
      <c r="A92" s="16" t="s">
        <v>217</v>
      </c>
      <c r="B92" s="16" t="s">
        <v>271</v>
      </c>
      <c r="C92" s="17" t="s">
        <v>312</v>
      </c>
      <c r="D92" s="16" t="s">
        <v>313</v>
      </c>
      <c r="E92" s="16" t="s">
        <v>314</v>
      </c>
      <c r="F92" s="18">
        <v>0</v>
      </c>
      <c r="G92" s="18">
        <v>0</v>
      </c>
      <c r="H92" s="18">
        <v>0</v>
      </c>
      <c r="I92" s="18">
        <v>0</v>
      </c>
      <c r="J92" s="19">
        <v>0</v>
      </c>
      <c r="K92" s="20">
        <v>0</v>
      </c>
      <c r="L92" s="18">
        <v>0</v>
      </c>
      <c r="M92" s="21">
        <v>0</v>
      </c>
      <c r="N92" s="22">
        <v>0</v>
      </c>
      <c r="O92" s="23">
        <v>0</v>
      </c>
      <c r="P92" s="24">
        <v>0</v>
      </c>
      <c r="Q92" s="20">
        <v>0</v>
      </c>
      <c r="R92" s="18">
        <v>0</v>
      </c>
      <c r="S92" s="21">
        <v>0</v>
      </c>
      <c r="T92" s="25">
        <v>0</v>
      </c>
      <c r="U92" s="23">
        <v>0</v>
      </c>
      <c r="V92" s="24">
        <v>0</v>
      </c>
      <c r="W92" s="20">
        <v>4130</v>
      </c>
      <c r="X92" s="21">
        <v>-4130</v>
      </c>
      <c r="Y92" s="26"/>
      <c r="Z92" s="14"/>
      <c r="AA92" s="14" t="s">
        <v>10</v>
      </c>
      <c r="AB92" s="15" t="str">
        <f t="shared" si="1"/>
        <v>Scottsburg - 121HC</v>
      </c>
    </row>
    <row r="93" spans="1:28" x14ac:dyDescent="0.25">
      <c r="A93" s="16" t="s">
        <v>218</v>
      </c>
      <c r="B93" s="16" t="s">
        <v>271</v>
      </c>
      <c r="C93" s="17" t="s">
        <v>312</v>
      </c>
      <c r="D93" s="16" t="s">
        <v>313</v>
      </c>
      <c r="E93" s="16" t="s">
        <v>314</v>
      </c>
      <c r="F93" s="18">
        <v>0</v>
      </c>
      <c r="G93" s="18">
        <v>0</v>
      </c>
      <c r="H93" s="18">
        <v>0</v>
      </c>
      <c r="I93" s="18">
        <v>0</v>
      </c>
      <c r="J93" s="19">
        <v>0</v>
      </c>
      <c r="K93" s="20">
        <v>2400</v>
      </c>
      <c r="L93" s="18">
        <v>-949.74855555559998</v>
      </c>
      <c r="M93" s="21">
        <v>3349.7485555556</v>
      </c>
      <c r="N93" s="22">
        <v>19.047619000000001</v>
      </c>
      <c r="O93" s="23">
        <v>-5.3180183187184102</v>
      </c>
      <c r="P93" s="24">
        <v>24.365637318718399</v>
      </c>
      <c r="Q93" s="20">
        <v>2400</v>
      </c>
      <c r="R93" s="18">
        <v>-1928.8707777778</v>
      </c>
      <c r="S93" s="21">
        <v>4328.8707777778</v>
      </c>
      <c r="T93" s="25">
        <v>4.8582989999999997</v>
      </c>
      <c r="U93" s="23">
        <v>-5.1416519205774804</v>
      </c>
      <c r="V93" s="24">
        <v>9.9999509205774793</v>
      </c>
      <c r="W93" s="20">
        <v>-2505.14</v>
      </c>
      <c r="X93" s="21">
        <v>4905.1400000000003</v>
      </c>
      <c r="Y93" s="26"/>
      <c r="Z93" s="14"/>
      <c r="AA93" s="14" t="s">
        <v>10</v>
      </c>
      <c r="AB93" s="15" t="str">
        <f t="shared" si="1"/>
        <v>Seymour - 109HC</v>
      </c>
    </row>
    <row r="94" spans="1:28" x14ac:dyDescent="0.25">
      <c r="A94" s="16" t="s">
        <v>219</v>
      </c>
      <c r="B94" s="16" t="s">
        <v>271</v>
      </c>
      <c r="C94" s="17" t="s">
        <v>312</v>
      </c>
      <c r="D94" s="16" t="s">
        <v>313</v>
      </c>
      <c r="E94" s="16" t="s">
        <v>314</v>
      </c>
      <c r="F94" s="18">
        <v>2282</v>
      </c>
      <c r="G94" s="18">
        <v>-2282</v>
      </c>
      <c r="H94" s="18">
        <v>0</v>
      </c>
      <c r="I94" s="18">
        <v>1236</v>
      </c>
      <c r="J94" s="19">
        <v>0</v>
      </c>
      <c r="K94" s="20">
        <v>0</v>
      </c>
      <c r="L94" s="18">
        <v>0</v>
      </c>
      <c r="M94" s="21">
        <v>0</v>
      </c>
      <c r="N94" s="22">
        <v>0</v>
      </c>
      <c r="O94" s="23">
        <v>0</v>
      </c>
      <c r="P94" s="24">
        <v>0</v>
      </c>
      <c r="Q94" s="20">
        <v>0</v>
      </c>
      <c r="R94" s="18">
        <v>0</v>
      </c>
      <c r="S94" s="21">
        <v>0</v>
      </c>
      <c r="T94" s="25">
        <v>0</v>
      </c>
      <c r="U94" s="23">
        <v>0</v>
      </c>
      <c r="V94" s="24">
        <v>0</v>
      </c>
      <c r="W94" s="20">
        <v>-1360</v>
      </c>
      <c r="X94" s="21">
        <v>1360</v>
      </c>
      <c r="Y94" s="26"/>
      <c r="Z94" s="14"/>
      <c r="AA94" s="14" t="s">
        <v>10</v>
      </c>
      <c r="AB94" s="15" t="str">
        <f t="shared" si="1"/>
        <v>Shelbyville - 118HC</v>
      </c>
    </row>
    <row r="95" spans="1:28" x14ac:dyDescent="0.25">
      <c r="A95" s="16" t="s">
        <v>221</v>
      </c>
      <c r="B95" s="16" t="s">
        <v>271</v>
      </c>
      <c r="C95" s="17" t="s">
        <v>312</v>
      </c>
      <c r="D95" s="16" t="s">
        <v>313</v>
      </c>
      <c r="E95" s="16" t="s">
        <v>314</v>
      </c>
      <c r="F95" s="18">
        <v>-6111.82</v>
      </c>
      <c r="G95" s="18">
        <v>-5856.52</v>
      </c>
      <c r="H95" s="18">
        <v>-5667.6</v>
      </c>
      <c r="I95" s="18">
        <v>-6176.52</v>
      </c>
      <c r="J95" s="19">
        <v>-3939.58</v>
      </c>
      <c r="K95" s="20">
        <v>-4077.04</v>
      </c>
      <c r="L95" s="18">
        <v>-2734.8072222221999</v>
      </c>
      <c r="M95" s="21">
        <v>-1342.2327777778</v>
      </c>
      <c r="N95" s="22">
        <v>-17.960528</v>
      </c>
      <c r="O95" s="23">
        <v>-10.257301319237101</v>
      </c>
      <c r="P95" s="24">
        <v>-7.7032266807629002</v>
      </c>
      <c r="Q95" s="20">
        <v>-8016.62</v>
      </c>
      <c r="R95" s="18">
        <v>-5554.1961111111004</v>
      </c>
      <c r="S95" s="21">
        <v>-2462.4238888888999</v>
      </c>
      <c r="T95" s="25">
        <v>-18.261092999999999</v>
      </c>
      <c r="U95" s="23">
        <v>-9.8862963615083395</v>
      </c>
      <c r="V95" s="24">
        <v>-8.3747966384916506</v>
      </c>
      <c r="W95" s="20">
        <v>0</v>
      </c>
      <c r="X95" s="21">
        <v>-8016.62</v>
      </c>
      <c r="Y95" s="26"/>
      <c r="Z95" s="14"/>
      <c r="AA95" s="14" t="s">
        <v>10</v>
      </c>
      <c r="AB95" s="15" t="str">
        <f t="shared" si="1"/>
        <v>South Bend - 5169HC</v>
      </c>
    </row>
    <row r="96" spans="1:28" x14ac:dyDescent="0.25">
      <c r="A96" s="16" t="s">
        <v>279</v>
      </c>
      <c r="B96" s="16" t="s">
        <v>271</v>
      </c>
      <c r="C96" s="17" t="s">
        <v>312</v>
      </c>
      <c r="D96" s="16" t="s">
        <v>313</v>
      </c>
      <c r="E96" s="16" t="s">
        <v>314</v>
      </c>
      <c r="F96" s="18">
        <v>0</v>
      </c>
      <c r="G96" s="18">
        <v>0</v>
      </c>
      <c r="H96" s="18">
        <v>0</v>
      </c>
      <c r="I96" s="18">
        <v>0</v>
      </c>
      <c r="J96" s="19">
        <v>0</v>
      </c>
      <c r="K96" s="20">
        <v>0</v>
      </c>
      <c r="L96" s="18">
        <v>0</v>
      </c>
      <c r="M96" s="21">
        <v>0</v>
      </c>
      <c r="N96" s="22">
        <v>0</v>
      </c>
      <c r="O96" s="23">
        <v>0</v>
      </c>
      <c r="P96" s="24">
        <v>0</v>
      </c>
      <c r="Q96" s="20">
        <v>0</v>
      </c>
      <c r="R96" s="18">
        <v>0</v>
      </c>
      <c r="S96" s="21">
        <v>0</v>
      </c>
      <c r="T96" s="25">
        <v>0</v>
      </c>
      <c r="U96" s="23">
        <v>0</v>
      </c>
      <c r="V96" s="24">
        <v>0</v>
      </c>
      <c r="W96" s="20">
        <v>315</v>
      </c>
      <c r="X96" s="21">
        <v>-315</v>
      </c>
      <c r="Y96" s="26"/>
      <c r="Z96" s="14"/>
      <c r="AA96" s="14" t="s">
        <v>10</v>
      </c>
      <c r="AB96" s="15" t="str">
        <f t="shared" si="1"/>
        <v>Springfield FG - 401HC</v>
      </c>
    </row>
    <row r="97" spans="1:28" x14ac:dyDescent="0.25">
      <c r="A97" s="16" t="s">
        <v>222</v>
      </c>
      <c r="B97" s="16" t="s">
        <v>271</v>
      </c>
      <c r="C97" s="17" t="s">
        <v>312</v>
      </c>
      <c r="D97" s="16" t="s">
        <v>313</v>
      </c>
      <c r="E97" s="16" t="s">
        <v>314</v>
      </c>
      <c r="F97" s="18">
        <v>-3910</v>
      </c>
      <c r="G97" s="18">
        <v>-309.95</v>
      </c>
      <c r="H97" s="18">
        <v>-2377.6999999999998</v>
      </c>
      <c r="I97" s="18">
        <v>0</v>
      </c>
      <c r="J97" s="19">
        <v>-520</v>
      </c>
      <c r="K97" s="20">
        <v>0</v>
      </c>
      <c r="L97" s="18">
        <v>-295.0416666667</v>
      </c>
      <c r="M97" s="21">
        <v>295.0416666667</v>
      </c>
      <c r="N97" s="22">
        <v>0</v>
      </c>
      <c r="O97" s="23">
        <v>-1.1221859838700601</v>
      </c>
      <c r="P97" s="24">
        <v>1.1221859838700601</v>
      </c>
      <c r="Q97" s="20">
        <v>-520</v>
      </c>
      <c r="R97" s="18">
        <v>-599.20833333329995</v>
      </c>
      <c r="S97" s="21">
        <v>79.208333333299905</v>
      </c>
      <c r="T97" s="25">
        <v>-0.72625600000000001</v>
      </c>
      <c r="U97" s="23">
        <v>-1.0815966952692999</v>
      </c>
      <c r="V97" s="24">
        <v>0.35534069526929701</v>
      </c>
      <c r="W97" s="20">
        <v>-2243.87</v>
      </c>
      <c r="X97" s="21">
        <v>1723.87</v>
      </c>
      <c r="Y97" s="26"/>
      <c r="Z97" s="14"/>
      <c r="AA97" s="14" t="s">
        <v>10</v>
      </c>
      <c r="AB97" s="15" t="str">
        <f t="shared" si="1"/>
        <v>Springfield WG - 2429HC</v>
      </c>
    </row>
    <row r="98" spans="1:28" x14ac:dyDescent="0.25">
      <c r="A98" s="16" t="s">
        <v>226</v>
      </c>
      <c r="B98" s="16" t="s">
        <v>271</v>
      </c>
      <c r="C98" s="17" t="s">
        <v>312</v>
      </c>
      <c r="D98" s="16" t="s">
        <v>313</v>
      </c>
      <c r="E98" s="16" t="s">
        <v>314</v>
      </c>
      <c r="F98" s="18">
        <v>0</v>
      </c>
      <c r="G98" s="18">
        <v>0</v>
      </c>
      <c r="H98" s="18">
        <v>0</v>
      </c>
      <c r="I98" s="18">
        <v>-1900</v>
      </c>
      <c r="J98" s="19">
        <v>-1329.99</v>
      </c>
      <c r="K98" s="20">
        <v>0</v>
      </c>
      <c r="L98" s="18">
        <v>0</v>
      </c>
      <c r="M98" s="21">
        <v>0</v>
      </c>
      <c r="N98" s="22">
        <v>0</v>
      </c>
      <c r="O98" s="23">
        <v>0</v>
      </c>
      <c r="P98" s="24">
        <v>0</v>
      </c>
      <c r="Q98" s="20">
        <v>-1329.99</v>
      </c>
      <c r="R98" s="18">
        <v>0</v>
      </c>
      <c r="S98" s="21">
        <v>-1329.99</v>
      </c>
      <c r="T98" s="25">
        <v>-1.944429</v>
      </c>
      <c r="U98" s="23">
        <v>0</v>
      </c>
      <c r="V98" s="24">
        <v>-1.944429</v>
      </c>
      <c r="W98" s="20">
        <v>0</v>
      </c>
      <c r="X98" s="21">
        <v>-1329.99</v>
      </c>
      <c r="Y98" s="26"/>
      <c r="Z98" s="14"/>
      <c r="AA98" s="14" t="s">
        <v>10</v>
      </c>
      <c r="AB98" s="15" t="str">
        <f t="shared" si="1"/>
        <v>Sylvania - 2427HC</v>
      </c>
    </row>
    <row r="99" spans="1:28" x14ac:dyDescent="0.25">
      <c r="A99" s="16" t="s">
        <v>228</v>
      </c>
      <c r="B99" s="16" t="s">
        <v>271</v>
      </c>
      <c r="C99" s="17" t="s">
        <v>312</v>
      </c>
      <c r="D99" s="16" t="s">
        <v>313</v>
      </c>
      <c r="E99" s="16" t="s">
        <v>314</v>
      </c>
      <c r="F99" s="18">
        <v>-4620</v>
      </c>
      <c r="G99" s="18">
        <v>-5790</v>
      </c>
      <c r="H99" s="18">
        <v>-300</v>
      </c>
      <c r="I99" s="18">
        <v>-310</v>
      </c>
      <c r="J99" s="19">
        <v>-230</v>
      </c>
      <c r="K99" s="20">
        <v>-100</v>
      </c>
      <c r="L99" s="18">
        <v>-2806.5333333333001</v>
      </c>
      <c r="M99" s="21">
        <v>2706.5333333333001</v>
      </c>
      <c r="N99" s="22">
        <v>-0.35211199999999998</v>
      </c>
      <c r="O99" s="23">
        <v>-12.2023531962276</v>
      </c>
      <c r="P99" s="24">
        <v>11.8502411962276</v>
      </c>
      <c r="Q99" s="20">
        <v>-330</v>
      </c>
      <c r="R99" s="18">
        <v>-5699.8666666667004</v>
      </c>
      <c r="S99" s="21">
        <v>5369.8666666667004</v>
      </c>
      <c r="T99" s="25">
        <v>-0.49180299999999999</v>
      </c>
      <c r="U99" s="23">
        <v>-11.807642755862</v>
      </c>
      <c r="V99" s="24">
        <v>11.315839755861999</v>
      </c>
      <c r="W99" s="20">
        <v>0</v>
      </c>
      <c r="X99" s="21">
        <v>-330</v>
      </c>
      <c r="Y99" s="26"/>
      <c r="Z99" s="14"/>
      <c r="AA99" s="14" t="s">
        <v>10</v>
      </c>
      <c r="AB99" s="15" t="str">
        <f t="shared" si="1"/>
        <v>Tell City - 103HC</v>
      </c>
    </row>
    <row r="100" spans="1:28" x14ac:dyDescent="0.25">
      <c r="A100" s="16" t="s">
        <v>229</v>
      </c>
      <c r="B100" s="16" t="s">
        <v>271</v>
      </c>
      <c r="C100" s="17" t="s">
        <v>312</v>
      </c>
      <c r="D100" s="16" t="s">
        <v>313</v>
      </c>
      <c r="E100" s="16" t="s">
        <v>314</v>
      </c>
      <c r="F100" s="18">
        <v>-5465.4</v>
      </c>
      <c r="G100" s="18">
        <v>-3580.73</v>
      </c>
      <c r="H100" s="18">
        <v>-2674.61</v>
      </c>
      <c r="I100" s="18">
        <v>0.01</v>
      </c>
      <c r="J100" s="19">
        <v>-2279.81</v>
      </c>
      <c r="K100" s="20">
        <v>0</v>
      </c>
      <c r="L100" s="18">
        <v>-2539.4675444444001</v>
      </c>
      <c r="M100" s="21">
        <v>2539.4675444444001</v>
      </c>
      <c r="N100" s="22">
        <v>0</v>
      </c>
      <c r="O100" s="23">
        <v>-10.7653639758729</v>
      </c>
      <c r="P100" s="24">
        <v>10.7653639758729</v>
      </c>
      <c r="Q100" s="20">
        <v>-2279.81</v>
      </c>
      <c r="R100" s="18">
        <v>-5157.4753222221998</v>
      </c>
      <c r="S100" s="21">
        <v>2877.6653222221998</v>
      </c>
      <c r="T100" s="25">
        <v>-5.4803119999999996</v>
      </c>
      <c r="U100" s="23">
        <v>-10.3759824726395</v>
      </c>
      <c r="V100" s="24">
        <v>4.8956704726394902</v>
      </c>
      <c r="W100" s="20">
        <v>-4079.97</v>
      </c>
      <c r="X100" s="21">
        <v>1800.16</v>
      </c>
      <c r="Y100" s="26"/>
      <c r="Z100" s="14"/>
      <c r="AA100" s="14" t="s">
        <v>10</v>
      </c>
      <c r="AB100" s="15" t="str">
        <f t="shared" si="1"/>
        <v>Terre Haute CC - 129HC</v>
      </c>
    </row>
    <row r="101" spans="1:28" x14ac:dyDescent="0.25">
      <c r="A101" s="16" t="s">
        <v>230</v>
      </c>
      <c r="B101" s="16" t="s">
        <v>271</v>
      </c>
      <c r="C101" s="17" t="s">
        <v>312</v>
      </c>
      <c r="D101" s="16" t="s">
        <v>313</v>
      </c>
      <c r="E101" s="16" t="s">
        <v>314</v>
      </c>
      <c r="F101" s="18">
        <v>0</v>
      </c>
      <c r="G101" s="18">
        <v>0</v>
      </c>
      <c r="H101" s="18">
        <v>0</v>
      </c>
      <c r="I101" s="18">
        <v>0</v>
      </c>
      <c r="J101" s="19">
        <v>0</v>
      </c>
      <c r="K101" s="20">
        <v>0</v>
      </c>
      <c r="L101" s="18">
        <v>0</v>
      </c>
      <c r="M101" s="21">
        <v>0</v>
      </c>
      <c r="N101" s="22">
        <v>0</v>
      </c>
      <c r="O101" s="23">
        <v>0</v>
      </c>
      <c r="P101" s="24">
        <v>0</v>
      </c>
      <c r="Q101" s="20">
        <v>0</v>
      </c>
      <c r="R101" s="18">
        <v>0</v>
      </c>
      <c r="S101" s="21">
        <v>0</v>
      </c>
      <c r="T101" s="25">
        <v>0</v>
      </c>
      <c r="U101" s="23">
        <v>0</v>
      </c>
      <c r="V101" s="24">
        <v>0</v>
      </c>
      <c r="W101" s="20">
        <v>-1280</v>
      </c>
      <c r="X101" s="21">
        <v>1280</v>
      </c>
      <c r="Y101" s="26"/>
      <c r="Z101" s="14"/>
      <c r="AA101" s="14" t="s">
        <v>10</v>
      </c>
      <c r="AB101" s="15" t="str">
        <f t="shared" si="1"/>
        <v>Terre Haute HC - 5163HC</v>
      </c>
    </row>
    <row r="102" spans="1:28" x14ac:dyDescent="0.25">
      <c r="A102" s="16" t="s">
        <v>231</v>
      </c>
      <c r="B102" s="16" t="s">
        <v>271</v>
      </c>
      <c r="C102" s="17" t="s">
        <v>312</v>
      </c>
      <c r="D102" s="16" t="s">
        <v>313</v>
      </c>
      <c r="E102" s="16" t="s">
        <v>314</v>
      </c>
      <c r="F102" s="18">
        <v>-11955.88</v>
      </c>
      <c r="G102" s="18">
        <v>-15835.73</v>
      </c>
      <c r="H102" s="18">
        <v>-15442.71</v>
      </c>
      <c r="I102" s="18">
        <v>-855.36</v>
      </c>
      <c r="J102" s="19">
        <v>0</v>
      </c>
      <c r="K102" s="20">
        <v>0</v>
      </c>
      <c r="L102" s="18">
        <v>0</v>
      </c>
      <c r="M102" s="21">
        <v>0</v>
      </c>
      <c r="N102" s="22">
        <v>0</v>
      </c>
      <c r="O102" s="23">
        <v>0</v>
      </c>
      <c r="P102" s="24">
        <v>0</v>
      </c>
      <c r="Q102" s="20">
        <v>0</v>
      </c>
      <c r="R102" s="18">
        <v>0</v>
      </c>
      <c r="S102" s="21">
        <v>0</v>
      </c>
      <c r="T102" s="25">
        <v>0</v>
      </c>
      <c r="U102" s="23">
        <v>0</v>
      </c>
      <c r="V102" s="24">
        <v>0</v>
      </c>
      <c r="W102" s="20">
        <v>-2402</v>
      </c>
      <c r="X102" s="21">
        <v>2402</v>
      </c>
      <c r="Y102" s="26"/>
      <c r="Z102" s="14"/>
      <c r="AA102" s="14" t="s">
        <v>10</v>
      </c>
      <c r="AB102" s="15" t="str">
        <f t="shared" si="1"/>
        <v>Tiffin - 435HC</v>
      </c>
    </row>
    <row r="103" spans="1:28" x14ac:dyDescent="0.25">
      <c r="A103" s="16" t="s">
        <v>234</v>
      </c>
      <c r="B103" s="16" t="s">
        <v>271</v>
      </c>
      <c r="C103" s="17" t="s">
        <v>312</v>
      </c>
      <c r="D103" s="16" t="s">
        <v>313</v>
      </c>
      <c r="E103" s="16" t="s">
        <v>314</v>
      </c>
      <c r="F103" s="18">
        <v>0</v>
      </c>
      <c r="G103" s="18">
        <v>0</v>
      </c>
      <c r="H103" s="18">
        <v>0</v>
      </c>
      <c r="I103" s="18">
        <v>0</v>
      </c>
      <c r="J103" s="19">
        <v>0</v>
      </c>
      <c r="K103" s="20">
        <v>0</v>
      </c>
      <c r="L103" s="18">
        <v>0</v>
      </c>
      <c r="M103" s="21">
        <v>0</v>
      </c>
      <c r="N103" s="22">
        <v>0</v>
      </c>
      <c r="O103" s="23">
        <v>0</v>
      </c>
      <c r="P103" s="24">
        <v>0</v>
      </c>
      <c r="Q103" s="20">
        <v>0</v>
      </c>
      <c r="R103" s="18">
        <v>0</v>
      </c>
      <c r="S103" s="21">
        <v>0</v>
      </c>
      <c r="T103" s="25">
        <v>0</v>
      </c>
      <c r="U103" s="23">
        <v>0</v>
      </c>
      <c r="V103" s="24">
        <v>0</v>
      </c>
      <c r="W103" s="20">
        <v>0</v>
      </c>
      <c r="X103" s="21">
        <v>0</v>
      </c>
      <c r="Y103" s="26"/>
      <c r="Z103" s="14"/>
      <c r="AA103" s="14" t="s">
        <v>10</v>
      </c>
      <c r="AB103" s="15" t="str">
        <f t="shared" si="1"/>
        <v>Union Township - 434HC</v>
      </c>
    </row>
    <row r="104" spans="1:28" x14ac:dyDescent="0.25">
      <c r="A104" s="16" t="s">
        <v>235</v>
      </c>
      <c r="B104" s="16" t="s">
        <v>271</v>
      </c>
      <c r="C104" s="17" t="s">
        <v>312</v>
      </c>
      <c r="D104" s="16" t="s">
        <v>313</v>
      </c>
      <c r="E104" s="16" t="s">
        <v>314</v>
      </c>
      <c r="F104" s="18">
        <v>0</v>
      </c>
      <c r="G104" s="18">
        <v>-500</v>
      </c>
      <c r="H104" s="18">
        <v>0</v>
      </c>
      <c r="I104" s="18">
        <v>0</v>
      </c>
      <c r="J104" s="19">
        <v>0</v>
      </c>
      <c r="K104" s="20">
        <v>0</v>
      </c>
      <c r="L104" s="18">
        <v>0</v>
      </c>
      <c r="M104" s="21">
        <v>0</v>
      </c>
      <c r="N104" s="22">
        <v>0</v>
      </c>
      <c r="O104" s="23">
        <v>0</v>
      </c>
      <c r="P104" s="24">
        <v>0</v>
      </c>
      <c r="Q104" s="20">
        <v>0</v>
      </c>
      <c r="R104" s="18">
        <v>0</v>
      </c>
      <c r="S104" s="21">
        <v>0</v>
      </c>
      <c r="T104" s="25">
        <v>0</v>
      </c>
      <c r="U104" s="23">
        <v>0</v>
      </c>
      <c r="V104" s="24">
        <v>0</v>
      </c>
      <c r="W104" s="20">
        <v>-190.91</v>
      </c>
      <c r="X104" s="21">
        <v>190.91</v>
      </c>
      <c r="Y104" s="26"/>
      <c r="Z104" s="14"/>
      <c r="AA104" s="14" t="s">
        <v>10</v>
      </c>
      <c r="AB104" s="15" t="str">
        <f t="shared" si="1"/>
        <v>Valparaiso - 139HC</v>
      </c>
    </row>
    <row r="105" spans="1:28" x14ac:dyDescent="0.25">
      <c r="A105" s="16" t="s">
        <v>236</v>
      </c>
      <c r="B105" s="16" t="s">
        <v>271</v>
      </c>
      <c r="C105" s="17" t="s">
        <v>312</v>
      </c>
      <c r="D105" s="16" t="s">
        <v>313</v>
      </c>
      <c r="E105" s="16" t="s">
        <v>314</v>
      </c>
      <c r="F105" s="18">
        <v>0</v>
      </c>
      <c r="G105" s="18">
        <v>0</v>
      </c>
      <c r="H105" s="18">
        <v>0</v>
      </c>
      <c r="I105" s="18">
        <v>-22469.9</v>
      </c>
      <c r="J105" s="19">
        <v>3214.7</v>
      </c>
      <c r="K105" s="20">
        <v>0</v>
      </c>
      <c r="L105" s="18">
        <v>0</v>
      </c>
      <c r="M105" s="21">
        <v>0</v>
      </c>
      <c r="N105" s="22">
        <v>0</v>
      </c>
      <c r="O105" s="23">
        <v>0</v>
      </c>
      <c r="P105" s="24">
        <v>0</v>
      </c>
      <c r="Q105" s="20">
        <v>3214.7</v>
      </c>
      <c r="R105" s="18">
        <v>0</v>
      </c>
      <c r="S105" s="21">
        <v>3214.7</v>
      </c>
      <c r="T105" s="25">
        <v>4.5086950000000003</v>
      </c>
      <c r="U105" s="23">
        <v>0</v>
      </c>
      <c r="V105" s="24">
        <v>4.5086950000000003</v>
      </c>
      <c r="W105" s="20">
        <v>-299</v>
      </c>
      <c r="X105" s="21">
        <v>3513.7</v>
      </c>
      <c r="Y105" s="26"/>
      <c r="Z105" s="14"/>
      <c r="AA105" s="14" t="s">
        <v>10</v>
      </c>
      <c r="AB105" s="15" t="str">
        <f t="shared" si="1"/>
        <v>Vincennes - 131HC</v>
      </c>
    </row>
    <row r="106" spans="1:28" x14ac:dyDescent="0.25">
      <c r="A106" s="16" t="s">
        <v>237</v>
      </c>
      <c r="B106" s="16" t="s">
        <v>271</v>
      </c>
      <c r="C106" s="17" t="s">
        <v>312</v>
      </c>
      <c r="D106" s="16" t="s">
        <v>313</v>
      </c>
      <c r="E106" s="16" t="s">
        <v>314</v>
      </c>
      <c r="F106" s="18">
        <v>-4040</v>
      </c>
      <c r="G106" s="18">
        <v>-4873</v>
      </c>
      <c r="H106" s="18">
        <v>-4290</v>
      </c>
      <c r="I106" s="18">
        <v>-4685.5</v>
      </c>
      <c r="J106" s="19">
        <v>-4564</v>
      </c>
      <c r="K106" s="20">
        <v>-3790</v>
      </c>
      <c r="L106" s="18">
        <v>-1769.9266666666999</v>
      </c>
      <c r="M106" s="21">
        <v>-2020.0733333333001</v>
      </c>
      <c r="N106" s="22">
        <v>-7.2605360000000001</v>
      </c>
      <c r="O106" s="23">
        <v>-4.42010328638505</v>
      </c>
      <c r="P106" s="24">
        <v>-2.8404327136149501</v>
      </c>
      <c r="Q106" s="20">
        <v>-8354</v>
      </c>
      <c r="R106" s="18">
        <v>-3594.5933333333001</v>
      </c>
      <c r="S106" s="21">
        <v>-4759.4066666667004</v>
      </c>
      <c r="T106" s="25">
        <v>-7.2580359999999997</v>
      </c>
      <c r="U106" s="23">
        <v>-4.2602288533460202</v>
      </c>
      <c r="V106" s="24">
        <v>-2.99780714665398</v>
      </c>
      <c r="W106" s="20">
        <v>0</v>
      </c>
      <c r="X106" s="21">
        <v>-8354</v>
      </c>
      <c r="Y106" s="26"/>
      <c r="Z106" s="14"/>
      <c r="AA106" s="14" t="s">
        <v>10</v>
      </c>
      <c r="AB106" s="15" t="str">
        <f t="shared" si="1"/>
        <v>Wabash - 5170HC</v>
      </c>
    </row>
    <row r="107" spans="1:28" x14ac:dyDescent="0.25">
      <c r="A107" s="16" t="s">
        <v>240</v>
      </c>
      <c r="B107" s="16" t="s">
        <v>271</v>
      </c>
      <c r="C107" s="17" t="s">
        <v>312</v>
      </c>
      <c r="D107" s="16" t="s">
        <v>313</v>
      </c>
      <c r="E107" s="16" t="s">
        <v>314</v>
      </c>
      <c r="F107" s="18">
        <v>0</v>
      </c>
      <c r="G107" s="18">
        <v>0</v>
      </c>
      <c r="H107" s="18">
        <v>0</v>
      </c>
      <c r="I107" s="18">
        <v>0</v>
      </c>
      <c r="J107" s="19">
        <v>0</v>
      </c>
      <c r="K107" s="20">
        <v>0</v>
      </c>
      <c r="L107" s="18">
        <v>0</v>
      </c>
      <c r="M107" s="21">
        <v>0</v>
      </c>
      <c r="N107" s="22">
        <v>0</v>
      </c>
      <c r="O107" s="23">
        <v>0</v>
      </c>
      <c r="P107" s="24">
        <v>0</v>
      </c>
      <c r="Q107" s="20">
        <v>0</v>
      </c>
      <c r="R107" s="18">
        <v>0</v>
      </c>
      <c r="S107" s="21">
        <v>0</v>
      </c>
      <c r="T107" s="25">
        <v>0</v>
      </c>
      <c r="U107" s="23">
        <v>0</v>
      </c>
      <c r="V107" s="24">
        <v>0</v>
      </c>
      <c r="W107" s="20">
        <v>-689</v>
      </c>
      <c r="X107" s="21">
        <v>689</v>
      </c>
      <c r="Y107" s="26"/>
      <c r="Z107" s="14"/>
      <c r="AA107" s="14" t="s">
        <v>10</v>
      </c>
      <c r="AB107" s="15" t="str">
        <f t="shared" si="1"/>
        <v>Warsaw - 302HC</v>
      </c>
    </row>
    <row r="108" spans="1:28" x14ac:dyDescent="0.25">
      <c r="A108" s="16" t="s">
        <v>242</v>
      </c>
      <c r="B108" s="16" t="s">
        <v>271</v>
      </c>
      <c r="C108" s="17" t="s">
        <v>312</v>
      </c>
      <c r="D108" s="16" t="s">
        <v>313</v>
      </c>
      <c r="E108" s="16" t="s">
        <v>314</v>
      </c>
      <c r="F108" s="18">
        <v>0</v>
      </c>
      <c r="G108" s="18">
        <v>0</v>
      </c>
      <c r="H108" s="18">
        <v>0</v>
      </c>
      <c r="I108" s="18">
        <v>-428.65</v>
      </c>
      <c r="J108" s="19">
        <v>-437.25</v>
      </c>
      <c r="K108" s="20">
        <v>834</v>
      </c>
      <c r="L108" s="18">
        <v>0</v>
      </c>
      <c r="M108" s="21">
        <v>834</v>
      </c>
      <c r="N108" s="22">
        <v>6.7258060000000004</v>
      </c>
      <c r="O108" s="23">
        <v>0</v>
      </c>
      <c r="P108" s="24">
        <v>6.7258060000000004</v>
      </c>
      <c r="Q108" s="20">
        <v>396.75</v>
      </c>
      <c r="R108" s="18">
        <v>0</v>
      </c>
      <c r="S108" s="21">
        <v>396.75</v>
      </c>
      <c r="T108" s="25">
        <v>1.5806770000000001</v>
      </c>
      <c r="U108" s="23">
        <v>0</v>
      </c>
      <c r="V108" s="24">
        <v>1.5806770000000001</v>
      </c>
      <c r="W108" s="20">
        <v>0</v>
      </c>
      <c r="X108" s="21">
        <v>396.75</v>
      </c>
      <c r="Y108" s="26"/>
      <c r="Z108" s="14"/>
      <c r="AA108" s="14" t="s">
        <v>10</v>
      </c>
      <c r="AB108" s="15" t="str">
        <f t="shared" si="1"/>
        <v>Washington - 305HC</v>
      </c>
    </row>
    <row r="109" spans="1:28" x14ac:dyDescent="0.25">
      <c r="A109" s="16" t="s">
        <v>243</v>
      </c>
      <c r="B109" s="16" t="s">
        <v>271</v>
      </c>
      <c r="C109" s="17" t="s">
        <v>312</v>
      </c>
      <c r="D109" s="16" t="s">
        <v>313</v>
      </c>
      <c r="E109" s="16" t="s">
        <v>314</v>
      </c>
      <c r="F109" s="18">
        <v>-1980</v>
      </c>
      <c r="G109" s="18">
        <v>2204</v>
      </c>
      <c r="H109" s="18">
        <v>-4354</v>
      </c>
      <c r="I109" s="18">
        <v>0</v>
      </c>
      <c r="J109" s="19">
        <v>0</v>
      </c>
      <c r="K109" s="20">
        <v>0</v>
      </c>
      <c r="L109" s="18">
        <v>-2537.3583333332999</v>
      </c>
      <c r="M109" s="21">
        <v>2537.3583333332999</v>
      </c>
      <c r="N109" s="22">
        <v>0</v>
      </c>
      <c r="O109" s="23">
        <v>-5.1021343530154599</v>
      </c>
      <c r="P109" s="24">
        <v>5.1021343530154599</v>
      </c>
      <c r="Q109" s="20">
        <v>0</v>
      </c>
      <c r="R109" s="18">
        <v>-5153.1916666667003</v>
      </c>
      <c r="S109" s="21">
        <v>5153.1916666667003</v>
      </c>
      <c r="T109" s="25">
        <v>0</v>
      </c>
      <c r="U109" s="23">
        <v>-4.91759096474469</v>
      </c>
      <c r="V109" s="24">
        <v>4.91759096474469</v>
      </c>
      <c r="W109" s="20">
        <v>0</v>
      </c>
      <c r="X109" s="21">
        <v>0</v>
      </c>
      <c r="Y109" s="26"/>
      <c r="Z109" s="14"/>
      <c r="AA109" s="14" t="s">
        <v>10</v>
      </c>
      <c r="AB109" s="15" t="str">
        <f t="shared" si="1"/>
        <v>Waunakee - 571HC</v>
      </c>
    </row>
    <row r="110" spans="1:28" x14ac:dyDescent="0.25">
      <c r="A110" s="16" t="s">
        <v>245</v>
      </c>
      <c r="B110" s="16" t="s">
        <v>271</v>
      </c>
      <c r="C110" s="17" t="s">
        <v>312</v>
      </c>
      <c r="D110" s="16" t="s">
        <v>313</v>
      </c>
      <c r="E110" s="16" t="s">
        <v>314</v>
      </c>
      <c r="F110" s="18">
        <v>0</v>
      </c>
      <c r="G110" s="18">
        <v>0</v>
      </c>
      <c r="H110" s="18">
        <v>-1000</v>
      </c>
      <c r="I110" s="18">
        <v>-500</v>
      </c>
      <c r="J110" s="19">
        <v>0</v>
      </c>
      <c r="K110" s="20">
        <v>0</v>
      </c>
      <c r="L110" s="18">
        <v>-258.6666666667</v>
      </c>
      <c r="M110" s="21">
        <v>258.6666666667</v>
      </c>
      <c r="N110" s="22">
        <v>0</v>
      </c>
      <c r="O110" s="23">
        <v>-1.2756585354933601</v>
      </c>
      <c r="P110" s="24">
        <v>1.2756585354933601</v>
      </c>
      <c r="Q110" s="20">
        <v>0</v>
      </c>
      <c r="R110" s="18">
        <v>-525.33333333329995</v>
      </c>
      <c r="S110" s="21">
        <v>525.33333333329995</v>
      </c>
      <c r="T110" s="25">
        <v>0</v>
      </c>
      <c r="U110" s="23">
        <v>-1.2295181691036099</v>
      </c>
      <c r="V110" s="24">
        <v>1.2295181691036099</v>
      </c>
      <c r="W110" s="20">
        <v>0</v>
      </c>
      <c r="X110" s="21">
        <v>0</v>
      </c>
      <c r="Y110" s="26"/>
      <c r="Z110" s="14"/>
      <c r="AA110" s="14" t="s">
        <v>10</v>
      </c>
      <c r="AB110" s="15" t="str">
        <f t="shared" si="1"/>
        <v>West Lafayette - 2135HC</v>
      </c>
    </row>
    <row r="111" spans="1:28" x14ac:dyDescent="0.25">
      <c r="A111" s="16" t="s">
        <v>246</v>
      </c>
      <c r="B111" s="16" t="s">
        <v>271</v>
      </c>
      <c r="C111" s="17" t="s">
        <v>312</v>
      </c>
      <c r="D111" s="16" t="s">
        <v>313</v>
      </c>
      <c r="E111" s="16" t="s">
        <v>314</v>
      </c>
      <c r="F111" s="18">
        <v>-2040</v>
      </c>
      <c r="G111" s="18">
        <v>-977.74</v>
      </c>
      <c r="H111" s="18">
        <v>-500</v>
      </c>
      <c r="I111" s="18">
        <v>-500</v>
      </c>
      <c r="J111" s="19">
        <v>-500</v>
      </c>
      <c r="K111" s="20">
        <v>-2040</v>
      </c>
      <c r="L111" s="18">
        <v>-439.73333333329998</v>
      </c>
      <c r="M111" s="21">
        <v>-1600.2666666667001</v>
      </c>
      <c r="N111" s="22">
        <v>-4.3128960000000003</v>
      </c>
      <c r="O111" s="23">
        <v>-1.16089398356558</v>
      </c>
      <c r="P111" s="24">
        <v>-3.15200201643442</v>
      </c>
      <c r="Q111" s="20">
        <v>-2540</v>
      </c>
      <c r="R111" s="18">
        <v>-893.06666666670003</v>
      </c>
      <c r="S111" s="21">
        <v>-1646.9333333333</v>
      </c>
      <c r="T111" s="25">
        <v>-2.3894630000000001</v>
      </c>
      <c r="U111" s="23">
        <v>-1.1189046327710099</v>
      </c>
      <c r="V111" s="24">
        <v>-1.27055836722899</v>
      </c>
      <c r="W111" s="20">
        <v>0</v>
      </c>
      <c r="X111" s="21">
        <v>-2540</v>
      </c>
      <c r="Y111" s="26"/>
      <c r="Z111" s="14"/>
      <c r="AA111" s="14" t="s">
        <v>10</v>
      </c>
      <c r="AB111" s="15" t="str">
        <f t="shared" si="1"/>
        <v>Westfield - 5171HC</v>
      </c>
    </row>
    <row r="112" spans="1:28" x14ac:dyDescent="0.25">
      <c r="A112" s="16" t="s">
        <v>248</v>
      </c>
      <c r="B112" s="16" t="s">
        <v>271</v>
      </c>
      <c r="C112" s="17" t="s">
        <v>312</v>
      </c>
      <c r="D112" s="16" t="s">
        <v>313</v>
      </c>
      <c r="E112" s="16" t="s">
        <v>314</v>
      </c>
      <c r="F112" s="18">
        <v>-2312.3000000000002</v>
      </c>
      <c r="G112" s="18">
        <v>-1338.7</v>
      </c>
      <c r="H112" s="18">
        <v>0</v>
      </c>
      <c r="I112" s="18">
        <v>0</v>
      </c>
      <c r="J112" s="19">
        <v>0</v>
      </c>
      <c r="K112" s="20">
        <v>0</v>
      </c>
      <c r="L112" s="18">
        <v>-898.02061111110004</v>
      </c>
      <c r="M112" s="21">
        <v>898.02061111110004</v>
      </c>
      <c r="N112" s="22">
        <v>0</v>
      </c>
      <c r="O112" s="23">
        <v>-1.7298239931242401</v>
      </c>
      <c r="P112" s="24">
        <v>1.7298239931242401</v>
      </c>
      <c r="Q112" s="20">
        <v>0</v>
      </c>
      <c r="R112" s="18">
        <v>-1823.8150555556001</v>
      </c>
      <c r="S112" s="21">
        <v>1823.8150555556001</v>
      </c>
      <c r="T112" s="25">
        <v>0</v>
      </c>
      <c r="U112" s="23">
        <v>-1.6672565343480099</v>
      </c>
      <c r="V112" s="24">
        <v>1.6672565343480099</v>
      </c>
      <c r="W112" s="20">
        <v>0</v>
      </c>
      <c r="X112" s="21">
        <v>0</v>
      </c>
      <c r="Y112" s="26"/>
      <c r="Z112" s="14"/>
      <c r="AA112" s="14" t="s">
        <v>10</v>
      </c>
      <c r="AB112" s="15" t="str">
        <f t="shared" si="1"/>
        <v>Willard - 2424HC</v>
      </c>
    </row>
    <row r="113" spans="1:28" x14ac:dyDescent="0.25">
      <c r="A113" s="16" t="s">
        <v>316</v>
      </c>
      <c r="B113" s="16" t="s">
        <v>271</v>
      </c>
      <c r="C113" s="17" t="s">
        <v>312</v>
      </c>
      <c r="D113" s="16" t="s">
        <v>313</v>
      </c>
      <c r="E113" s="16" t="s">
        <v>314</v>
      </c>
      <c r="F113" s="18">
        <v>-107496.54</v>
      </c>
      <c r="G113" s="18">
        <v>-157668.53</v>
      </c>
      <c r="H113" s="18">
        <v>-154459.26</v>
      </c>
      <c r="I113" s="18">
        <v>-105309.93</v>
      </c>
      <c r="J113" s="19">
        <v>-75420.28</v>
      </c>
      <c r="K113" s="20">
        <v>-57434.99</v>
      </c>
      <c r="L113" s="18">
        <v>-85001.952577777804</v>
      </c>
      <c r="M113" s="21">
        <v>27566.962577777798</v>
      </c>
      <c r="N113" s="22">
        <v>-1.5392749999999999</v>
      </c>
      <c r="O113" s="23">
        <v>-2.2741328385632098</v>
      </c>
      <c r="P113" s="24">
        <v>0.73485783856320797</v>
      </c>
      <c r="Q113" s="20">
        <v>-132855.26999999999</v>
      </c>
      <c r="R113" s="18">
        <v>-172457.903688889</v>
      </c>
      <c r="S113" s="21">
        <v>39602.633688889</v>
      </c>
      <c r="T113" s="25">
        <v>-1.6861729999999999</v>
      </c>
      <c r="U113" s="23">
        <v>-2.1917022582388501</v>
      </c>
      <c r="V113" s="24">
        <v>0.50552925823885397</v>
      </c>
      <c r="W113" s="20">
        <v>-164512.62</v>
      </c>
      <c r="X113" s="21">
        <v>31657.35</v>
      </c>
      <c r="Y113" s="26"/>
      <c r="Z113" s="14"/>
      <c r="AA113" s="14" t="s">
        <v>10</v>
      </c>
      <c r="AB113" s="15" t="str">
        <f t="shared" si="1"/>
        <v>Total CompanyHC</v>
      </c>
    </row>
    <row r="114" spans="1:28" s="38" customFormat="1" x14ac:dyDescent="0.25">
      <c r="A114" s="27" t="s">
        <v>9</v>
      </c>
      <c r="B114" s="27" t="s">
        <v>317</v>
      </c>
      <c r="C114" s="28" t="s">
        <v>318</v>
      </c>
      <c r="D114" s="27" t="s">
        <v>313</v>
      </c>
      <c r="E114" s="27" t="s">
        <v>314</v>
      </c>
      <c r="F114" s="29">
        <v>-5490</v>
      </c>
      <c r="G114" s="29">
        <v>-2490</v>
      </c>
      <c r="H114" s="29">
        <v>-2490</v>
      </c>
      <c r="I114" s="29">
        <v>-2490</v>
      </c>
      <c r="J114" s="30">
        <v>-270</v>
      </c>
      <c r="K114" s="31">
        <v>0</v>
      </c>
      <c r="L114" s="29">
        <v>-4166.6666666666997</v>
      </c>
      <c r="M114" s="32">
        <v>4166.6666666666997</v>
      </c>
      <c r="N114" s="33">
        <v>0</v>
      </c>
      <c r="O114" s="34">
        <v>-3.3649636764995798</v>
      </c>
      <c r="P114" s="35">
        <v>3.3649636764995798</v>
      </c>
      <c r="Q114" s="31">
        <v>-270</v>
      </c>
      <c r="R114" s="29">
        <v>-8333.3333333332994</v>
      </c>
      <c r="S114" s="32">
        <v>8063.3333333333003</v>
      </c>
      <c r="T114" s="36">
        <v>-0.105757</v>
      </c>
      <c r="U114" s="34">
        <v>-3.2034248434491901</v>
      </c>
      <c r="V114" s="35">
        <v>3.09766784344919</v>
      </c>
      <c r="W114" s="31">
        <v>-9807.4599999999991</v>
      </c>
      <c r="X114" s="32">
        <v>9537.4599999999991</v>
      </c>
      <c r="Y114" s="37"/>
      <c r="AA114" s="38" t="s">
        <v>16</v>
      </c>
      <c r="AB114" s="15" t="str">
        <f t="shared" si="1"/>
        <v>Anderson - 112AL</v>
      </c>
    </row>
    <row r="115" spans="1:28" x14ac:dyDescent="0.25">
      <c r="A115" s="39" t="s">
        <v>24</v>
      </c>
      <c r="B115" s="39" t="s">
        <v>317</v>
      </c>
      <c r="C115" s="40" t="s">
        <v>318</v>
      </c>
      <c r="D115" s="39" t="s">
        <v>313</v>
      </c>
      <c r="E115" s="39" t="s">
        <v>314</v>
      </c>
      <c r="F115" s="41">
        <v>-1818</v>
      </c>
      <c r="G115" s="41">
        <v>-2047</v>
      </c>
      <c r="H115" s="41">
        <v>-20102</v>
      </c>
      <c r="I115" s="41">
        <v>-2102</v>
      </c>
      <c r="J115" s="42">
        <v>-250</v>
      </c>
      <c r="K115" s="43">
        <v>-541.54999999999995</v>
      </c>
      <c r="L115" s="41">
        <v>-3750</v>
      </c>
      <c r="M115" s="44">
        <v>3208.45</v>
      </c>
      <c r="N115" s="45">
        <v>-0.55486599999999997</v>
      </c>
      <c r="O115" s="46">
        <v>-3.4340659340659299</v>
      </c>
      <c r="P115" s="47">
        <v>2.8791999340659302</v>
      </c>
      <c r="Q115" s="43">
        <v>-791.55</v>
      </c>
      <c r="R115" s="41">
        <v>-7500</v>
      </c>
      <c r="S115" s="44">
        <v>6708.45</v>
      </c>
      <c r="T115" s="48">
        <v>-0.37639</v>
      </c>
      <c r="U115" s="46">
        <v>-3.2594524119947801</v>
      </c>
      <c r="V115" s="47">
        <v>2.8830624119947799</v>
      </c>
      <c r="W115" s="43">
        <v>-3712.13</v>
      </c>
      <c r="X115" s="44">
        <v>2920.58</v>
      </c>
      <c r="Y115" s="49"/>
      <c r="AA115" s="15" t="s">
        <v>16</v>
      </c>
      <c r="AB115" s="15" t="str">
        <f t="shared" si="1"/>
        <v>Avon - 5166AL</v>
      </c>
    </row>
    <row r="116" spans="1:28" x14ac:dyDescent="0.25">
      <c r="A116" s="39" t="s">
        <v>28</v>
      </c>
      <c r="B116" s="39" t="s">
        <v>317</v>
      </c>
      <c r="C116" s="40" t="s">
        <v>318</v>
      </c>
      <c r="D116" s="39" t="s">
        <v>313</v>
      </c>
      <c r="E116" s="39" t="s">
        <v>314</v>
      </c>
      <c r="F116" s="41">
        <v>0</v>
      </c>
      <c r="G116" s="41">
        <v>-10161.290000000001</v>
      </c>
      <c r="H116" s="41">
        <v>-9000</v>
      </c>
      <c r="I116" s="41">
        <v>0</v>
      </c>
      <c r="J116" s="42">
        <v>0</v>
      </c>
      <c r="K116" s="43">
        <v>0</v>
      </c>
      <c r="L116" s="41">
        <v>0</v>
      </c>
      <c r="M116" s="44">
        <v>0</v>
      </c>
      <c r="N116" s="45">
        <v>0</v>
      </c>
      <c r="O116" s="46">
        <v>0</v>
      </c>
      <c r="P116" s="47">
        <v>0</v>
      </c>
      <c r="Q116" s="43">
        <v>0</v>
      </c>
      <c r="R116" s="41">
        <v>0</v>
      </c>
      <c r="S116" s="44">
        <v>0</v>
      </c>
      <c r="T116" s="48">
        <v>0</v>
      </c>
      <c r="U116" s="46">
        <v>0</v>
      </c>
      <c r="V116" s="47">
        <v>0</v>
      </c>
      <c r="W116" s="43">
        <v>0</v>
      </c>
      <c r="X116" s="44">
        <v>0</v>
      </c>
      <c r="Y116" s="49"/>
      <c r="AA116" s="15" t="s">
        <v>16</v>
      </c>
      <c r="AB116" s="15" t="str">
        <f t="shared" si="1"/>
        <v>Bardstown - 233AL</v>
      </c>
    </row>
    <row r="117" spans="1:28" x14ac:dyDescent="0.25">
      <c r="A117" s="39" t="s">
        <v>36</v>
      </c>
      <c r="B117" s="39" t="s">
        <v>317</v>
      </c>
      <c r="C117" s="40" t="s">
        <v>318</v>
      </c>
      <c r="D117" s="39" t="s">
        <v>313</v>
      </c>
      <c r="E117" s="39" t="s">
        <v>314</v>
      </c>
      <c r="F117" s="41">
        <v>0</v>
      </c>
      <c r="G117" s="41">
        <v>0</v>
      </c>
      <c r="H117" s="41">
        <v>0</v>
      </c>
      <c r="I117" s="41">
        <v>0</v>
      </c>
      <c r="J117" s="42">
        <v>0</v>
      </c>
      <c r="K117" s="43">
        <v>-580</v>
      </c>
      <c r="L117" s="41">
        <v>0</v>
      </c>
      <c r="M117" s="44">
        <v>-580</v>
      </c>
      <c r="N117" s="45">
        <v>-0.64017599999999997</v>
      </c>
      <c r="O117" s="46">
        <v>0</v>
      </c>
      <c r="P117" s="47">
        <v>-0.64017599999999997</v>
      </c>
      <c r="Q117" s="43">
        <v>-580</v>
      </c>
      <c r="R117" s="41">
        <v>0</v>
      </c>
      <c r="S117" s="44">
        <v>-580</v>
      </c>
      <c r="T117" s="48">
        <v>-0.30224000000000001</v>
      </c>
      <c r="U117" s="46">
        <v>0</v>
      </c>
      <c r="V117" s="47">
        <v>-0.30224000000000001</v>
      </c>
      <c r="W117" s="43">
        <v>0</v>
      </c>
      <c r="X117" s="44">
        <v>-580</v>
      </c>
      <c r="Y117" s="49"/>
      <c r="AA117" s="15" t="s">
        <v>16</v>
      </c>
      <c r="AB117" s="15" t="str">
        <f t="shared" si="1"/>
        <v>Batesville - 120AL</v>
      </c>
    </row>
    <row r="118" spans="1:28" x14ac:dyDescent="0.25">
      <c r="A118" s="39" t="s">
        <v>39</v>
      </c>
      <c r="B118" s="39" t="s">
        <v>317</v>
      </c>
      <c r="C118" s="40" t="s">
        <v>318</v>
      </c>
      <c r="D118" s="39" t="s">
        <v>313</v>
      </c>
      <c r="E118" s="39" t="s">
        <v>314</v>
      </c>
      <c r="F118" s="41">
        <v>-8000</v>
      </c>
      <c r="G118" s="41">
        <v>-3100</v>
      </c>
      <c r="H118" s="41">
        <v>0</v>
      </c>
      <c r="I118" s="41">
        <v>0</v>
      </c>
      <c r="J118" s="42">
        <v>0</v>
      </c>
      <c r="K118" s="43">
        <v>0</v>
      </c>
      <c r="L118" s="41">
        <v>-1293.3333333333001</v>
      </c>
      <c r="M118" s="44">
        <v>1293.3333333333001</v>
      </c>
      <c r="N118" s="45">
        <v>0</v>
      </c>
      <c r="O118" s="46">
        <v>-1.5109740330544601</v>
      </c>
      <c r="P118" s="47">
        <v>1.5109740330544601</v>
      </c>
      <c r="Q118" s="43">
        <v>0</v>
      </c>
      <c r="R118" s="41">
        <v>-2626.6666666667002</v>
      </c>
      <c r="S118" s="44">
        <v>2626.6666666667002</v>
      </c>
      <c r="T118" s="48">
        <v>0</v>
      </c>
      <c r="U118" s="46">
        <v>-1.4563223425351599</v>
      </c>
      <c r="V118" s="47">
        <v>1.4563223425351599</v>
      </c>
      <c r="W118" s="43">
        <v>0</v>
      </c>
      <c r="X118" s="44">
        <v>0</v>
      </c>
      <c r="Y118" s="49"/>
      <c r="AA118" s="15" t="s">
        <v>16</v>
      </c>
      <c r="AB118" s="15" t="str">
        <f t="shared" si="1"/>
        <v>Bedford - 115AL</v>
      </c>
    </row>
    <row r="119" spans="1:28" x14ac:dyDescent="0.25">
      <c r="A119" s="39" t="s">
        <v>42</v>
      </c>
      <c r="B119" s="39" t="s">
        <v>317</v>
      </c>
      <c r="C119" s="40" t="s">
        <v>318</v>
      </c>
      <c r="D119" s="39" t="s">
        <v>313</v>
      </c>
      <c r="E119" s="39" t="s">
        <v>314</v>
      </c>
      <c r="F119" s="41">
        <v>-5239</v>
      </c>
      <c r="G119" s="41">
        <v>-7239</v>
      </c>
      <c r="H119" s="41">
        <v>-1239</v>
      </c>
      <c r="I119" s="41">
        <v>-1239</v>
      </c>
      <c r="J119" s="42">
        <v>480.97</v>
      </c>
      <c r="K119" s="43">
        <v>-990</v>
      </c>
      <c r="L119" s="41">
        <v>-1201.83</v>
      </c>
      <c r="M119" s="44">
        <v>211.83</v>
      </c>
      <c r="N119" s="45">
        <v>-1.0867169999999999</v>
      </c>
      <c r="O119" s="46">
        <v>-1.3691387559808601</v>
      </c>
      <c r="P119" s="47">
        <v>0.282421755980861</v>
      </c>
      <c r="Q119" s="43">
        <v>-509.03</v>
      </c>
      <c r="R119" s="41">
        <v>-2440.83</v>
      </c>
      <c r="S119" s="44">
        <v>1931.8</v>
      </c>
      <c r="T119" s="48">
        <v>-0.262521</v>
      </c>
      <c r="U119" s="46">
        <v>-1.3196172248803799</v>
      </c>
      <c r="V119" s="47">
        <v>1.0570962248803799</v>
      </c>
      <c r="W119" s="43">
        <v>-6685.03</v>
      </c>
      <c r="X119" s="44">
        <v>6176</v>
      </c>
      <c r="Y119" s="49"/>
      <c r="AA119" s="15" t="s">
        <v>16</v>
      </c>
      <c r="AB119" s="15" t="str">
        <f t="shared" si="1"/>
        <v>Bellevue - 414AL</v>
      </c>
    </row>
    <row r="120" spans="1:28" x14ac:dyDescent="0.25">
      <c r="A120" s="39" t="s">
        <v>43</v>
      </c>
      <c r="B120" s="39" t="s">
        <v>317</v>
      </c>
      <c r="C120" s="40" t="s">
        <v>318</v>
      </c>
      <c r="D120" s="39" t="s">
        <v>313</v>
      </c>
      <c r="E120" s="39" t="s">
        <v>314</v>
      </c>
      <c r="F120" s="41">
        <v>0</v>
      </c>
      <c r="G120" s="41">
        <v>0</v>
      </c>
      <c r="H120" s="41">
        <v>0</v>
      </c>
      <c r="I120" s="41">
        <v>0</v>
      </c>
      <c r="J120" s="42">
        <v>-1750.07</v>
      </c>
      <c r="K120" s="43">
        <v>0</v>
      </c>
      <c r="L120" s="41">
        <v>0</v>
      </c>
      <c r="M120" s="44">
        <v>0</v>
      </c>
      <c r="N120" s="45">
        <v>0</v>
      </c>
      <c r="O120" s="46">
        <v>0</v>
      </c>
      <c r="P120" s="47">
        <v>0</v>
      </c>
      <c r="Q120" s="43">
        <v>-1750.07</v>
      </c>
      <c r="R120" s="41">
        <v>0</v>
      </c>
      <c r="S120" s="44">
        <v>-1750.07</v>
      </c>
      <c r="T120" s="48">
        <v>-0.88387300000000002</v>
      </c>
      <c r="U120" s="46">
        <v>0</v>
      </c>
      <c r="V120" s="47">
        <v>-0.88387300000000002</v>
      </c>
      <c r="W120" s="43">
        <v>0</v>
      </c>
      <c r="X120" s="44">
        <v>-1750.07</v>
      </c>
      <c r="Y120" s="49"/>
      <c r="AA120" s="15" t="s">
        <v>16</v>
      </c>
      <c r="AB120" s="15" t="str">
        <f t="shared" si="1"/>
        <v>Belmont - 519AL</v>
      </c>
    </row>
    <row r="121" spans="1:28" x14ac:dyDescent="0.25">
      <c r="A121" s="39" t="s">
        <v>47</v>
      </c>
      <c r="B121" s="39" t="s">
        <v>317</v>
      </c>
      <c r="C121" s="40" t="s">
        <v>318</v>
      </c>
      <c r="D121" s="39" t="s">
        <v>313</v>
      </c>
      <c r="E121" s="39" t="s">
        <v>314</v>
      </c>
      <c r="F121" s="41">
        <v>-1000</v>
      </c>
      <c r="G121" s="41">
        <v>-3000</v>
      </c>
      <c r="H121" s="41">
        <v>0</v>
      </c>
      <c r="I121" s="41">
        <v>0</v>
      </c>
      <c r="J121" s="42">
        <v>0</v>
      </c>
      <c r="K121" s="43">
        <v>-1000</v>
      </c>
      <c r="L121" s="41">
        <v>-1376.1831888889001</v>
      </c>
      <c r="M121" s="44">
        <v>376.18318888890002</v>
      </c>
      <c r="N121" s="45">
        <v>-0.58343</v>
      </c>
      <c r="O121" s="46">
        <v>-0.82534676075860602</v>
      </c>
      <c r="P121" s="47">
        <v>0.24191676075860599</v>
      </c>
      <c r="Q121" s="43">
        <v>-1000</v>
      </c>
      <c r="R121" s="41">
        <v>-2794.9287444443999</v>
      </c>
      <c r="S121" s="44">
        <v>1794.9287444444001</v>
      </c>
      <c r="T121" s="48">
        <v>-0.27533000000000002</v>
      </c>
      <c r="U121" s="46">
        <v>-0.79549409965828399</v>
      </c>
      <c r="V121" s="47">
        <v>0.52016409965828403</v>
      </c>
      <c r="W121" s="43">
        <v>-2500</v>
      </c>
      <c r="X121" s="44">
        <v>1500</v>
      </c>
      <c r="Y121" s="49"/>
      <c r="AA121" s="15" t="s">
        <v>16</v>
      </c>
      <c r="AB121" s="15" t="str">
        <f t="shared" si="1"/>
        <v>Bloomington HS - 5149AL</v>
      </c>
    </row>
    <row r="122" spans="1:28" x14ac:dyDescent="0.25">
      <c r="A122" s="39" t="s">
        <v>49</v>
      </c>
      <c r="B122" s="39" t="s">
        <v>317</v>
      </c>
      <c r="C122" s="40" t="s">
        <v>318</v>
      </c>
      <c r="D122" s="39" t="s">
        <v>313</v>
      </c>
      <c r="E122" s="39" t="s">
        <v>314</v>
      </c>
      <c r="F122" s="41">
        <v>2366.77</v>
      </c>
      <c r="G122" s="41">
        <v>0</v>
      </c>
      <c r="H122" s="41">
        <v>0</v>
      </c>
      <c r="I122" s="41">
        <v>0</v>
      </c>
      <c r="J122" s="42">
        <v>0</v>
      </c>
      <c r="K122" s="43">
        <v>0</v>
      </c>
      <c r="L122" s="41">
        <v>0</v>
      </c>
      <c r="M122" s="44">
        <v>0</v>
      </c>
      <c r="N122" s="45">
        <v>0</v>
      </c>
      <c r="O122" s="46">
        <v>0</v>
      </c>
      <c r="P122" s="47">
        <v>0</v>
      </c>
      <c r="Q122" s="43">
        <v>0</v>
      </c>
      <c r="R122" s="41">
        <v>0</v>
      </c>
      <c r="S122" s="44">
        <v>0</v>
      </c>
      <c r="T122" s="48">
        <v>0</v>
      </c>
      <c r="U122" s="46">
        <v>0</v>
      </c>
      <c r="V122" s="47">
        <v>0</v>
      </c>
      <c r="W122" s="43">
        <v>0</v>
      </c>
      <c r="X122" s="44">
        <v>0</v>
      </c>
      <c r="Y122" s="49"/>
      <c r="AA122" s="15" t="s">
        <v>16</v>
      </c>
      <c r="AB122" s="15" t="str">
        <f t="shared" si="1"/>
        <v>Bloomington SC - 5164AL</v>
      </c>
    </row>
    <row r="123" spans="1:28" x14ac:dyDescent="0.25">
      <c r="A123" s="39" t="s">
        <v>56</v>
      </c>
      <c r="B123" s="39" t="s">
        <v>317</v>
      </c>
      <c r="C123" s="40" t="s">
        <v>318</v>
      </c>
      <c r="D123" s="39" t="s">
        <v>313</v>
      </c>
      <c r="E123" s="39" t="s">
        <v>314</v>
      </c>
      <c r="F123" s="41">
        <v>0</v>
      </c>
      <c r="G123" s="41">
        <v>-21890.97</v>
      </c>
      <c r="H123" s="41">
        <v>0</v>
      </c>
      <c r="I123" s="41">
        <v>-500</v>
      </c>
      <c r="J123" s="42">
        <v>0</v>
      </c>
      <c r="K123" s="43">
        <v>-1000</v>
      </c>
      <c r="L123" s="41">
        <v>0</v>
      </c>
      <c r="M123" s="44">
        <v>-1000</v>
      </c>
      <c r="N123" s="45">
        <v>-1.246882</v>
      </c>
      <c r="O123" s="46">
        <v>0</v>
      </c>
      <c r="P123" s="47">
        <v>-1.246882</v>
      </c>
      <c r="Q123" s="43">
        <v>-1000</v>
      </c>
      <c r="R123" s="41">
        <v>0</v>
      </c>
      <c r="S123" s="44">
        <v>-1000</v>
      </c>
      <c r="T123" s="48">
        <v>-0.63091399999999997</v>
      </c>
      <c r="U123" s="46">
        <v>0</v>
      </c>
      <c r="V123" s="47">
        <v>-0.63091399999999997</v>
      </c>
      <c r="W123" s="43">
        <v>0</v>
      </c>
      <c r="X123" s="44">
        <v>-1000</v>
      </c>
      <c r="Y123" s="49"/>
      <c r="AA123" s="15" t="s">
        <v>16</v>
      </c>
      <c r="AB123" s="15" t="str">
        <f t="shared" si="1"/>
        <v>Boonville - 110AL</v>
      </c>
    </row>
    <row r="124" spans="1:28" x14ac:dyDescent="0.25">
      <c r="A124" s="39" t="s">
        <v>57</v>
      </c>
      <c r="B124" s="39" t="s">
        <v>317</v>
      </c>
      <c r="C124" s="40" t="s">
        <v>318</v>
      </c>
      <c r="D124" s="39" t="s">
        <v>313</v>
      </c>
      <c r="E124" s="39" t="s">
        <v>314</v>
      </c>
      <c r="F124" s="41">
        <v>-12369</v>
      </c>
      <c r="G124" s="41">
        <v>-2631</v>
      </c>
      <c r="H124" s="41">
        <v>0</v>
      </c>
      <c r="I124" s="41">
        <v>0</v>
      </c>
      <c r="J124" s="42">
        <v>0</v>
      </c>
      <c r="K124" s="43">
        <v>0</v>
      </c>
      <c r="L124" s="41">
        <v>0</v>
      </c>
      <c r="M124" s="44">
        <v>0</v>
      </c>
      <c r="N124" s="45">
        <v>0</v>
      </c>
      <c r="O124" s="46">
        <v>0</v>
      </c>
      <c r="P124" s="47">
        <v>0</v>
      </c>
      <c r="Q124" s="43">
        <v>0</v>
      </c>
      <c r="R124" s="41">
        <v>0</v>
      </c>
      <c r="S124" s="44">
        <v>0</v>
      </c>
      <c r="T124" s="48">
        <v>0</v>
      </c>
      <c r="U124" s="46">
        <v>0</v>
      </c>
      <c r="V124" s="47">
        <v>0</v>
      </c>
      <c r="W124" s="43">
        <v>0</v>
      </c>
      <c r="X124" s="44">
        <v>0</v>
      </c>
      <c r="Y124" s="49"/>
      <c r="AA124" s="15" t="s">
        <v>16</v>
      </c>
      <c r="AB124" s="15" t="str">
        <f t="shared" si="1"/>
        <v>Bowling Green - 443AL</v>
      </c>
    </row>
    <row r="125" spans="1:28" x14ac:dyDescent="0.25">
      <c r="A125" s="39" t="s">
        <v>61</v>
      </c>
      <c r="B125" s="39" t="s">
        <v>317</v>
      </c>
      <c r="C125" s="40" t="s">
        <v>318</v>
      </c>
      <c r="D125" s="39" t="s">
        <v>313</v>
      </c>
      <c r="E125" s="39" t="s">
        <v>314</v>
      </c>
      <c r="F125" s="41">
        <v>0</v>
      </c>
      <c r="G125" s="41">
        <v>0</v>
      </c>
      <c r="H125" s="41">
        <v>0</v>
      </c>
      <c r="I125" s="41">
        <v>0</v>
      </c>
      <c r="J125" s="42">
        <v>0</v>
      </c>
      <c r="K125" s="43">
        <v>0</v>
      </c>
      <c r="L125" s="41">
        <v>0</v>
      </c>
      <c r="M125" s="44">
        <v>0</v>
      </c>
      <c r="N125" s="45">
        <v>0</v>
      </c>
      <c r="O125" s="46">
        <v>0</v>
      </c>
      <c r="P125" s="47">
        <v>0</v>
      </c>
      <c r="Q125" s="43">
        <v>0</v>
      </c>
      <c r="R125" s="41">
        <v>0</v>
      </c>
      <c r="S125" s="44">
        <v>0</v>
      </c>
      <c r="T125" s="48">
        <v>0</v>
      </c>
      <c r="U125" s="46">
        <v>0</v>
      </c>
      <c r="V125" s="47">
        <v>0</v>
      </c>
      <c r="W125" s="43">
        <v>0</v>
      </c>
      <c r="X125" s="44">
        <v>0</v>
      </c>
      <c r="Y125" s="49"/>
      <c r="AA125" s="15" t="s">
        <v>16</v>
      </c>
      <c r="AB125" s="15" t="str">
        <f t="shared" si="1"/>
        <v>Byron Center - 518AL</v>
      </c>
    </row>
    <row r="126" spans="1:28" x14ac:dyDescent="0.25">
      <c r="A126" s="39" t="s">
        <v>63</v>
      </c>
      <c r="B126" s="39" t="s">
        <v>317</v>
      </c>
      <c r="C126" s="40" t="s">
        <v>318</v>
      </c>
      <c r="D126" s="39" t="s">
        <v>313</v>
      </c>
      <c r="E126" s="39" t="s">
        <v>314</v>
      </c>
      <c r="F126" s="41">
        <v>-8325.1299999999992</v>
      </c>
      <c r="G126" s="41">
        <v>-3528.68</v>
      </c>
      <c r="H126" s="41">
        <v>-2159</v>
      </c>
      <c r="I126" s="41">
        <v>-1159</v>
      </c>
      <c r="J126" s="42">
        <v>-1827</v>
      </c>
      <c r="K126" s="43">
        <v>-2488.29</v>
      </c>
      <c r="L126" s="41">
        <v>-1386.13</v>
      </c>
      <c r="M126" s="44">
        <v>-1102.1600000000001</v>
      </c>
      <c r="N126" s="45">
        <v>-2.713511</v>
      </c>
      <c r="O126" s="46">
        <v>-1.57909546593757</v>
      </c>
      <c r="P126" s="47">
        <v>-1.13441553406243</v>
      </c>
      <c r="Q126" s="43">
        <v>-4315.29</v>
      </c>
      <c r="R126" s="41">
        <v>-2815.13</v>
      </c>
      <c r="S126" s="44">
        <v>-1500.16</v>
      </c>
      <c r="T126" s="48">
        <v>-2.326301</v>
      </c>
      <c r="U126" s="46">
        <v>-1.52197983402266</v>
      </c>
      <c r="V126" s="47">
        <v>-0.80432116597734404</v>
      </c>
      <c r="W126" s="43">
        <v>-1724.61</v>
      </c>
      <c r="X126" s="44">
        <v>-2590.6799999999998</v>
      </c>
      <c r="Y126" s="49"/>
      <c r="AA126" s="15" t="s">
        <v>16</v>
      </c>
      <c r="AB126" s="15" t="str">
        <f t="shared" si="1"/>
        <v>Carmel - 5165AL</v>
      </c>
    </row>
    <row r="127" spans="1:28" x14ac:dyDescent="0.25">
      <c r="A127" s="39" t="s">
        <v>66</v>
      </c>
      <c r="B127" s="39" t="s">
        <v>317</v>
      </c>
      <c r="C127" s="40" t="s">
        <v>318</v>
      </c>
      <c r="D127" s="39" t="s">
        <v>313</v>
      </c>
      <c r="E127" s="39" t="s">
        <v>314</v>
      </c>
      <c r="F127" s="41">
        <v>0</v>
      </c>
      <c r="G127" s="41">
        <v>0</v>
      </c>
      <c r="H127" s="41">
        <v>0</v>
      </c>
      <c r="I127" s="41">
        <v>0</v>
      </c>
      <c r="J127" s="42">
        <v>0</v>
      </c>
      <c r="K127" s="43">
        <v>0</v>
      </c>
      <c r="L127" s="41">
        <v>-247.8888888889</v>
      </c>
      <c r="M127" s="44">
        <v>247.8888888889</v>
      </c>
      <c r="N127" s="45">
        <v>0</v>
      </c>
      <c r="O127" s="46">
        <v>-0.39850466060775802</v>
      </c>
      <c r="P127" s="47">
        <v>0.39850466060775802</v>
      </c>
      <c r="Q127" s="43">
        <v>0</v>
      </c>
      <c r="R127" s="41">
        <v>-503.44444444440001</v>
      </c>
      <c r="S127" s="44">
        <v>503.44444444440001</v>
      </c>
      <c r="T127" s="48">
        <v>0</v>
      </c>
      <c r="U127" s="46">
        <v>-0.39339487583912802</v>
      </c>
      <c r="V127" s="47">
        <v>0.39339487583912802</v>
      </c>
      <c r="W127" s="43">
        <v>0</v>
      </c>
      <c r="X127" s="44">
        <v>0</v>
      </c>
      <c r="Y127" s="49"/>
      <c r="AA127" s="15" t="s">
        <v>16</v>
      </c>
      <c r="AB127" s="15" t="str">
        <f t="shared" si="1"/>
        <v>Colerain - 412AL</v>
      </c>
    </row>
    <row r="128" spans="1:28" x14ac:dyDescent="0.25">
      <c r="A128" s="39" t="s">
        <v>71</v>
      </c>
      <c r="B128" s="39" t="s">
        <v>317</v>
      </c>
      <c r="C128" s="40" t="s">
        <v>318</v>
      </c>
      <c r="D128" s="39" t="s">
        <v>313</v>
      </c>
      <c r="E128" s="39" t="s">
        <v>314</v>
      </c>
      <c r="F128" s="41">
        <v>-3000</v>
      </c>
      <c r="G128" s="41">
        <v>0</v>
      </c>
      <c r="H128" s="41">
        <v>-9000</v>
      </c>
      <c r="I128" s="41">
        <v>0</v>
      </c>
      <c r="J128" s="42">
        <v>0</v>
      </c>
      <c r="K128" s="43">
        <v>0</v>
      </c>
      <c r="L128" s="41">
        <v>-646.66666666670005</v>
      </c>
      <c r="M128" s="44">
        <v>646.66666666670005</v>
      </c>
      <c r="N128" s="45">
        <v>0</v>
      </c>
      <c r="O128" s="46">
        <v>-0.80820669557942404</v>
      </c>
      <c r="P128" s="47">
        <v>0.80820669557942404</v>
      </c>
      <c r="Q128" s="43">
        <v>0</v>
      </c>
      <c r="R128" s="41">
        <v>-1313.3333333333001</v>
      </c>
      <c r="S128" s="44">
        <v>1313.3333333333001</v>
      </c>
      <c r="T128" s="48">
        <v>0</v>
      </c>
      <c r="U128" s="46">
        <v>-0.77897398791119299</v>
      </c>
      <c r="V128" s="47">
        <v>0.77897398791119299</v>
      </c>
      <c r="W128" s="43">
        <v>0</v>
      </c>
      <c r="X128" s="44">
        <v>0</v>
      </c>
      <c r="Y128" s="49"/>
      <c r="AA128" s="15" t="s">
        <v>16</v>
      </c>
      <c r="AB128" s="15" t="str">
        <f t="shared" si="1"/>
        <v>Columbus - 107AL</v>
      </c>
    </row>
    <row r="129" spans="1:28" x14ac:dyDescent="0.25">
      <c r="A129" s="39" t="s">
        <v>73</v>
      </c>
      <c r="B129" s="39" t="s">
        <v>317</v>
      </c>
      <c r="C129" s="40" t="s">
        <v>318</v>
      </c>
      <c r="D129" s="39" t="s">
        <v>313</v>
      </c>
      <c r="E129" s="39" t="s">
        <v>314</v>
      </c>
      <c r="F129" s="41">
        <v>-8808</v>
      </c>
      <c r="G129" s="41">
        <v>-13308</v>
      </c>
      <c r="H129" s="41">
        <v>-8808</v>
      </c>
      <c r="I129" s="41">
        <v>-7886.71</v>
      </c>
      <c r="J129" s="42">
        <v>-10063</v>
      </c>
      <c r="K129" s="43">
        <v>-10063</v>
      </c>
      <c r="L129" s="41">
        <v>-7661.06</v>
      </c>
      <c r="M129" s="44">
        <v>-2401.94</v>
      </c>
      <c r="N129" s="45">
        <v>-7.9361189999999997</v>
      </c>
      <c r="O129" s="46">
        <v>-5.7450208398451696</v>
      </c>
      <c r="P129" s="47">
        <v>-2.1910981601548301</v>
      </c>
      <c r="Q129" s="43">
        <v>-20126</v>
      </c>
      <c r="R129" s="41">
        <v>-15559.06</v>
      </c>
      <c r="S129" s="44">
        <v>-4566.9399999999996</v>
      </c>
      <c r="T129" s="48">
        <v>-7.5775600000000001</v>
      </c>
      <c r="U129" s="46">
        <v>-5.53722434956945</v>
      </c>
      <c r="V129" s="47">
        <v>-2.0403356504305501</v>
      </c>
      <c r="W129" s="43">
        <v>-23880.71</v>
      </c>
      <c r="X129" s="44">
        <v>3754.71</v>
      </c>
      <c r="Y129" s="49"/>
      <c r="AA129" s="15" t="s">
        <v>16</v>
      </c>
      <c r="AB129" s="15" t="str">
        <f t="shared" si="1"/>
        <v>Commerce - 503AL</v>
      </c>
    </row>
    <row r="130" spans="1:28" x14ac:dyDescent="0.25">
      <c r="A130" s="39" t="s">
        <v>77</v>
      </c>
      <c r="B130" s="39" t="s">
        <v>317</v>
      </c>
      <c r="C130" s="40" t="s">
        <v>318</v>
      </c>
      <c r="D130" s="39" t="s">
        <v>313</v>
      </c>
      <c r="E130" s="39" t="s">
        <v>314</v>
      </c>
      <c r="F130" s="41">
        <v>-1956</v>
      </c>
      <c r="G130" s="41">
        <v>-3256</v>
      </c>
      <c r="H130" s="41">
        <v>-1756</v>
      </c>
      <c r="I130" s="41">
        <v>-1756</v>
      </c>
      <c r="J130" s="42">
        <v>0</v>
      </c>
      <c r="K130" s="43">
        <v>-3000</v>
      </c>
      <c r="L130" s="41">
        <v>-485</v>
      </c>
      <c r="M130" s="44">
        <v>-2515</v>
      </c>
      <c r="N130" s="45">
        <v>-3.9113419999999999</v>
      </c>
      <c r="O130" s="46">
        <v>-0.56892786567725495</v>
      </c>
      <c r="P130" s="47">
        <v>-3.34241413432275</v>
      </c>
      <c r="Q130" s="43">
        <v>-3000</v>
      </c>
      <c r="R130" s="41">
        <v>-985</v>
      </c>
      <c r="S130" s="44">
        <v>-2015</v>
      </c>
      <c r="T130" s="48">
        <v>-1.857585</v>
      </c>
      <c r="U130" s="46">
        <v>-0.54834983523951397</v>
      </c>
      <c r="V130" s="47">
        <v>-1.3092351647604901</v>
      </c>
      <c r="W130" s="43">
        <v>-2512</v>
      </c>
      <c r="X130" s="44">
        <v>-488</v>
      </c>
      <c r="Y130" s="49"/>
      <c r="AA130" s="15" t="s">
        <v>16</v>
      </c>
      <c r="AB130" s="15" t="str">
        <f t="shared" si="1"/>
        <v>Corydon - 2180AL</v>
      </c>
    </row>
    <row r="131" spans="1:28" x14ac:dyDescent="0.25">
      <c r="A131" s="39" t="s">
        <v>81</v>
      </c>
      <c r="B131" s="39" t="s">
        <v>317</v>
      </c>
      <c r="C131" s="40" t="s">
        <v>318</v>
      </c>
      <c r="D131" s="39" t="s">
        <v>313</v>
      </c>
      <c r="E131" s="39" t="s">
        <v>314</v>
      </c>
      <c r="F131" s="41">
        <v>0</v>
      </c>
      <c r="G131" s="41">
        <v>0</v>
      </c>
      <c r="H131" s="41">
        <v>0</v>
      </c>
      <c r="I131" s="41">
        <v>-2702.45</v>
      </c>
      <c r="J131" s="42">
        <v>0</v>
      </c>
      <c r="K131" s="43">
        <v>0</v>
      </c>
      <c r="L131" s="41">
        <v>0</v>
      </c>
      <c r="M131" s="44">
        <v>0</v>
      </c>
      <c r="N131" s="45">
        <v>0</v>
      </c>
      <c r="O131" s="46">
        <v>0</v>
      </c>
      <c r="P131" s="47">
        <v>0</v>
      </c>
      <c r="Q131" s="43">
        <v>0</v>
      </c>
      <c r="R131" s="41">
        <v>0</v>
      </c>
      <c r="S131" s="44">
        <v>0</v>
      </c>
      <c r="T131" s="48">
        <v>0</v>
      </c>
      <c r="U131" s="46">
        <v>0</v>
      </c>
      <c r="V131" s="47">
        <v>0</v>
      </c>
      <c r="W131" s="43">
        <v>0</v>
      </c>
      <c r="X131" s="44">
        <v>0</v>
      </c>
      <c r="Y131" s="49"/>
      <c r="AA131" s="15" t="s">
        <v>16</v>
      </c>
      <c r="AB131" s="15" t="str">
        <f t="shared" ref="AB131:AB194" si="2">A131&amp;AA131</f>
        <v>Crawfordsville - 5167AL</v>
      </c>
    </row>
    <row r="132" spans="1:28" x14ac:dyDescent="0.25">
      <c r="A132" s="39" t="s">
        <v>84</v>
      </c>
      <c r="B132" s="39" t="s">
        <v>317</v>
      </c>
      <c r="C132" s="40" t="s">
        <v>318</v>
      </c>
      <c r="D132" s="39" t="s">
        <v>313</v>
      </c>
      <c r="E132" s="39" t="s">
        <v>314</v>
      </c>
      <c r="F132" s="41">
        <v>-2624.27</v>
      </c>
      <c r="G132" s="41">
        <v>-6288</v>
      </c>
      <c r="H132" s="41">
        <v>-4368</v>
      </c>
      <c r="I132" s="41">
        <v>-4368</v>
      </c>
      <c r="J132" s="42">
        <v>-4252.32</v>
      </c>
      <c r="K132" s="43">
        <v>-4252.32</v>
      </c>
      <c r="L132" s="41">
        <v>-1018.5711333333001</v>
      </c>
      <c r="M132" s="44">
        <v>-3233.7488666667</v>
      </c>
      <c r="N132" s="45">
        <v>-4.3391019999999996</v>
      </c>
      <c r="O132" s="46">
        <v>-1.0747104854524001</v>
      </c>
      <c r="P132" s="47">
        <v>-3.2643915145475999</v>
      </c>
      <c r="Q132" s="43">
        <v>-8504.64</v>
      </c>
      <c r="R132" s="41">
        <v>-2068.6444666666998</v>
      </c>
      <c r="S132" s="44">
        <v>-6435.9955333333</v>
      </c>
      <c r="T132" s="48">
        <v>-4.1045550000000004</v>
      </c>
      <c r="U132" s="46">
        <v>-1.0398737956331201</v>
      </c>
      <c r="V132" s="47">
        <v>-3.0646812043668801</v>
      </c>
      <c r="W132" s="43">
        <v>-3438</v>
      </c>
      <c r="X132" s="44">
        <v>-5066.6400000000003</v>
      </c>
      <c r="Y132" s="49"/>
      <c r="AA132" s="15" t="s">
        <v>16</v>
      </c>
      <c r="AB132" s="15" t="str">
        <f t="shared" si="2"/>
        <v>Cynthiana - 114AL</v>
      </c>
    </row>
    <row r="133" spans="1:28" x14ac:dyDescent="0.25">
      <c r="A133" s="39" t="s">
        <v>85</v>
      </c>
      <c r="B133" s="39" t="s">
        <v>317</v>
      </c>
      <c r="C133" s="40" t="s">
        <v>318</v>
      </c>
      <c r="D133" s="39" t="s">
        <v>313</v>
      </c>
      <c r="E133" s="39" t="s">
        <v>314</v>
      </c>
      <c r="F133" s="41">
        <v>-9050.33</v>
      </c>
      <c r="G133" s="41">
        <v>-8316.39</v>
      </c>
      <c r="H133" s="41">
        <v>-15493</v>
      </c>
      <c r="I133" s="41">
        <v>-6613</v>
      </c>
      <c r="J133" s="42">
        <v>-179.97</v>
      </c>
      <c r="K133" s="43">
        <v>-120</v>
      </c>
      <c r="L133" s="41">
        <v>-7117.86</v>
      </c>
      <c r="M133" s="44">
        <v>6997.86</v>
      </c>
      <c r="N133" s="45">
        <v>-6.8142999999999995E-2</v>
      </c>
      <c r="O133" s="46">
        <v>-3.4662638320457999</v>
      </c>
      <c r="P133" s="47">
        <v>3.3981208320457998</v>
      </c>
      <c r="Q133" s="43">
        <v>-299.97000000000003</v>
      </c>
      <c r="R133" s="41">
        <v>-14455.86</v>
      </c>
      <c r="S133" s="44">
        <v>14155.89</v>
      </c>
      <c r="T133" s="48">
        <v>-8.0227000000000007E-2</v>
      </c>
      <c r="U133" s="46">
        <v>-3.3648386951229301</v>
      </c>
      <c r="V133" s="47">
        <v>3.2846116951229298</v>
      </c>
      <c r="W133" s="43">
        <v>-14254.52</v>
      </c>
      <c r="X133" s="44">
        <v>13954.55</v>
      </c>
      <c r="Y133" s="49"/>
      <c r="AA133" s="15" t="s">
        <v>16</v>
      </c>
      <c r="AB133" s="15" t="str">
        <f t="shared" si="2"/>
        <v>Danville - 231AL</v>
      </c>
    </row>
    <row r="134" spans="1:28" x14ac:dyDescent="0.25">
      <c r="A134" s="39" t="s">
        <v>87</v>
      </c>
      <c r="B134" s="39" t="s">
        <v>317</v>
      </c>
      <c r="C134" s="40" t="s">
        <v>318</v>
      </c>
      <c r="D134" s="39" t="s">
        <v>313</v>
      </c>
      <c r="E134" s="39" t="s">
        <v>314</v>
      </c>
      <c r="F134" s="41">
        <v>-1900</v>
      </c>
      <c r="G134" s="41">
        <v>-2266.4499999999998</v>
      </c>
      <c r="H134" s="41">
        <v>-5146.33</v>
      </c>
      <c r="I134" s="41">
        <v>-8705.4500000000007</v>
      </c>
      <c r="J134" s="42">
        <v>-13497.59</v>
      </c>
      <c r="K134" s="43">
        <v>-10914</v>
      </c>
      <c r="L134" s="41">
        <v>-485</v>
      </c>
      <c r="M134" s="44">
        <v>-10429</v>
      </c>
      <c r="N134" s="45">
        <v>-17.717531999999999</v>
      </c>
      <c r="O134" s="46">
        <v>-0.79859052888098403</v>
      </c>
      <c r="P134" s="47">
        <v>-16.918941471118998</v>
      </c>
      <c r="Q134" s="43">
        <v>-24411.59</v>
      </c>
      <c r="R134" s="41">
        <v>-985</v>
      </c>
      <c r="S134" s="44">
        <v>-23426.59</v>
      </c>
      <c r="T134" s="48">
        <v>-18.136396000000001</v>
      </c>
      <c r="U134" s="46">
        <v>-0.76970563643325396</v>
      </c>
      <c r="V134" s="47">
        <v>-17.3666903635667</v>
      </c>
      <c r="W134" s="43">
        <v>-520</v>
      </c>
      <c r="X134" s="44">
        <v>-23891.59</v>
      </c>
      <c r="Y134" s="49"/>
      <c r="AA134" s="15" t="s">
        <v>16</v>
      </c>
      <c r="AB134" s="15" t="str">
        <f t="shared" si="2"/>
        <v>Delphi - 2134AL</v>
      </c>
    </row>
    <row r="135" spans="1:28" x14ac:dyDescent="0.25">
      <c r="A135" s="39" t="s">
        <v>89</v>
      </c>
      <c r="B135" s="39" t="s">
        <v>317</v>
      </c>
      <c r="C135" s="40" t="s">
        <v>318</v>
      </c>
      <c r="D135" s="39" t="s">
        <v>313</v>
      </c>
      <c r="E135" s="39" t="s">
        <v>314</v>
      </c>
      <c r="F135" s="41">
        <v>-2890</v>
      </c>
      <c r="G135" s="41">
        <v>-5486.77</v>
      </c>
      <c r="H135" s="41">
        <v>-2390</v>
      </c>
      <c r="I135" s="41">
        <v>-2634.52</v>
      </c>
      <c r="J135" s="42">
        <v>-1387.1</v>
      </c>
      <c r="K135" s="43">
        <v>-2530</v>
      </c>
      <c r="L135" s="41">
        <v>-2973.5134444444002</v>
      </c>
      <c r="M135" s="44">
        <v>443.51344444440002</v>
      </c>
      <c r="N135" s="45">
        <v>-3.4993080000000001</v>
      </c>
      <c r="O135" s="46">
        <v>-3.7927467403627499</v>
      </c>
      <c r="P135" s="47">
        <v>0.29343874036274997</v>
      </c>
      <c r="Q135" s="43">
        <v>-3917.1</v>
      </c>
      <c r="R135" s="41">
        <v>-6038.9912222222001</v>
      </c>
      <c r="S135" s="44">
        <v>2121.8912222222002</v>
      </c>
      <c r="T135" s="48">
        <v>-2.6395550000000001</v>
      </c>
      <c r="U135" s="46">
        <v>-3.6555636938390998</v>
      </c>
      <c r="V135" s="47">
        <v>1.0160086938391</v>
      </c>
      <c r="W135" s="43">
        <v>0</v>
      </c>
      <c r="X135" s="44">
        <v>-3917.1</v>
      </c>
      <c r="Y135" s="49"/>
      <c r="AA135" s="15" t="s">
        <v>16</v>
      </c>
      <c r="AB135" s="15" t="str">
        <f t="shared" si="2"/>
        <v>Delphos - 407AL</v>
      </c>
    </row>
    <row r="136" spans="1:28" x14ac:dyDescent="0.25">
      <c r="A136" s="39" t="s">
        <v>91</v>
      </c>
      <c r="B136" s="39" t="s">
        <v>317</v>
      </c>
      <c r="C136" s="40" t="s">
        <v>318</v>
      </c>
      <c r="D136" s="39" t="s">
        <v>313</v>
      </c>
      <c r="E136" s="39" t="s">
        <v>314</v>
      </c>
      <c r="F136" s="41">
        <v>0</v>
      </c>
      <c r="G136" s="41">
        <v>0</v>
      </c>
      <c r="H136" s="41">
        <v>0</v>
      </c>
      <c r="I136" s="41">
        <v>0</v>
      </c>
      <c r="J136" s="42">
        <v>0</v>
      </c>
      <c r="K136" s="43">
        <v>0</v>
      </c>
      <c r="L136" s="41">
        <v>-833.33333333329995</v>
      </c>
      <c r="M136" s="44">
        <v>833.33333333329995</v>
      </c>
      <c r="N136" s="45">
        <v>0</v>
      </c>
      <c r="O136" s="46">
        <v>-0.54900240860543603</v>
      </c>
      <c r="P136" s="47">
        <v>0.54900240860543603</v>
      </c>
      <c r="Q136" s="43">
        <v>0</v>
      </c>
      <c r="R136" s="41">
        <v>-1666.6666666666999</v>
      </c>
      <c r="S136" s="44">
        <v>1666.6666666666999</v>
      </c>
      <c r="T136" s="48">
        <v>0</v>
      </c>
      <c r="U136" s="46">
        <v>-0.52608336122093902</v>
      </c>
      <c r="V136" s="47">
        <v>0.52608336122093902</v>
      </c>
      <c r="W136" s="43">
        <v>0</v>
      </c>
      <c r="X136" s="44">
        <v>0</v>
      </c>
      <c r="Y136" s="49"/>
      <c r="AA136" s="15" t="s">
        <v>16</v>
      </c>
      <c r="AB136" s="15" t="str">
        <f t="shared" si="2"/>
        <v>East Lansing - 2507AL</v>
      </c>
    </row>
    <row r="137" spans="1:28" x14ac:dyDescent="0.25">
      <c r="A137" s="39" t="s">
        <v>93</v>
      </c>
      <c r="B137" s="39" t="s">
        <v>317</v>
      </c>
      <c r="C137" s="40" t="s">
        <v>318</v>
      </c>
      <c r="D137" s="39" t="s">
        <v>313</v>
      </c>
      <c r="E137" s="39" t="s">
        <v>314</v>
      </c>
      <c r="F137" s="41">
        <v>-15027.65</v>
      </c>
      <c r="G137" s="41">
        <v>-16582.25</v>
      </c>
      <c r="H137" s="41">
        <v>-12455.96</v>
      </c>
      <c r="I137" s="41">
        <v>-10692.25</v>
      </c>
      <c r="J137" s="42">
        <v>-12024.84</v>
      </c>
      <c r="K137" s="43">
        <v>-12050</v>
      </c>
      <c r="L137" s="41">
        <v>-9779.7824999999993</v>
      </c>
      <c r="M137" s="44">
        <v>-2270.2175000000002</v>
      </c>
      <c r="N137" s="45">
        <v>-8.5098870000000009</v>
      </c>
      <c r="O137" s="46">
        <v>-6.8487882820120198</v>
      </c>
      <c r="P137" s="47">
        <v>-1.6610987179879799</v>
      </c>
      <c r="Q137" s="43">
        <v>-24074.84</v>
      </c>
      <c r="R137" s="41">
        <v>-19862.032500000001</v>
      </c>
      <c r="S137" s="44">
        <v>-4212.8074999999999</v>
      </c>
      <c r="T137" s="48">
        <v>-8.03566</v>
      </c>
      <c r="U137" s="46">
        <v>-6.6010686988604403</v>
      </c>
      <c r="V137" s="47">
        <v>-1.4345913011395599</v>
      </c>
      <c r="W137" s="43">
        <v>-39420</v>
      </c>
      <c r="X137" s="44">
        <v>15345.16</v>
      </c>
      <c r="Y137" s="49"/>
      <c r="AA137" s="15" t="s">
        <v>16</v>
      </c>
      <c r="AB137" s="15" t="str">
        <f t="shared" si="2"/>
        <v>Elkhart - 132AL</v>
      </c>
    </row>
    <row r="138" spans="1:28" x14ac:dyDescent="0.25">
      <c r="A138" s="39" t="s">
        <v>94</v>
      </c>
      <c r="B138" s="39" t="s">
        <v>317</v>
      </c>
      <c r="C138" s="40" t="s">
        <v>318</v>
      </c>
      <c r="D138" s="39" t="s">
        <v>313</v>
      </c>
      <c r="E138" s="39" t="s">
        <v>314</v>
      </c>
      <c r="F138" s="41">
        <v>0</v>
      </c>
      <c r="G138" s="41">
        <v>0</v>
      </c>
      <c r="H138" s="41">
        <v>0</v>
      </c>
      <c r="I138" s="41">
        <v>0</v>
      </c>
      <c r="J138" s="42">
        <v>0</v>
      </c>
      <c r="K138" s="43">
        <v>-160</v>
      </c>
      <c r="L138" s="41">
        <v>0</v>
      </c>
      <c r="M138" s="44">
        <v>-160</v>
      </c>
      <c r="N138" s="45">
        <v>-0.109289</v>
      </c>
      <c r="O138" s="46">
        <v>0</v>
      </c>
      <c r="P138" s="47">
        <v>-0.109289</v>
      </c>
      <c r="Q138" s="43">
        <v>-160</v>
      </c>
      <c r="R138" s="41">
        <v>0</v>
      </c>
      <c r="S138" s="44">
        <v>-160</v>
      </c>
      <c r="T138" s="48">
        <v>-5.2014999999999999E-2</v>
      </c>
      <c r="U138" s="46">
        <v>0</v>
      </c>
      <c r="V138" s="47">
        <v>-5.2014999999999999E-2</v>
      </c>
      <c r="W138" s="43">
        <v>-1500</v>
      </c>
      <c r="X138" s="44">
        <v>1340</v>
      </c>
      <c r="Y138" s="49"/>
      <c r="AA138" s="15" t="s">
        <v>16</v>
      </c>
      <c r="AB138" s="15" t="str">
        <f t="shared" si="2"/>
        <v>Englewood - 416AL</v>
      </c>
    </row>
    <row r="139" spans="1:28" x14ac:dyDescent="0.25">
      <c r="A139" s="39" t="s">
        <v>96</v>
      </c>
      <c r="B139" s="39" t="s">
        <v>317</v>
      </c>
      <c r="C139" s="40" t="s">
        <v>318</v>
      </c>
      <c r="D139" s="39" t="s">
        <v>313</v>
      </c>
      <c r="E139" s="39" t="s">
        <v>314</v>
      </c>
      <c r="F139" s="41">
        <v>0</v>
      </c>
      <c r="G139" s="41">
        <v>0</v>
      </c>
      <c r="H139" s="41">
        <v>0</v>
      </c>
      <c r="I139" s="41">
        <v>0</v>
      </c>
      <c r="J139" s="42">
        <v>0</v>
      </c>
      <c r="K139" s="43">
        <v>-1500</v>
      </c>
      <c r="L139" s="41">
        <v>0</v>
      </c>
      <c r="M139" s="44">
        <v>-1500</v>
      </c>
      <c r="N139" s="45">
        <v>-1.7942579999999999</v>
      </c>
      <c r="O139" s="46">
        <v>0</v>
      </c>
      <c r="P139" s="47">
        <v>-1.7942579999999999</v>
      </c>
      <c r="Q139" s="43">
        <v>-1500</v>
      </c>
      <c r="R139" s="41">
        <v>0</v>
      </c>
      <c r="S139" s="44">
        <v>-1500</v>
      </c>
      <c r="T139" s="48">
        <v>-0.85178799999999999</v>
      </c>
      <c r="U139" s="46">
        <v>0</v>
      </c>
      <c r="V139" s="47">
        <v>-0.85178799999999999</v>
      </c>
      <c r="W139" s="43">
        <v>0</v>
      </c>
      <c r="X139" s="44">
        <v>-1500</v>
      </c>
      <c r="Y139" s="49"/>
      <c r="AA139" s="15" t="s">
        <v>16</v>
      </c>
      <c r="AB139" s="15" t="str">
        <f t="shared" si="2"/>
        <v>Evansville NR - 2186AL</v>
      </c>
    </row>
    <row r="140" spans="1:28" x14ac:dyDescent="0.25">
      <c r="A140" s="39" t="s">
        <v>98</v>
      </c>
      <c r="B140" s="39" t="s">
        <v>317</v>
      </c>
      <c r="C140" s="40" t="s">
        <v>318</v>
      </c>
      <c r="D140" s="39" t="s">
        <v>313</v>
      </c>
      <c r="E140" s="39" t="s">
        <v>314</v>
      </c>
      <c r="F140" s="41">
        <v>0</v>
      </c>
      <c r="G140" s="41">
        <v>0</v>
      </c>
      <c r="H140" s="41">
        <v>0</v>
      </c>
      <c r="I140" s="41">
        <v>0</v>
      </c>
      <c r="J140" s="42">
        <v>0</v>
      </c>
      <c r="K140" s="43">
        <v>0</v>
      </c>
      <c r="L140" s="41">
        <v>0</v>
      </c>
      <c r="M140" s="44">
        <v>0</v>
      </c>
      <c r="N140" s="45">
        <v>0</v>
      </c>
      <c r="O140" s="46">
        <v>0</v>
      </c>
      <c r="P140" s="47">
        <v>0</v>
      </c>
      <c r="Q140" s="43">
        <v>0</v>
      </c>
      <c r="R140" s="41">
        <v>0</v>
      </c>
      <c r="S140" s="44">
        <v>0</v>
      </c>
      <c r="T140" s="48">
        <v>0</v>
      </c>
      <c r="U140" s="46">
        <v>0</v>
      </c>
      <c r="V140" s="47">
        <v>0</v>
      </c>
      <c r="W140" s="43">
        <v>0</v>
      </c>
      <c r="X140" s="44">
        <v>0</v>
      </c>
      <c r="Y140" s="49"/>
      <c r="AA140" s="15" t="s">
        <v>16</v>
      </c>
      <c r="AB140" s="15" t="str">
        <f t="shared" si="2"/>
        <v>Evansville RP - 111AL</v>
      </c>
    </row>
    <row r="141" spans="1:28" x14ac:dyDescent="0.25">
      <c r="A141" s="39" t="s">
        <v>100</v>
      </c>
      <c r="B141" s="39" t="s">
        <v>317</v>
      </c>
      <c r="C141" s="40" t="s">
        <v>318</v>
      </c>
      <c r="D141" s="39" t="s">
        <v>313</v>
      </c>
      <c r="E141" s="39" t="s">
        <v>314</v>
      </c>
      <c r="F141" s="41">
        <v>0</v>
      </c>
      <c r="G141" s="41">
        <v>0</v>
      </c>
      <c r="H141" s="41">
        <v>-6000</v>
      </c>
      <c r="I141" s="41">
        <v>0</v>
      </c>
      <c r="J141" s="42">
        <v>0</v>
      </c>
      <c r="K141" s="43">
        <v>0</v>
      </c>
      <c r="L141" s="41">
        <v>0</v>
      </c>
      <c r="M141" s="44">
        <v>0</v>
      </c>
      <c r="N141" s="45">
        <v>0</v>
      </c>
      <c r="O141" s="46">
        <v>0</v>
      </c>
      <c r="P141" s="47">
        <v>0</v>
      </c>
      <c r="Q141" s="43">
        <v>0</v>
      </c>
      <c r="R141" s="41">
        <v>0</v>
      </c>
      <c r="S141" s="44">
        <v>0</v>
      </c>
      <c r="T141" s="48">
        <v>0</v>
      </c>
      <c r="U141" s="46">
        <v>0</v>
      </c>
      <c r="V141" s="47">
        <v>0</v>
      </c>
      <c r="W141" s="43">
        <v>0</v>
      </c>
      <c r="X141" s="44">
        <v>0</v>
      </c>
      <c r="Y141" s="49"/>
      <c r="AA141" s="15" t="s">
        <v>16</v>
      </c>
      <c r="AB141" s="15" t="str">
        <f t="shared" si="2"/>
        <v>Evansville WR - 142AL</v>
      </c>
    </row>
    <row r="142" spans="1:28" x14ac:dyDescent="0.25">
      <c r="A142" s="39" t="s">
        <v>101</v>
      </c>
      <c r="B142" s="39" t="s">
        <v>317</v>
      </c>
      <c r="C142" s="40" t="s">
        <v>318</v>
      </c>
      <c r="D142" s="39" t="s">
        <v>313</v>
      </c>
      <c r="E142" s="39" t="s">
        <v>314</v>
      </c>
      <c r="F142" s="41">
        <v>0</v>
      </c>
      <c r="G142" s="41">
        <v>0</v>
      </c>
      <c r="H142" s="41">
        <v>0</v>
      </c>
      <c r="I142" s="41">
        <v>0</v>
      </c>
      <c r="J142" s="42">
        <v>0</v>
      </c>
      <c r="K142" s="43">
        <v>0</v>
      </c>
      <c r="L142" s="41">
        <v>0</v>
      </c>
      <c r="M142" s="44">
        <v>0</v>
      </c>
      <c r="N142" s="45">
        <v>0</v>
      </c>
      <c r="O142" s="46">
        <v>0</v>
      </c>
      <c r="P142" s="47">
        <v>0</v>
      </c>
      <c r="Q142" s="43">
        <v>0</v>
      </c>
      <c r="R142" s="41">
        <v>0</v>
      </c>
      <c r="S142" s="44">
        <v>0</v>
      </c>
      <c r="T142" s="48">
        <v>0</v>
      </c>
      <c r="U142" s="46">
        <v>0</v>
      </c>
      <c r="V142" s="47">
        <v>0</v>
      </c>
      <c r="W142" s="43">
        <v>0</v>
      </c>
      <c r="X142" s="44">
        <v>0</v>
      </c>
      <c r="Y142" s="49"/>
      <c r="AA142" s="15" t="s">
        <v>16</v>
      </c>
      <c r="AB142" s="15" t="str">
        <f t="shared" si="2"/>
        <v>Ferdinand - 303AL</v>
      </c>
    </row>
    <row r="143" spans="1:28" x14ac:dyDescent="0.25">
      <c r="A143" s="39" t="s">
        <v>104</v>
      </c>
      <c r="B143" s="39" t="s">
        <v>317</v>
      </c>
      <c r="C143" s="40" t="s">
        <v>318</v>
      </c>
      <c r="D143" s="39" t="s">
        <v>313</v>
      </c>
      <c r="E143" s="39" t="s">
        <v>314</v>
      </c>
      <c r="F143" s="41">
        <v>-968.19</v>
      </c>
      <c r="G143" s="41">
        <v>-4215</v>
      </c>
      <c r="H143" s="41">
        <v>-3965</v>
      </c>
      <c r="I143" s="41">
        <v>-1625</v>
      </c>
      <c r="J143" s="42">
        <v>-99</v>
      </c>
      <c r="K143" s="43">
        <v>-1246.0899999999999</v>
      </c>
      <c r="L143" s="41">
        <v>-551.92999999999995</v>
      </c>
      <c r="M143" s="44">
        <v>-694.16</v>
      </c>
      <c r="N143" s="45">
        <v>-0.707202</v>
      </c>
      <c r="O143" s="46">
        <v>-0.32261515080663999</v>
      </c>
      <c r="P143" s="47">
        <v>-0.38458684919336</v>
      </c>
      <c r="Q143" s="43">
        <v>-1345.09</v>
      </c>
      <c r="R143" s="41">
        <v>-1120.93</v>
      </c>
      <c r="S143" s="44">
        <v>-224.16</v>
      </c>
      <c r="T143" s="48">
        <v>-0.37762200000000001</v>
      </c>
      <c r="U143" s="46">
        <v>-0.31352232680491399</v>
      </c>
      <c r="V143" s="47">
        <v>-6.4099673195086193E-2</v>
      </c>
      <c r="W143" s="43">
        <v>-837.1</v>
      </c>
      <c r="X143" s="44">
        <v>-507.99</v>
      </c>
      <c r="Y143" s="49"/>
      <c r="AA143" s="15" t="s">
        <v>16</v>
      </c>
      <c r="AB143" s="15" t="str">
        <f t="shared" si="2"/>
        <v>Findlay - 408AL</v>
      </c>
    </row>
    <row r="144" spans="1:28" x14ac:dyDescent="0.25">
      <c r="A144" s="39" t="s">
        <v>284</v>
      </c>
      <c r="B144" s="39" t="s">
        <v>317</v>
      </c>
      <c r="C144" s="40" t="s">
        <v>318</v>
      </c>
      <c r="D144" s="39" t="s">
        <v>313</v>
      </c>
      <c r="E144" s="39" t="s">
        <v>314</v>
      </c>
      <c r="F144" s="41">
        <v>0</v>
      </c>
      <c r="G144" s="41">
        <v>0</v>
      </c>
      <c r="H144" s="41">
        <v>0</v>
      </c>
      <c r="I144" s="41">
        <v>0</v>
      </c>
      <c r="J144" s="42">
        <v>-150</v>
      </c>
      <c r="K144" s="43">
        <v>150</v>
      </c>
      <c r="L144" s="41">
        <v>0</v>
      </c>
      <c r="M144" s="44">
        <v>150</v>
      </c>
      <c r="N144" s="45">
        <v>0.163576</v>
      </c>
      <c r="O144" s="46">
        <v>0</v>
      </c>
      <c r="P144" s="47">
        <v>0.163576</v>
      </c>
      <c r="Q144" s="43">
        <v>0</v>
      </c>
      <c r="R144" s="41">
        <v>0</v>
      </c>
      <c r="S144" s="44">
        <v>0</v>
      </c>
      <c r="T144" s="48">
        <v>0</v>
      </c>
      <c r="U144" s="46">
        <v>0</v>
      </c>
      <c r="V144" s="47">
        <v>0</v>
      </c>
      <c r="W144" s="43">
        <v>0</v>
      </c>
      <c r="X144" s="44">
        <v>0</v>
      </c>
      <c r="Y144" s="49"/>
      <c r="AA144" s="15" t="s">
        <v>16</v>
      </c>
      <c r="AB144" s="15" t="str">
        <f t="shared" si="2"/>
        <v>Fort Wayne KOD-0553AL</v>
      </c>
    </row>
    <row r="145" spans="1:28" x14ac:dyDescent="0.25">
      <c r="A145" s="39" t="s">
        <v>285</v>
      </c>
      <c r="B145" s="39" t="s">
        <v>317</v>
      </c>
      <c r="C145" s="40" t="s">
        <v>318</v>
      </c>
      <c r="D145" s="39" t="s">
        <v>313</v>
      </c>
      <c r="E145" s="39" t="s">
        <v>314</v>
      </c>
      <c r="F145" s="41">
        <v>0</v>
      </c>
      <c r="G145" s="41">
        <v>0</v>
      </c>
      <c r="H145" s="41">
        <v>0</v>
      </c>
      <c r="I145" s="41">
        <v>-387.1</v>
      </c>
      <c r="J145" s="42">
        <v>-750</v>
      </c>
      <c r="K145" s="43">
        <v>-750</v>
      </c>
      <c r="L145" s="41">
        <v>0</v>
      </c>
      <c r="M145" s="44">
        <v>-750</v>
      </c>
      <c r="N145" s="45">
        <v>-0.97276200000000002</v>
      </c>
      <c r="O145" s="46">
        <v>0</v>
      </c>
      <c r="P145" s="47">
        <v>-0.97276200000000002</v>
      </c>
      <c r="Q145" s="43">
        <v>-1500</v>
      </c>
      <c r="R145" s="41">
        <v>0</v>
      </c>
      <c r="S145" s="44">
        <v>-1500</v>
      </c>
      <c r="T145" s="48">
        <v>-0.93867299999999998</v>
      </c>
      <c r="U145" s="46">
        <v>0</v>
      </c>
      <c r="V145" s="47">
        <v>-0.93867299999999998</v>
      </c>
      <c r="W145" s="43">
        <v>0</v>
      </c>
      <c r="X145" s="44">
        <v>-1500</v>
      </c>
      <c r="Y145" s="49"/>
      <c r="AA145" s="15" t="s">
        <v>16</v>
      </c>
      <c r="AB145" s="15" t="str">
        <f t="shared" si="2"/>
        <v>Fort Wayne KSL-0552AL</v>
      </c>
    </row>
    <row r="146" spans="1:28" x14ac:dyDescent="0.25">
      <c r="A146" s="39" t="s">
        <v>109</v>
      </c>
      <c r="B146" s="39" t="s">
        <v>317</v>
      </c>
      <c r="C146" s="40" t="s">
        <v>318</v>
      </c>
      <c r="D146" s="39" t="s">
        <v>313</v>
      </c>
      <c r="E146" s="39" t="s">
        <v>314</v>
      </c>
      <c r="F146" s="41">
        <v>0</v>
      </c>
      <c r="G146" s="41">
        <v>-974.55</v>
      </c>
      <c r="H146" s="41">
        <v>-2480</v>
      </c>
      <c r="I146" s="41">
        <v>-6744.92</v>
      </c>
      <c r="J146" s="42">
        <v>0</v>
      </c>
      <c r="K146" s="43">
        <v>0</v>
      </c>
      <c r="L146" s="41">
        <v>0</v>
      </c>
      <c r="M146" s="44">
        <v>0</v>
      </c>
      <c r="N146" s="45">
        <v>0</v>
      </c>
      <c r="O146" s="46">
        <v>0</v>
      </c>
      <c r="P146" s="47">
        <v>0</v>
      </c>
      <c r="Q146" s="43">
        <v>0</v>
      </c>
      <c r="R146" s="41">
        <v>0</v>
      </c>
      <c r="S146" s="44">
        <v>0</v>
      </c>
      <c r="T146" s="48">
        <v>0</v>
      </c>
      <c r="U146" s="46">
        <v>0</v>
      </c>
      <c r="V146" s="47">
        <v>0</v>
      </c>
      <c r="W146" s="43">
        <v>0</v>
      </c>
      <c r="X146" s="44">
        <v>0</v>
      </c>
      <c r="Y146" s="49"/>
      <c r="AA146" s="15" t="s">
        <v>16</v>
      </c>
      <c r="AB146" s="15" t="str">
        <f t="shared" si="2"/>
        <v>Fremont - 403AL</v>
      </c>
    </row>
    <row r="147" spans="1:28" x14ac:dyDescent="0.25">
      <c r="A147" s="39" t="s">
        <v>113</v>
      </c>
      <c r="B147" s="39" t="s">
        <v>317</v>
      </c>
      <c r="C147" s="40" t="s">
        <v>318</v>
      </c>
      <c r="D147" s="39" t="s">
        <v>313</v>
      </c>
      <c r="E147" s="39" t="s">
        <v>314</v>
      </c>
      <c r="F147" s="41">
        <v>-2940</v>
      </c>
      <c r="G147" s="41">
        <v>-3450</v>
      </c>
      <c r="H147" s="41">
        <v>0</v>
      </c>
      <c r="I147" s="41">
        <v>0</v>
      </c>
      <c r="J147" s="42">
        <v>0</v>
      </c>
      <c r="K147" s="43">
        <v>0</v>
      </c>
      <c r="L147" s="41">
        <v>-1103.6444444444001</v>
      </c>
      <c r="M147" s="44">
        <v>1103.6444444444001</v>
      </c>
      <c r="N147" s="45">
        <v>0</v>
      </c>
      <c r="O147" s="46">
        <v>-1.3911052205834</v>
      </c>
      <c r="P147" s="47">
        <v>1.3911052205834</v>
      </c>
      <c r="Q147" s="43">
        <v>0</v>
      </c>
      <c r="R147" s="41">
        <v>-2241.4222222222002</v>
      </c>
      <c r="S147" s="44">
        <v>2241.4222222222002</v>
      </c>
      <c r="T147" s="48">
        <v>0</v>
      </c>
      <c r="U147" s="46">
        <v>-1.34703394477323</v>
      </c>
      <c r="V147" s="47">
        <v>1.34703394477323</v>
      </c>
      <c r="W147" s="43">
        <v>-3000</v>
      </c>
      <c r="X147" s="44">
        <v>3000</v>
      </c>
      <c r="Y147" s="49"/>
      <c r="AA147" s="15" t="s">
        <v>16</v>
      </c>
      <c r="AB147" s="15" t="str">
        <f t="shared" si="2"/>
        <v>Gahanna - 436AL</v>
      </c>
    </row>
    <row r="148" spans="1:28" x14ac:dyDescent="0.25">
      <c r="A148" s="39" t="s">
        <v>114</v>
      </c>
      <c r="B148" s="39" t="s">
        <v>317</v>
      </c>
      <c r="C148" s="40" t="s">
        <v>318</v>
      </c>
      <c r="D148" s="39" t="s">
        <v>313</v>
      </c>
      <c r="E148" s="39" t="s">
        <v>314</v>
      </c>
      <c r="F148" s="41">
        <v>-1523.81</v>
      </c>
      <c r="G148" s="41">
        <v>-4338</v>
      </c>
      <c r="H148" s="41">
        <v>-4438</v>
      </c>
      <c r="I148" s="41">
        <v>-1438</v>
      </c>
      <c r="J148" s="42">
        <v>0</v>
      </c>
      <c r="K148" s="43">
        <v>0</v>
      </c>
      <c r="L148" s="41">
        <v>-1297.8599999999999</v>
      </c>
      <c r="M148" s="44">
        <v>1297.8599999999999</v>
      </c>
      <c r="N148" s="45">
        <v>0</v>
      </c>
      <c r="O148" s="46">
        <v>-0.93376483468293503</v>
      </c>
      <c r="P148" s="47">
        <v>0.93376483468293503</v>
      </c>
      <c r="Q148" s="43">
        <v>0</v>
      </c>
      <c r="R148" s="41">
        <v>-2635.86</v>
      </c>
      <c r="S148" s="44">
        <v>2635.86</v>
      </c>
      <c r="T148" s="48">
        <v>0</v>
      </c>
      <c r="U148" s="46">
        <v>-0.89960982611182705</v>
      </c>
      <c r="V148" s="47">
        <v>0.89960982611182705</v>
      </c>
      <c r="W148" s="43">
        <v>-2776</v>
      </c>
      <c r="X148" s="44">
        <v>2776</v>
      </c>
      <c r="Y148" s="49"/>
      <c r="AA148" s="15" t="s">
        <v>16</v>
      </c>
      <c r="AB148" s="15" t="str">
        <f t="shared" si="2"/>
        <v>Genoa - 411AL</v>
      </c>
    </row>
    <row r="149" spans="1:28" x14ac:dyDescent="0.25">
      <c r="A149" s="39" t="s">
        <v>117</v>
      </c>
      <c r="B149" s="39" t="s">
        <v>317</v>
      </c>
      <c r="C149" s="40" t="s">
        <v>318</v>
      </c>
      <c r="D149" s="39" t="s">
        <v>313</v>
      </c>
      <c r="E149" s="39" t="s">
        <v>314</v>
      </c>
      <c r="F149" s="41">
        <v>-13620</v>
      </c>
      <c r="G149" s="41">
        <v>-14140</v>
      </c>
      <c r="H149" s="41">
        <v>-15862</v>
      </c>
      <c r="I149" s="41">
        <v>-16504</v>
      </c>
      <c r="J149" s="42">
        <v>-16678</v>
      </c>
      <c r="K149" s="43">
        <v>-15889</v>
      </c>
      <c r="L149" s="41">
        <v>-375.39</v>
      </c>
      <c r="M149" s="44">
        <v>-15513.61</v>
      </c>
      <c r="N149" s="45">
        <v>-6.3657849999999998</v>
      </c>
      <c r="O149" s="46">
        <v>-0.15369466598974801</v>
      </c>
      <c r="P149" s="47">
        <v>-6.2120903340102496</v>
      </c>
      <c r="Q149" s="43">
        <v>-32567</v>
      </c>
      <c r="R149" s="41">
        <v>-762.39</v>
      </c>
      <c r="S149" s="44">
        <v>-31804.61</v>
      </c>
      <c r="T149" s="48">
        <v>-6.1435570000000004</v>
      </c>
      <c r="U149" s="46">
        <v>-0.14813555435950501</v>
      </c>
      <c r="V149" s="47">
        <v>-5.9954214456404902</v>
      </c>
      <c r="W149" s="43">
        <v>-21779</v>
      </c>
      <c r="X149" s="44">
        <v>-10788</v>
      </c>
      <c r="Y149" s="49"/>
      <c r="AA149" s="15" t="s">
        <v>16</v>
      </c>
      <c r="AB149" s="15" t="str">
        <f t="shared" si="2"/>
        <v>Goshen SL - 2184AL</v>
      </c>
    </row>
    <row r="150" spans="1:28" x14ac:dyDescent="0.25">
      <c r="A150" s="39" t="s">
        <v>120</v>
      </c>
      <c r="B150" s="39" t="s">
        <v>317</v>
      </c>
      <c r="C150" s="40" t="s">
        <v>318</v>
      </c>
      <c r="D150" s="39" t="s">
        <v>313</v>
      </c>
      <c r="E150" s="39" t="s">
        <v>314</v>
      </c>
      <c r="F150" s="41">
        <v>-10697.05</v>
      </c>
      <c r="G150" s="41">
        <v>-15152.34</v>
      </c>
      <c r="H150" s="41">
        <v>-12997.12</v>
      </c>
      <c r="I150" s="41">
        <v>-10979.59</v>
      </c>
      <c r="J150" s="42">
        <v>-10141.44</v>
      </c>
      <c r="K150" s="43">
        <v>-10728.17</v>
      </c>
      <c r="L150" s="41">
        <v>-7497.8575000000001</v>
      </c>
      <c r="M150" s="44">
        <v>-3230.3125</v>
      </c>
      <c r="N150" s="45">
        <v>-14.304226</v>
      </c>
      <c r="O150" s="46">
        <v>-8.9231727038116304</v>
      </c>
      <c r="P150" s="47">
        <v>-5.3810532961883704</v>
      </c>
      <c r="Q150" s="43">
        <v>-20869.61</v>
      </c>
      <c r="R150" s="41">
        <v>-15227.6075</v>
      </c>
      <c r="S150" s="44">
        <v>-5642.0024999999996</v>
      </c>
      <c r="T150" s="48">
        <v>-13.667066</v>
      </c>
      <c r="U150" s="46">
        <v>-8.6004229659662705</v>
      </c>
      <c r="V150" s="47">
        <v>-5.0666430340337296</v>
      </c>
      <c r="W150" s="43">
        <v>-9046.84</v>
      </c>
      <c r="X150" s="44">
        <v>-11822.77</v>
      </c>
      <c r="Y150" s="49"/>
      <c r="AA150" s="15" t="s">
        <v>16</v>
      </c>
      <c r="AB150" s="15" t="str">
        <f t="shared" si="2"/>
        <v>Grand Blanc - 2505AL</v>
      </c>
    </row>
    <row r="151" spans="1:28" x14ac:dyDescent="0.25">
      <c r="A151" s="39" t="s">
        <v>121</v>
      </c>
      <c r="B151" s="39" t="s">
        <v>317</v>
      </c>
      <c r="C151" s="40" t="s">
        <v>318</v>
      </c>
      <c r="D151" s="39" t="s">
        <v>313</v>
      </c>
      <c r="E151" s="39" t="s">
        <v>314</v>
      </c>
      <c r="F151" s="41">
        <v>-1500</v>
      </c>
      <c r="G151" s="41">
        <v>0</v>
      </c>
      <c r="H151" s="41">
        <v>0</v>
      </c>
      <c r="I151" s="41">
        <v>0</v>
      </c>
      <c r="J151" s="42">
        <v>0</v>
      </c>
      <c r="K151" s="43">
        <v>0</v>
      </c>
      <c r="L151" s="41">
        <v>0</v>
      </c>
      <c r="M151" s="44">
        <v>0</v>
      </c>
      <c r="N151" s="45">
        <v>0</v>
      </c>
      <c r="O151" s="46">
        <v>0</v>
      </c>
      <c r="P151" s="47">
        <v>0</v>
      </c>
      <c r="Q151" s="43">
        <v>0</v>
      </c>
      <c r="R151" s="41">
        <v>0</v>
      </c>
      <c r="S151" s="44">
        <v>0</v>
      </c>
      <c r="T151" s="48">
        <v>0</v>
      </c>
      <c r="U151" s="46">
        <v>0</v>
      </c>
      <c r="V151" s="47">
        <v>0</v>
      </c>
      <c r="W151" s="43">
        <v>-209.68</v>
      </c>
      <c r="X151" s="44">
        <v>209.68</v>
      </c>
      <c r="Y151" s="49"/>
      <c r="AA151" s="15" t="s">
        <v>16</v>
      </c>
      <c r="AB151" s="15" t="str">
        <f t="shared" si="2"/>
        <v>Greencastle - 119AL</v>
      </c>
    </row>
    <row r="152" spans="1:28" x14ac:dyDescent="0.25">
      <c r="A152" s="39" t="s">
        <v>122</v>
      </c>
      <c r="B152" s="39" t="s">
        <v>317</v>
      </c>
      <c r="C152" s="40" t="s">
        <v>318</v>
      </c>
      <c r="D152" s="39" t="s">
        <v>313</v>
      </c>
      <c r="E152" s="39" t="s">
        <v>314</v>
      </c>
      <c r="F152" s="41">
        <v>-1983</v>
      </c>
      <c r="G152" s="41">
        <v>-3218.13</v>
      </c>
      <c r="H152" s="41">
        <v>-3140</v>
      </c>
      <c r="I152" s="41">
        <v>-140</v>
      </c>
      <c r="J152" s="42">
        <v>0</v>
      </c>
      <c r="K152" s="43">
        <v>0</v>
      </c>
      <c r="L152" s="41">
        <v>-772.6804444444</v>
      </c>
      <c r="M152" s="44">
        <v>772.6804444444</v>
      </c>
      <c r="N152" s="45">
        <v>0</v>
      </c>
      <c r="O152" s="46">
        <v>-0.466517954780934</v>
      </c>
      <c r="P152" s="47">
        <v>0.466517954780934</v>
      </c>
      <c r="Q152" s="43">
        <v>0</v>
      </c>
      <c r="R152" s="41">
        <v>-1569.2582222221999</v>
      </c>
      <c r="S152" s="44">
        <v>1569.2582222221999</v>
      </c>
      <c r="T152" s="48">
        <v>0</v>
      </c>
      <c r="U152" s="46">
        <v>-0.44964407453638799</v>
      </c>
      <c r="V152" s="47">
        <v>0.44964407453638799</v>
      </c>
      <c r="W152" s="43">
        <v>-928</v>
      </c>
      <c r="X152" s="44">
        <v>928</v>
      </c>
      <c r="Y152" s="49"/>
      <c r="AA152" s="15" t="s">
        <v>16</v>
      </c>
      <c r="AB152" s="15" t="str">
        <f t="shared" si="2"/>
        <v>Greenfield - 125AL</v>
      </c>
    </row>
    <row r="153" spans="1:28" x14ac:dyDescent="0.25">
      <c r="A153" s="39" t="s">
        <v>124</v>
      </c>
      <c r="B153" s="39" t="s">
        <v>317</v>
      </c>
      <c r="C153" s="40" t="s">
        <v>318</v>
      </c>
      <c r="D153" s="39" t="s">
        <v>313</v>
      </c>
      <c r="E153" s="39" t="s">
        <v>314</v>
      </c>
      <c r="F153" s="41">
        <v>0</v>
      </c>
      <c r="G153" s="41">
        <v>-1112.9000000000001</v>
      </c>
      <c r="H153" s="41">
        <v>0</v>
      </c>
      <c r="I153" s="41">
        <v>0</v>
      </c>
      <c r="J153" s="42">
        <v>0</v>
      </c>
      <c r="K153" s="43">
        <v>0</v>
      </c>
      <c r="L153" s="41">
        <v>-925.97385555560004</v>
      </c>
      <c r="M153" s="44">
        <v>925.97385555560004</v>
      </c>
      <c r="N153" s="45">
        <v>0</v>
      </c>
      <c r="O153" s="46">
        <v>-1.0350702610726601</v>
      </c>
      <c r="P153" s="47">
        <v>1.0350702610726601</v>
      </c>
      <c r="Q153" s="43">
        <v>0</v>
      </c>
      <c r="R153" s="41">
        <v>-1880.5860777778</v>
      </c>
      <c r="S153" s="44">
        <v>1880.5860777778</v>
      </c>
      <c r="T153" s="48">
        <v>0</v>
      </c>
      <c r="U153" s="46">
        <v>-0.997631934313571</v>
      </c>
      <c r="V153" s="47">
        <v>0.997631934313571</v>
      </c>
      <c r="W153" s="43">
        <v>-824.84</v>
      </c>
      <c r="X153" s="44">
        <v>824.84</v>
      </c>
      <c r="Y153" s="49"/>
      <c r="AA153" s="15" t="s">
        <v>16</v>
      </c>
      <c r="AB153" s="15" t="str">
        <f t="shared" si="2"/>
        <v>Greensburg - 150AL</v>
      </c>
    </row>
    <row r="154" spans="1:28" x14ac:dyDescent="0.25">
      <c r="A154" s="39" t="s">
        <v>125</v>
      </c>
      <c r="B154" s="39" t="s">
        <v>317</v>
      </c>
      <c r="C154" s="40" t="s">
        <v>318</v>
      </c>
      <c r="D154" s="39" t="s">
        <v>313</v>
      </c>
      <c r="E154" s="39" t="s">
        <v>314</v>
      </c>
      <c r="F154" s="41">
        <v>-2598.4699999999998</v>
      </c>
      <c r="G154" s="41">
        <v>-4081.8</v>
      </c>
      <c r="H154" s="41">
        <v>-2581.8000000000002</v>
      </c>
      <c r="I154" s="41">
        <v>-1081.8</v>
      </c>
      <c r="J154" s="42">
        <v>-1639.35</v>
      </c>
      <c r="K154" s="43">
        <v>-180</v>
      </c>
      <c r="L154" s="41">
        <v>-752.01297777779996</v>
      </c>
      <c r="M154" s="44">
        <v>572.01297777779996</v>
      </c>
      <c r="N154" s="45">
        <v>-0.18218599999999999</v>
      </c>
      <c r="O154" s="46">
        <v>-0.820079583181897</v>
      </c>
      <c r="P154" s="47">
        <v>0.63789358318189704</v>
      </c>
      <c r="Q154" s="43">
        <v>-1819.35</v>
      </c>
      <c r="R154" s="41">
        <v>-1527.2840888889</v>
      </c>
      <c r="S154" s="44">
        <v>-292.06591111109998</v>
      </c>
      <c r="T154" s="48">
        <v>-0.87426700000000002</v>
      </c>
      <c r="U154" s="46">
        <v>-0.79041743505700501</v>
      </c>
      <c r="V154" s="47">
        <v>-8.3849564942994698E-2</v>
      </c>
      <c r="W154" s="43">
        <v>0</v>
      </c>
      <c r="X154" s="44">
        <v>-1819.35</v>
      </c>
      <c r="Y154" s="49"/>
      <c r="AA154" s="15" t="s">
        <v>16</v>
      </c>
      <c r="AB154" s="15" t="str">
        <f t="shared" si="2"/>
        <v>Hamilton - 439AL</v>
      </c>
    </row>
    <row r="155" spans="1:28" x14ac:dyDescent="0.25">
      <c r="A155" s="39" t="s">
        <v>126</v>
      </c>
      <c r="B155" s="39" t="s">
        <v>317</v>
      </c>
      <c r="C155" s="40" t="s">
        <v>318</v>
      </c>
      <c r="D155" s="39" t="s">
        <v>313</v>
      </c>
      <c r="E155" s="39" t="s">
        <v>314</v>
      </c>
      <c r="F155" s="41">
        <v>-6000</v>
      </c>
      <c r="G155" s="41">
        <v>-5000</v>
      </c>
      <c r="H155" s="41">
        <v>-2000</v>
      </c>
      <c r="I155" s="41">
        <v>-1838.71</v>
      </c>
      <c r="J155" s="42">
        <v>0</v>
      </c>
      <c r="K155" s="43">
        <v>0</v>
      </c>
      <c r="L155" s="41">
        <v>-1940</v>
      </c>
      <c r="M155" s="44">
        <v>1940</v>
      </c>
      <c r="N155" s="45">
        <v>0</v>
      </c>
      <c r="O155" s="46">
        <v>-3.1493506493506498</v>
      </c>
      <c r="P155" s="47">
        <v>3.1493506493506498</v>
      </c>
      <c r="Q155" s="43">
        <v>0</v>
      </c>
      <c r="R155" s="41">
        <v>-3940</v>
      </c>
      <c r="S155" s="44">
        <v>3940</v>
      </c>
      <c r="T155" s="48">
        <v>0</v>
      </c>
      <c r="U155" s="46">
        <v>-3.0354391371340599</v>
      </c>
      <c r="V155" s="47">
        <v>3.0354391371340599</v>
      </c>
      <c r="W155" s="43">
        <v>-2000</v>
      </c>
      <c r="X155" s="44">
        <v>2000</v>
      </c>
      <c r="Y155" s="49"/>
      <c r="AA155" s="15" t="s">
        <v>16</v>
      </c>
      <c r="AB155" s="15" t="str">
        <f t="shared" si="2"/>
        <v>Hanover - 116AL</v>
      </c>
    </row>
    <row r="156" spans="1:28" x14ac:dyDescent="0.25">
      <c r="A156" s="39" t="s">
        <v>127</v>
      </c>
      <c r="B156" s="39" t="s">
        <v>317</v>
      </c>
      <c r="C156" s="40" t="s">
        <v>318</v>
      </c>
      <c r="D156" s="39" t="s">
        <v>313</v>
      </c>
      <c r="E156" s="39" t="s">
        <v>314</v>
      </c>
      <c r="F156" s="41">
        <v>-91</v>
      </c>
      <c r="G156" s="41">
        <v>-220</v>
      </c>
      <c r="H156" s="41">
        <v>-422</v>
      </c>
      <c r="I156" s="41">
        <v>-200</v>
      </c>
      <c r="J156" s="42">
        <v>0</v>
      </c>
      <c r="K156" s="43">
        <v>0</v>
      </c>
      <c r="L156" s="41">
        <v>0</v>
      </c>
      <c r="M156" s="44">
        <v>0</v>
      </c>
      <c r="N156" s="45">
        <v>0</v>
      </c>
      <c r="O156" s="46">
        <v>0</v>
      </c>
      <c r="P156" s="47">
        <v>0</v>
      </c>
      <c r="Q156" s="43">
        <v>0</v>
      </c>
      <c r="R156" s="41">
        <v>0</v>
      </c>
      <c r="S156" s="44">
        <v>0</v>
      </c>
      <c r="T156" s="48">
        <v>0</v>
      </c>
      <c r="U156" s="46">
        <v>0</v>
      </c>
      <c r="V156" s="47">
        <v>0</v>
      </c>
      <c r="W156" s="43">
        <v>-170</v>
      </c>
      <c r="X156" s="44">
        <v>170</v>
      </c>
      <c r="Y156" s="49"/>
      <c r="AA156" s="15" t="s">
        <v>16</v>
      </c>
      <c r="AB156" s="15" t="str">
        <f t="shared" si="2"/>
        <v>Harrison - 442AL</v>
      </c>
    </row>
    <row r="157" spans="1:28" x14ac:dyDescent="0.25">
      <c r="A157" s="39" t="s">
        <v>128</v>
      </c>
      <c r="B157" s="39" t="s">
        <v>317</v>
      </c>
      <c r="C157" s="40" t="s">
        <v>318</v>
      </c>
      <c r="D157" s="39" t="s">
        <v>313</v>
      </c>
      <c r="E157" s="39" t="s">
        <v>314</v>
      </c>
      <c r="F157" s="41">
        <v>-1360</v>
      </c>
      <c r="G157" s="41">
        <v>-1360</v>
      </c>
      <c r="H157" s="41">
        <v>-1360</v>
      </c>
      <c r="I157" s="41">
        <v>-1360</v>
      </c>
      <c r="J157" s="42">
        <v>-1360</v>
      </c>
      <c r="K157" s="43">
        <v>-4087.86</v>
      </c>
      <c r="L157" s="41">
        <v>-1319.2</v>
      </c>
      <c r="M157" s="44">
        <v>-2768.66</v>
      </c>
      <c r="N157" s="45">
        <v>-5.2746579999999996</v>
      </c>
      <c r="O157" s="46">
        <v>-1.77121374865736</v>
      </c>
      <c r="P157" s="47">
        <v>-3.50344425134264</v>
      </c>
      <c r="Q157" s="43">
        <v>-5447.86</v>
      </c>
      <c r="R157" s="41">
        <v>-2679.2</v>
      </c>
      <c r="S157" s="44">
        <v>-2768.66</v>
      </c>
      <c r="T157" s="48">
        <v>-3.456763</v>
      </c>
      <c r="U157" s="46">
        <v>-1.7071492290047099</v>
      </c>
      <c r="V157" s="47">
        <v>-1.7496137709952899</v>
      </c>
      <c r="W157" s="43">
        <v>-1088</v>
      </c>
      <c r="X157" s="44">
        <v>-4359.8599999999997</v>
      </c>
      <c r="Y157" s="49"/>
      <c r="AA157" s="15" t="s">
        <v>16</v>
      </c>
      <c r="AB157" s="15" t="str">
        <f t="shared" si="2"/>
        <v>Harrodsburg - 2187AL</v>
      </c>
    </row>
    <row r="158" spans="1:28" x14ac:dyDescent="0.25">
      <c r="A158" s="39" t="s">
        <v>281</v>
      </c>
      <c r="B158" s="39" t="s">
        <v>317</v>
      </c>
      <c r="C158" s="40" t="s">
        <v>318</v>
      </c>
      <c r="D158" s="39" t="s">
        <v>313</v>
      </c>
      <c r="E158" s="39" t="s">
        <v>314</v>
      </c>
      <c r="F158" s="41">
        <v>0</v>
      </c>
      <c r="G158" s="41">
        <v>0</v>
      </c>
      <c r="H158" s="41">
        <v>0</v>
      </c>
      <c r="I158" s="41">
        <v>0</v>
      </c>
      <c r="J158" s="42">
        <v>0</v>
      </c>
      <c r="K158" s="43">
        <v>0</v>
      </c>
      <c r="L158" s="41">
        <v>0</v>
      </c>
      <c r="M158" s="44">
        <v>0</v>
      </c>
      <c r="N158" s="45">
        <v>0</v>
      </c>
      <c r="O158" s="46">
        <v>0</v>
      </c>
      <c r="P158" s="47">
        <v>0</v>
      </c>
      <c r="Q158" s="43">
        <v>0</v>
      </c>
      <c r="R158" s="41">
        <v>0</v>
      </c>
      <c r="S158" s="44">
        <v>0</v>
      </c>
      <c r="T158" s="48">
        <v>0</v>
      </c>
      <c r="U158" s="46">
        <v>0</v>
      </c>
      <c r="V158" s="47">
        <v>0</v>
      </c>
      <c r="W158" s="43">
        <v>0</v>
      </c>
      <c r="X158" s="44">
        <v>0</v>
      </c>
      <c r="Y158" s="49"/>
      <c r="AA158" s="15" t="s">
        <v>16</v>
      </c>
      <c r="AB158" s="15" t="str">
        <f t="shared" si="2"/>
        <v>Hickory KRH-0563AL</v>
      </c>
    </row>
    <row r="159" spans="1:28" x14ac:dyDescent="0.25">
      <c r="A159" s="39" t="s">
        <v>130</v>
      </c>
      <c r="B159" s="39" t="s">
        <v>317</v>
      </c>
      <c r="C159" s="40" t="s">
        <v>318</v>
      </c>
      <c r="D159" s="39" t="s">
        <v>313</v>
      </c>
      <c r="E159" s="39" t="s">
        <v>314</v>
      </c>
      <c r="F159" s="41">
        <v>0</v>
      </c>
      <c r="G159" s="41">
        <v>-3000</v>
      </c>
      <c r="H159" s="41">
        <v>0</v>
      </c>
      <c r="I159" s="41">
        <v>-3000</v>
      </c>
      <c r="J159" s="42">
        <v>0</v>
      </c>
      <c r="K159" s="43">
        <v>0</v>
      </c>
      <c r="L159" s="41">
        <v>0</v>
      </c>
      <c r="M159" s="44">
        <v>0</v>
      </c>
      <c r="N159" s="45">
        <v>0</v>
      </c>
      <c r="O159" s="46">
        <v>0</v>
      </c>
      <c r="P159" s="47">
        <v>0</v>
      </c>
      <c r="Q159" s="43">
        <v>0</v>
      </c>
      <c r="R159" s="41">
        <v>0</v>
      </c>
      <c r="S159" s="44">
        <v>0</v>
      </c>
      <c r="T159" s="48">
        <v>0</v>
      </c>
      <c r="U159" s="46">
        <v>0</v>
      </c>
      <c r="V159" s="47">
        <v>0</v>
      </c>
      <c r="W159" s="43">
        <v>0</v>
      </c>
      <c r="X159" s="44">
        <v>0</v>
      </c>
      <c r="Y159" s="49"/>
      <c r="AA159" s="15" t="s">
        <v>16</v>
      </c>
      <c r="AB159" s="15" t="str">
        <f t="shared" si="2"/>
        <v>Hilliard - 437AL</v>
      </c>
    </row>
    <row r="160" spans="1:28" x14ac:dyDescent="0.25">
      <c r="A160" s="39" t="s">
        <v>131</v>
      </c>
      <c r="B160" s="39" t="s">
        <v>317</v>
      </c>
      <c r="C160" s="40" t="s">
        <v>318</v>
      </c>
      <c r="D160" s="39" t="s">
        <v>313</v>
      </c>
      <c r="E160" s="39" t="s">
        <v>314</v>
      </c>
      <c r="F160" s="41">
        <v>-4500</v>
      </c>
      <c r="G160" s="41">
        <v>-2145.16</v>
      </c>
      <c r="H160" s="41">
        <v>-580</v>
      </c>
      <c r="I160" s="41">
        <v>-500</v>
      </c>
      <c r="J160" s="42">
        <v>-670.32</v>
      </c>
      <c r="K160" s="43">
        <v>-303.57</v>
      </c>
      <c r="L160" s="41">
        <v>-485</v>
      </c>
      <c r="M160" s="44">
        <v>181.43</v>
      </c>
      <c r="N160" s="45">
        <v>-0.17711199999999999</v>
      </c>
      <c r="O160" s="46">
        <v>-0.28507946957584901</v>
      </c>
      <c r="P160" s="47">
        <v>0.107967469575849</v>
      </c>
      <c r="Q160" s="43">
        <v>-973.89</v>
      </c>
      <c r="R160" s="41">
        <v>-985</v>
      </c>
      <c r="S160" s="44">
        <v>11.11</v>
      </c>
      <c r="T160" s="48">
        <v>-0.26579900000000001</v>
      </c>
      <c r="U160" s="46">
        <v>-0.27476819049106799</v>
      </c>
      <c r="V160" s="47">
        <v>8.9691904910679209E-3</v>
      </c>
      <c r="W160" s="43">
        <v>-5405.54</v>
      </c>
      <c r="X160" s="44">
        <v>4431.6499999999996</v>
      </c>
      <c r="Y160" s="49"/>
      <c r="AA160" s="15" t="s">
        <v>16</v>
      </c>
      <c r="AB160" s="15" t="str">
        <f t="shared" si="2"/>
        <v>Howell - 2509AL</v>
      </c>
    </row>
    <row r="161" spans="1:28" x14ac:dyDescent="0.25">
      <c r="A161" s="39" t="s">
        <v>132</v>
      </c>
      <c r="B161" s="39" t="s">
        <v>317</v>
      </c>
      <c r="C161" s="40" t="s">
        <v>318</v>
      </c>
      <c r="D161" s="39" t="s">
        <v>313</v>
      </c>
      <c r="E161" s="39" t="s">
        <v>314</v>
      </c>
      <c r="F161" s="41">
        <v>-450</v>
      </c>
      <c r="G161" s="41">
        <v>-772</v>
      </c>
      <c r="H161" s="41">
        <v>-1010</v>
      </c>
      <c r="I161" s="41">
        <v>-450</v>
      </c>
      <c r="J161" s="42">
        <v>0</v>
      </c>
      <c r="K161" s="43">
        <v>0</v>
      </c>
      <c r="L161" s="41">
        <v>-436.5</v>
      </c>
      <c r="M161" s="44">
        <v>436.5</v>
      </c>
      <c r="N161" s="45">
        <v>0</v>
      </c>
      <c r="O161" s="46">
        <v>-0.45715061753491498</v>
      </c>
      <c r="P161" s="47">
        <v>0.45715061753491498</v>
      </c>
      <c r="Q161" s="43">
        <v>0</v>
      </c>
      <c r="R161" s="41">
        <v>-886.5</v>
      </c>
      <c r="S161" s="44">
        <v>886.5</v>
      </c>
      <c r="T161" s="48">
        <v>0</v>
      </c>
      <c r="U161" s="46">
        <v>-0.44061555238905997</v>
      </c>
      <c r="V161" s="47">
        <v>0.44061555238905997</v>
      </c>
      <c r="W161" s="43">
        <v>-500</v>
      </c>
      <c r="X161" s="44">
        <v>500</v>
      </c>
      <c r="Y161" s="49"/>
      <c r="AA161" s="15" t="s">
        <v>16</v>
      </c>
      <c r="AB161" s="15" t="str">
        <f t="shared" si="2"/>
        <v>Hudsonville - 524AL</v>
      </c>
    </row>
    <row r="162" spans="1:28" x14ac:dyDescent="0.25">
      <c r="A162" s="39" t="s">
        <v>133</v>
      </c>
      <c r="B162" s="39" t="s">
        <v>317</v>
      </c>
      <c r="C162" s="40" t="s">
        <v>318</v>
      </c>
      <c r="D162" s="39" t="s">
        <v>313</v>
      </c>
      <c r="E162" s="39" t="s">
        <v>314</v>
      </c>
      <c r="F162" s="41">
        <v>0</v>
      </c>
      <c r="G162" s="41">
        <v>0</v>
      </c>
      <c r="H162" s="41">
        <v>0</v>
      </c>
      <c r="I162" s="41">
        <v>0</v>
      </c>
      <c r="J162" s="42">
        <v>0</v>
      </c>
      <c r="K162" s="43">
        <v>0</v>
      </c>
      <c r="L162" s="41">
        <v>0</v>
      </c>
      <c r="M162" s="44">
        <v>0</v>
      </c>
      <c r="N162" s="45">
        <v>0</v>
      </c>
      <c r="O162" s="46">
        <v>0</v>
      </c>
      <c r="P162" s="47">
        <v>0</v>
      </c>
      <c r="Q162" s="43">
        <v>0</v>
      </c>
      <c r="R162" s="41">
        <v>0</v>
      </c>
      <c r="S162" s="44">
        <v>0</v>
      </c>
      <c r="T162" s="48">
        <v>0</v>
      </c>
      <c r="U162" s="46">
        <v>0</v>
      </c>
      <c r="V162" s="47">
        <v>0</v>
      </c>
      <c r="W162" s="43">
        <v>0</v>
      </c>
      <c r="X162" s="44">
        <v>0</v>
      </c>
      <c r="Y162" s="49"/>
      <c r="AA162" s="15" t="s">
        <v>16</v>
      </c>
      <c r="AB162" s="15" t="str">
        <f t="shared" si="2"/>
        <v>Indianapolis AP - 5160AL</v>
      </c>
    </row>
    <row r="163" spans="1:28" x14ac:dyDescent="0.25">
      <c r="A163" s="39" t="s">
        <v>134</v>
      </c>
      <c r="B163" s="39" t="s">
        <v>317</v>
      </c>
      <c r="C163" s="40" t="s">
        <v>318</v>
      </c>
      <c r="D163" s="39" t="s">
        <v>313</v>
      </c>
      <c r="E163" s="39" t="s">
        <v>314</v>
      </c>
      <c r="F163" s="41">
        <v>-630</v>
      </c>
      <c r="G163" s="41">
        <v>-9630</v>
      </c>
      <c r="H163" s="41">
        <v>-602.45000000000005</v>
      </c>
      <c r="I163" s="41">
        <v>-2860</v>
      </c>
      <c r="J163" s="42">
        <v>-1082.68</v>
      </c>
      <c r="K163" s="43">
        <v>0</v>
      </c>
      <c r="L163" s="41">
        <v>-1512.8411000000001</v>
      </c>
      <c r="M163" s="44">
        <v>1512.8411000000001</v>
      </c>
      <c r="N163" s="45">
        <v>0</v>
      </c>
      <c r="O163" s="46">
        <v>-1.53646000068749</v>
      </c>
      <c r="P163" s="47">
        <v>1.53646000068749</v>
      </c>
      <c r="Q163" s="43">
        <v>-1082.68</v>
      </c>
      <c r="R163" s="41">
        <v>-3072.4711000000002</v>
      </c>
      <c r="S163" s="44">
        <v>1989.7910999999999</v>
      </c>
      <c r="T163" s="48">
        <v>-0.59324900000000003</v>
      </c>
      <c r="U163" s="46">
        <v>-1.4808864867713001</v>
      </c>
      <c r="V163" s="47">
        <v>0.88763748677130305</v>
      </c>
      <c r="W163" s="43">
        <v>-4739.83</v>
      </c>
      <c r="X163" s="44">
        <v>3657.15</v>
      </c>
      <c r="Y163" s="49"/>
      <c r="AA163" s="15" t="s">
        <v>16</v>
      </c>
      <c r="AB163" s="15" t="str">
        <f t="shared" si="2"/>
        <v>Indianapolis CL - 5161AL</v>
      </c>
    </row>
    <row r="164" spans="1:28" x14ac:dyDescent="0.25">
      <c r="A164" s="39" t="s">
        <v>135</v>
      </c>
      <c r="B164" s="39" t="s">
        <v>317</v>
      </c>
      <c r="C164" s="40" t="s">
        <v>318</v>
      </c>
      <c r="D164" s="39" t="s">
        <v>313</v>
      </c>
      <c r="E164" s="39" t="s">
        <v>314</v>
      </c>
      <c r="F164" s="41">
        <v>0</v>
      </c>
      <c r="G164" s="41">
        <v>-2854.84</v>
      </c>
      <c r="H164" s="41">
        <v>0</v>
      </c>
      <c r="I164" s="41">
        <v>0</v>
      </c>
      <c r="J164" s="42">
        <v>0</v>
      </c>
      <c r="K164" s="43">
        <v>0</v>
      </c>
      <c r="L164" s="41">
        <v>0</v>
      </c>
      <c r="M164" s="44">
        <v>0</v>
      </c>
      <c r="N164" s="45">
        <v>0</v>
      </c>
      <c r="O164" s="46">
        <v>0</v>
      </c>
      <c r="P164" s="47">
        <v>0</v>
      </c>
      <c r="Q164" s="43">
        <v>0</v>
      </c>
      <c r="R164" s="41">
        <v>0</v>
      </c>
      <c r="S164" s="44">
        <v>0</v>
      </c>
      <c r="T164" s="48">
        <v>0</v>
      </c>
      <c r="U164" s="46">
        <v>0</v>
      </c>
      <c r="V164" s="47">
        <v>0</v>
      </c>
      <c r="W164" s="43">
        <v>0</v>
      </c>
      <c r="X164" s="44">
        <v>0</v>
      </c>
      <c r="Y164" s="49"/>
      <c r="AA164" s="15" t="s">
        <v>16</v>
      </c>
      <c r="AB164" s="15" t="str">
        <f t="shared" si="2"/>
        <v>Jasper - 108AL</v>
      </c>
    </row>
    <row r="165" spans="1:28" x14ac:dyDescent="0.25">
      <c r="A165" s="39" t="s">
        <v>136</v>
      </c>
      <c r="B165" s="39" t="s">
        <v>317</v>
      </c>
      <c r="C165" s="40" t="s">
        <v>318</v>
      </c>
      <c r="D165" s="39" t="s">
        <v>313</v>
      </c>
      <c r="E165" s="39" t="s">
        <v>314</v>
      </c>
      <c r="F165" s="41">
        <v>0</v>
      </c>
      <c r="G165" s="41">
        <v>0</v>
      </c>
      <c r="H165" s="41">
        <v>-6866.67</v>
      </c>
      <c r="I165" s="41">
        <v>0</v>
      </c>
      <c r="J165" s="42">
        <v>0</v>
      </c>
      <c r="K165" s="43">
        <v>0</v>
      </c>
      <c r="L165" s="41">
        <v>0</v>
      </c>
      <c r="M165" s="44">
        <v>0</v>
      </c>
      <c r="N165" s="45">
        <v>0</v>
      </c>
      <c r="O165" s="46">
        <v>0</v>
      </c>
      <c r="P165" s="47">
        <v>0</v>
      </c>
      <c r="Q165" s="43">
        <v>0</v>
      </c>
      <c r="R165" s="41">
        <v>0</v>
      </c>
      <c r="S165" s="44">
        <v>0</v>
      </c>
      <c r="T165" s="48">
        <v>0</v>
      </c>
      <c r="U165" s="46">
        <v>0</v>
      </c>
      <c r="V165" s="47">
        <v>0</v>
      </c>
      <c r="W165" s="43">
        <v>0</v>
      </c>
      <c r="X165" s="44">
        <v>0</v>
      </c>
      <c r="Y165" s="49"/>
      <c r="AA165" s="15" t="s">
        <v>16</v>
      </c>
      <c r="AB165" s="15" t="str">
        <f t="shared" si="2"/>
        <v>Kalida - 406AL</v>
      </c>
    </row>
    <row r="166" spans="1:28" x14ac:dyDescent="0.25">
      <c r="A166" s="39" t="s">
        <v>137</v>
      </c>
      <c r="B166" s="39" t="s">
        <v>317</v>
      </c>
      <c r="C166" s="40" t="s">
        <v>318</v>
      </c>
      <c r="D166" s="39" t="s">
        <v>313</v>
      </c>
      <c r="E166" s="39" t="s">
        <v>314</v>
      </c>
      <c r="F166" s="41">
        <v>-690</v>
      </c>
      <c r="G166" s="41">
        <v>-1150</v>
      </c>
      <c r="H166" s="41">
        <v>-1150</v>
      </c>
      <c r="I166" s="41">
        <v>-1740</v>
      </c>
      <c r="J166" s="42">
        <v>-1394</v>
      </c>
      <c r="K166" s="43">
        <v>-3378.14</v>
      </c>
      <c r="L166" s="41">
        <v>-566.29570000000001</v>
      </c>
      <c r="M166" s="44">
        <v>-2811.8443000000002</v>
      </c>
      <c r="N166" s="45">
        <v>-4.079879</v>
      </c>
      <c r="O166" s="46">
        <v>-0.70964373433583905</v>
      </c>
      <c r="P166" s="47">
        <v>-3.3702352656641601</v>
      </c>
      <c r="Q166" s="43">
        <v>-4772.1400000000003</v>
      </c>
      <c r="R166" s="41">
        <v>-1150.1057000000001</v>
      </c>
      <c r="S166" s="44">
        <v>-3622.0342999999998</v>
      </c>
      <c r="T166" s="48">
        <v>-2.8661500000000002</v>
      </c>
      <c r="U166" s="46">
        <v>-0.68397603330359702</v>
      </c>
      <c r="V166" s="47">
        <v>-2.1821739666964</v>
      </c>
      <c r="W166" s="43">
        <v>-1000</v>
      </c>
      <c r="X166" s="44">
        <v>-3772.14</v>
      </c>
      <c r="Y166" s="49"/>
      <c r="AA166" s="15" t="s">
        <v>16</v>
      </c>
      <c r="AB166" s="15" t="str">
        <f t="shared" si="2"/>
        <v>Kendallville - 2185AL</v>
      </c>
    </row>
    <row r="167" spans="1:28" x14ac:dyDescent="0.25">
      <c r="A167" s="39" t="s">
        <v>138</v>
      </c>
      <c r="B167" s="39" t="s">
        <v>317</v>
      </c>
      <c r="C167" s="40" t="s">
        <v>318</v>
      </c>
      <c r="D167" s="39" t="s">
        <v>313</v>
      </c>
      <c r="E167" s="39" t="s">
        <v>314</v>
      </c>
      <c r="F167" s="41">
        <v>-4838.71</v>
      </c>
      <c r="G167" s="41">
        <v>-1500</v>
      </c>
      <c r="H167" s="41">
        <v>-1500</v>
      </c>
      <c r="I167" s="41">
        <v>0</v>
      </c>
      <c r="J167" s="42">
        <v>0</v>
      </c>
      <c r="K167" s="43">
        <v>0</v>
      </c>
      <c r="L167" s="41">
        <v>0</v>
      </c>
      <c r="M167" s="44">
        <v>0</v>
      </c>
      <c r="N167" s="45">
        <v>0</v>
      </c>
      <c r="O167" s="46">
        <v>0</v>
      </c>
      <c r="P167" s="47">
        <v>0</v>
      </c>
      <c r="Q167" s="43">
        <v>0</v>
      </c>
      <c r="R167" s="41">
        <v>0</v>
      </c>
      <c r="S167" s="44">
        <v>0</v>
      </c>
      <c r="T167" s="48">
        <v>0</v>
      </c>
      <c r="U167" s="46">
        <v>0</v>
      </c>
      <c r="V167" s="47">
        <v>0</v>
      </c>
      <c r="W167" s="43">
        <v>0</v>
      </c>
      <c r="X167" s="44">
        <v>0</v>
      </c>
      <c r="Y167" s="49"/>
      <c r="AA167" s="15" t="s">
        <v>16</v>
      </c>
      <c r="AB167" s="15" t="str">
        <f t="shared" si="2"/>
        <v>Kokomo WK - 5168AL</v>
      </c>
    </row>
    <row r="168" spans="1:28" x14ac:dyDescent="0.25">
      <c r="A168" s="39" t="s">
        <v>139</v>
      </c>
      <c r="B168" s="39" t="s">
        <v>317</v>
      </c>
      <c r="C168" s="40" t="s">
        <v>318</v>
      </c>
      <c r="D168" s="39" t="s">
        <v>313</v>
      </c>
      <c r="E168" s="39" t="s">
        <v>314</v>
      </c>
      <c r="F168" s="41">
        <v>-2320</v>
      </c>
      <c r="G168" s="41">
        <v>-9206.4500000000007</v>
      </c>
      <c r="H168" s="41">
        <v>-2680</v>
      </c>
      <c r="I168" s="41">
        <v>-2680</v>
      </c>
      <c r="J168" s="42">
        <v>-598.71</v>
      </c>
      <c r="K168" s="43">
        <v>0</v>
      </c>
      <c r="L168" s="41">
        <v>0</v>
      </c>
      <c r="M168" s="44">
        <v>0</v>
      </c>
      <c r="N168" s="45">
        <v>0</v>
      </c>
      <c r="O168" s="46">
        <v>0</v>
      </c>
      <c r="P168" s="47">
        <v>0</v>
      </c>
      <c r="Q168" s="43">
        <v>-598.71</v>
      </c>
      <c r="R168" s="41">
        <v>0</v>
      </c>
      <c r="S168" s="44">
        <v>-598.71</v>
      </c>
      <c r="T168" s="48">
        <v>-0.24268700000000001</v>
      </c>
      <c r="U168" s="46">
        <v>0</v>
      </c>
      <c r="V168" s="47">
        <v>-0.24268700000000001</v>
      </c>
      <c r="W168" s="43">
        <v>0</v>
      </c>
      <c r="X168" s="44">
        <v>-598.71</v>
      </c>
      <c r="Y168" s="49"/>
      <c r="AA168" s="15" t="s">
        <v>16</v>
      </c>
      <c r="AB168" s="15" t="str">
        <f t="shared" si="2"/>
        <v>Kokomo WP - 106AL</v>
      </c>
    </row>
    <row r="169" spans="1:28" x14ac:dyDescent="0.25">
      <c r="A169" s="39" t="s">
        <v>142</v>
      </c>
      <c r="B169" s="39" t="s">
        <v>317</v>
      </c>
      <c r="C169" s="40" t="s">
        <v>318</v>
      </c>
      <c r="D169" s="39" t="s">
        <v>313</v>
      </c>
      <c r="E169" s="39" t="s">
        <v>314</v>
      </c>
      <c r="F169" s="41">
        <v>-1500</v>
      </c>
      <c r="G169" s="41">
        <v>0</v>
      </c>
      <c r="H169" s="41">
        <v>0</v>
      </c>
      <c r="I169" s="41">
        <v>0</v>
      </c>
      <c r="J169" s="42">
        <v>0</v>
      </c>
      <c r="K169" s="43">
        <v>0</v>
      </c>
      <c r="L169" s="41">
        <v>0</v>
      </c>
      <c r="M169" s="44">
        <v>0</v>
      </c>
      <c r="N169" s="45">
        <v>0</v>
      </c>
      <c r="O169" s="46">
        <v>0</v>
      </c>
      <c r="P169" s="47">
        <v>0</v>
      </c>
      <c r="Q169" s="43">
        <v>0</v>
      </c>
      <c r="R169" s="41">
        <v>0</v>
      </c>
      <c r="S169" s="44">
        <v>0</v>
      </c>
      <c r="T169" s="48">
        <v>0</v>
      </c>
      <c r="U169" s="46">
        <v>0</v>
      </c>
      <c r="V169" s="47">
        <v>0</v>
      </c>
      <c r="W169" s="43">
        <v>-500</v>
      </c>
      <c r="X169" s="44">
        <v>500</v>
      </c>
      <c r="Y169" s="49"/>
      <c r="AA169" s="15" t="s">
        <v>16</v>
      </c>
      <c r="AB169" s="15" t="str">
        <f t="shared" si="2"/>
        <v>La Grange - 177AL</v>
      </c>
    </row>
    <row r="170" spans="1:28" x14ac:dyDescent="0.25">
      <c r="A170" s="39" t="s">
        <v>143</v>
      </c>
      <c r="B170" s="39" t="s">
        <v>317</v>
      </c>
      <c r="C170" s="40" t="s">
        <v>318</v>
      </c>
      <c r="D170" s="39" t="s">
        <v>313</v>
      </c>
      <c r="E170" s="39" t="s">
        <v>314</v>
      </c>
      <c r="F170" s="41">
        <v>-2102.67</v>
      </c>
      <c r="G170" s="41">
        <v>-10500</v>
      </c>
      <c r="H170" s="41">
        <v>-4500</v>
      </c>
      <c r="I170" s="41">
        <v>-4500</v>
      </c>
      <c r="J170" s="42">
        <v>0</v>
      </c>
      <c r="K170" s="43">
        <v>0</v>
      </c>
      <c r="L170" s="41">
        <v>-1993.2066555556</v>
      </c>
      <c r="M170" s="44">
        <v>1993.2066555556</v>
      </c>
      <c r="N170" s="45">
        <v>0</v>
      </c>
      <c r="O170" s="46">
        <v>-1.4219279573516801</v>
      </c>
      <c r="P170" s="47">
        <v>1.4219279573516801</v>
      </c>
      <c r="Q170" s="43">
        <v>0</v>
      </c>
      <c r="R170" s="41">
        <v>-4048.0588777777998</v>
      </c>
      <c r="S170" s="44">
        <v>4048.0588777777998</v>
      </c>
      <c r="T170" s="48">
        <v>0</v>
      </c>
      <c r="U170" s="46">
        <v>-1.3704970492314701</v>
      </c>
      <c r="V170" s="47">
        <v>1.3704970492314701</v>
      </c>
      <c r="W170" s="43">
        <v>0</v>
      </c>
      <c r="X170" s="44">
        <v>0</v>
      </c>
      <c r="Y170" s="49"/>
      <c r="AA170" s="15" t="s">
        <v>16</v>
      </c>
      <c r="AB170" s="15" t="str">
        <f t="shared" si="2"/>
        <v>Lafayette CS - 133AL</v>
      </c>
    </row>
    <row r="171" spans="1:28" x14ac:dyDescent="0.25">
      <c r="A171" s="39" t="s">
        <v>144</v>
      </c>
      <c r="B171" s="39" t="s">
        <v>317</v>
      </c>
      <c r="C171" s="40" t="s">
        <v>318</v>
      </c>
      <c r="D171" s="39" t="s">
        <v>313</v>
      </c>
      <c r="E171" s="39" t="s">
        <v>314</v>
      </c>
      <c r="F171" s="41">
        <v>0</v>
      </c>
      <c r="G171" s="41">
        <v>-3000</v>
      </c>
      <c r="H171" s="41">
        <v>0</v>
      </c>
      <c r="I171" s="41">
        <v>-810</v>
      </c>
      <c r="J171" s="42">
        <v>0</v>
      </c>
      <c r="K171" s="43">
        <v>0</v>
      </c>
      <c r="L171" s="41">
        <v>0</v>
      </c>
      <c r="M171" s="44">
        <v>0</v>
      </c>
      <c r="N171" s="45">
        <v>0</v>
      </c>
      <c r="O171" s="46">
        <v>0</v>
      </c>
      <c r="P171" s="47">
        <v>0</v>
      </c>
      <c r="Q171" s="43">
        <v>0</v>
      </c>
      <c r="R171" s="41">
        <v>0</v>
      </c>
      <c r="S171" s="44">
        <v>0</v>
      </c>
      <c r="T171" s="48">
        <v>0</v>
      </c>
      <c r="U171" s="46">
        <v>0</v>
      </c>
      <c r="V171" s="47">
        <v>0</v>
      </c>
      <c r="W171" s="43">
        <v>-2150.8000000000002</v>
      </c>
      <c r="X171" s="44">
        <v>2150.8000000000002</v>
      </c>
      <c r="Y171" s="49"/>
      <c r="AA171" s="15" t="s">
        <v>16</v>
      </c>
      <c r="AB171" s="15" t="str">
        <f t="shared" si="2"/>
        <v>Lafayette SL - 5162AL</v>
      </c>
    </row>
    <row r="172" spans="1:28" x14ac:dyDescent="0.25">
      <c r="A172" s="39" t="s">
        <v>147</v>
      </c>
      <c r="B172" s="39" t="s">
        <v>317</v>
      </c>
      <c r="C172" s="40" t="s">
        <v>318</v>
      </c>
      <c r="D172" s="39" t="s">
        <v>313</v>
      </c>
      <c r="E172" s="39" t="s">
        <v>314</v>
      </c>
      <c r="F172" s="41">
        <v>-266.67</v>
      </c>
      <c r="G172" s="41">
        <v>-33092.78</v>
      </c>
      <c r="H172" s="41">
        <v>-4366.67</v>
      </c>
      <c r="I172" s="41">
        <v>-700</v>
      </c>
      <c r="J172" s="42">
        <v>0</v>
      </c>
      <c r="K172" s="43">
        <v>0</v>
      </c>
      <c r="L172" s="41">
        <v>-2500</v>
      </c>
      <c r="M172" s="44">
        <v>2500</v>
      </c>
      <c r="N172" s="45">
        <v>0</v>
      </c>
      <c r="O172" s="46">
        <v>-2.7642636001769199</v>
      </c>
      <c r="P172" s="47">
        <v>2.7642636001769199</v>
      </c>
      <c r="Q172" s="43">
        <v>0</v>
      </c>
      <c r="R172" s="41">
        <v>-5000</v>
      </c>
      <c r="S172" s="44">
        <v>5000</v>
      </c>
      <c r="T172" s="48">
        <v>0</v>
      </c>
      <c r="U172" s="46">
        <v>-2.6452227277536799</v>
      </c>
      <c r="V172" s="47">
        <v>2.6452227277536799</v>
      </c>
      <c r="W172" s="43">
        <v>0</v>
      </c>
      <c r="X172" s="44">
        <v>0</v>
      </c>
      <c r="Y172" s="49"/>
      <c r="AA172" s="15" t="s">
        <v>16</v>
      </c>
      <c r="AB172" s="15" t="str">
        <f t="shared" si="2"/>
        <v>Lancaster - 445AL</v>
      </c>
    </row>
    <row r="173" spans="1:28" x14ac:dyDescent="0.25">
      <c r="A173" s="39" t="s">
        <v>149</v>
      </c>
      <c r="B173" s="39" t="s">
        <v>317</v>
      </c>
      <c r="C173" s="40" t="s">
        <v>318</v>
      </c>
      <c r="D173" s="39" t="s">
        <v>313</v>
      </c>
      <c r="E173" s="39" t="s">
        <v>314</v>
      </c>
      <c r="F173" s="41">
        <v>-2657.6</v>
      </c>
      <c r="G173" s="41">
        <v>-2509.06</v>
      </c>
      <c r="H173" s="41">
        <v>-7089</v>
      </c>
      <c r="I173" s="41">
        <v>-1389</v>
      </c>
      <c r="J173" s="42">
        <v>-1294</v>
      </c>
      <c r="K173" s="43">
        <v>-1294</v>
      </c>
      <c r="L173" s="41">
        <v>-2993.42</v>
      </c>
      <c r="M173" s="44">
        <v>1699.42</v>
      </c>
      <c r="N173" s="45">
        <v>-1.762942</v>
      </c>
      <c r="O173" s="46">
        <v>-3.94436848919077</v>
      </c>
      <c r="P173" s="47">
        <v>2.1814264891907702</v>
      </c>
      <c r="Q173" s="43">
        <v>-2588</v>
      </c>
      <c r="R173" s="41">
        <v>-6079.42</v>
      </c>
      <c r="S173" s="44">
        <v>3491.42</v>
      </c>
      <c r="T173" s="48">
        <v>-1.6526179999999999</v>
      </c>
      <c r="U173" s="46">
        <v>-3.8017013081209599</v>
      </c>
      <c r="V173" s="47">
        <v>2.1490833081209599</v>
      </c>
      <c r="W173" s="43">
        <v>-660</v>
      </c>
      <c r="X173" s="44">
        <v>-1928</v>
      </c>
      <c r="Y173" s="49"/>
      <c r="AA173" s="15" t="s">
        <v>16</v>
      </c>
      <c r="AB173" s="15" t="str">
        <f t="shared" si="2"/>
        <v>Lapeer - 2506AL</v>
      </c>
    </row>
    <row r="174" spans="1:28" x14ac:dyDescent="0.25">
      <c r="A174" s="39" t="s">
        <v>150</v>
      </c>
      <c r="B174" s="39" t="s">
        <v>317</v>
      </c>
      <c r="C174" s="40" t="s">
        <v>318</v>
      </c>
      <c r="D174" s="39" t="s">
        <v>313</v>
      </c>
      <c r="E174" s="39" t="s">
        <v>314</v>
      </c>
      <c r="F174" s="41">
        <v>-11000</v>
      </c>
      <c r="G174" s="41">
        <v>-20000</v>
      </c>
      <c r="H174" s="41">
        <v>-4600</v>
      </c>
      <c r="I174" s="41">
        <v>-12360</v>
      </c>
      <c r="J174" s="42">
        <v>-1000</v>
      </c>
      <c r="K174" s="43">
        <v>-1000</v>
      </c>
      <c r="L174" s="41">
        <v>0</v>
      </c>
      <c r="M174" s="44">
        <v>-1000</v>
      </c>
      <c r="N174" s="45">
        <v>-0.63694200000000001</v>
      </c>
      <c r="O174" s="46">
        <v>0</v>
      </c>
      <c r="P174" s="47">
        <v>-0.63694200000000001</v>
      </c>
      <c r="Q174" s="43">
        <v>-2000</v>
      </c>
      <c r="R174" s="41">
        <v>0</v>
      </c>
      <c r="S174" s="44">
        <v>-2000</v>
      </c>
      <c r="T174" s="48">
        <v>-0.61500600000000005</v>
      </c>
      <c r="U174" s="46">
        <v>0</v>
      </c>
      <c r="V174" s="47">
        <v>-0.61500600000000005</v>
      </c>
      <c r="W174" s="43">
        <v>-2000</v>
      </c>
      <c r="X174" s="44">
        <v>0</v>
      </c>
      <c r="Y174" s="49"/>
      <c r="AA174" s="15" t="s">
        <v>16</v>
      </c>
      <c r="AB174" s="15" t="str">
        <f t="shared" si="2"/>
        <v>Lawrenceburg - 143AL</v>
      </c>
    </row>
    <row r="175" spans="1:28" x14ac:dyDescent="0.25">
      <c r="A175" s="39" t="s">
        <v>151</v>
      </c>
      <c r="B175" s="39" t="s">
        <v>317</v>
      </c>
      <c r="C175" s="40" t="s">
        <v>318</v>
      </c>
      <c r="D175" s="39" t="s">
        <v>313</v>
      </c>
      <c r="E175" s="39" t="s">
        <v>314</v>
      </c>
      <c r="F175" s="41">
        <v>0</v>
      </c>
      <c r="G175" s="41">
        <v>-3340</v>
      </c>
      <c r="H175" s="41">
        <v>-9200</v>
      </c>
      <c r="I175" s="41">
        <v>-3200</v>
      </c>
      <c r="J175" s="42">
        <v>0</v>
      </c>
      <c r="K175" s="43">
        <v>0</v>
      </c>
      <c r="L175" s="41">
        <v>0</v>
      </c>
      <c r="M175" s="44">
        <v>0</v>
      </c>
      <c r="N175" s="45">
        <v>0</v>
      </c>
      <c r="O175" s="46">
        <v>0</v>
      </c>
      <c r="P175" s="47">
        <v>0</v>
      </c>
      <c r="Q175" s="43">
        <v>0</v>
      </c>
      <c r="R175" s="41">
        <v>0</v>
      </c>
      <c r="S175" s="44">
        <v>0</v>
      </c>
      <c r="T175" s="48">
        <v>0</v>
      </c>
      <c r="U175" s="46">
        <v>0</v>
      </c>
      <c r="V175" s="47">
        <v>0</v>
      </c>
      <c r="W175" s="43">
        <v>0</v>
      </c>
      <c r="X175" s="44">
        <v>0</v>
      </c>
      <c r="Y175" s="49"/>
      <c r="AA175" s="15" t="s">
        <v>16</v>
      </c>
      <c r="AB175" s="15" t="str">
        <f t="shared" si="2"/>
        <v>Lebanon - 104AL</v>
      </c>
    </row>
    <row r="176" spans="1:28" x14ac:dyDescent="0.25">
      <c r="A176" s="39" t="s">
        <v>152</v>
      </c>
      <c r="B176" s="39" t="s">
        <v>317</v>
      </c>
      <c r="C176" s="40" t="s">
        <v>318</v>
      </c>
      <c r="D176" s="39" t="s">
        <v>313</v>
      </c>
      <c r="E176" s="39" t="s">
        <v>314</v>
      </c>
      <c r="F176" s="41">
        <v>1729.45</v>
      </c>
      <c r="G176" s="41">
        <v>-3014.06</v>
      </c>
      <c r="H176" s="41">
        <v>246.09</v>
      </c>
      <c r="I176" s="41">
        <v>257.49</v>
      </c>
      <c r="J176" s="42">
        <v>2103.7199999999998</v>
      </c>
      <c r="K176" s="43">
        <v>1783.59</v>
      </c>
      <c r="L176" s="41">
        <v>0</v>
      </c>
      <c r="M176" s="44">
        <v>1783.59</v>
      </c>
      <c r="N176" s="45">
        <v>4.8731960000000001</v>
      </c>
      <c r="O176" s="46">
        <v>0</v>
      </c>
      <c r="P176" s="47">
        <v>4.8731960000000001</v>
      </c>
      <c r="Q176" s="43">
        <v>3887.31</v>
      </c>
      <c r="R176" s="41">
        <v>0</v>
      </c>
      <c r="S176" s="44">
        <v>3887.31</v>
      </c>
      <c r="T176" s="48">
        <v>4.8652189999999997</v>
      </c>
      <c r="U176" s="46">
        <v>0</v>
      </c>
      <c r="V176" s="47">
        <v>4.8652189999999997</v>
      </c>
      <c r="W176" s="43">
        <v>-1878</v>
      </c>
      <c r="X176" s="44">
        <v>5765.31</v>
      </c>
      <c r="Y176" s="49"/>
      <c r="AA176" s="15" t="s">
        <v>16</v>
      </c>
      <c r="AB176" s="15" t="str">
        <f t="shared" si="2"/>
        <v>Leipsic - 409AL</v>
      </c>
    </row>
    <row r="177" spans="1:28" x14ac:dyDescent="0.25">
      <c r="A177" s="39" t="s">
        <v>156</v>
      </c>
      <c r="B177" s="39" t="s">
        <v>317</v>
      </c>
      <c r="C177" s="40" t="s">
        <v>318</v>
      </c>
      <c r="D177" s="39" t="s">
        <v>313</v>
      </c>
      <c r="E177" s="39" t="s">
        <v>314</v>
      </c>
      <c r="F177" s="41">
        <v>0</v>
      </c>
      <c r="G177" s="41">
        <v>0</v>
      </c>
      <c r="H177" s="41">
        <v>0</v>
      </c>
      <c r="I177" s="41">
        <v>-1500</v>
      </c>
      <c r="J177" s="42">
        <v>0</v>
      </c>
      <c r="K177" s="43">
        <v>0</v>
      </c>
      <c r="L177" s="41">
        <v>0</v>
      </c>
      <c r="M177" s="44">
        <v>0</v>
      </c>
      <c r="N177" s="45">
        <v>0</v>
      </c>
      <c r="O177" s="46">
        <v>0</v>
      </c>
      <c r="P177" s="47">
        <v>0</v>
      </c>
      <c r="Q177" s="43">
        <v>0</v>
      </c>
      <c r="R177" s="41">
        <v>0</v>
      </c>
      <c r="S177" s="44">
        <v>0</v>
      </c>
      <c r="T177" s="48">
        <v>0</v>
      </c>
      <c r="U177" s="46">
        <v>0</v>
      </c>
      <c r="V177" s="47">
        <v>0</v>
      </c>
      <c r="W177" s="43">
        <v>0</v>
      </c>
      <c r="X177" s="44">
        <v>0</v>
      </c>
      <c r="Y177" s="49"/>
      <c r="AA177" s="15" t="s">
        <v>16</v>
      </c>
      <c r="AB177" s="15" t="str">
        <f t="shared" si="2"/>
        <v>Lexington WC - 2148AL</v>
      </c>
    </row>
    <row r="178" spans="1:28" x14ac:dyDescent="0.25">
      <c r="A178" s="39" t="s">
        <v>157</v>
      </c>
      <c r="B178" s="39" t="s">
        <v>317</v>
      </c>
      <c r="C178" s="40" t="s">
        <v>318</v>
      </c>
      <c r="D178" s="39" t="s">
        <v>313</v>
      </c>
      <c r="E178" s="39" t="s">
        <v>314</v>
      </c>
      <c r="F178" s="41">
        <v>-1316.67</v>
      </c>
      <c r="G178" s="41">
        <v>250</v>
      </c>
      <c r="H178" s="41">
        <v>-1625</v>
      </c>
      <c r="I178" s="41">
        <v>0</v>
      </c>
      <c r="J178" s="42">
        <v>0</v>
      </c>
      <c r="K178" s="43">
        <v>0</v>
      </c>
      <c r="L178" s="41">
        <v>0</v>
      </c>
      <c r="M178" s="44">
        <v>0</v>
      </c>
      <c r="N178" s="45">
        <v>0</v>
      </c>
      <c r="O178" s="46">
        <v>0</v>
      </c>
      <c r="P178" s="47">
        <v>0</v>
      </c>
      <c r="Q178" s="43">
        <v>0</v>
      </c>
      <c r="R178" s="41">
        <v>0</v>
      </c>
      <c r="S178" s="44">
        <v>0</v>
      </c>
      <c r="T178" s="48">
        <v>0</v>
      </c>
      <c r="U178" s="46">
        <v>0</v>
      </c>
      <c r="V178" s="47">
        <v>0</v>
      </c>
      <c r="W178" s="43">
        <v>-500</v>
      </c>
      <c r="X178" s="44">
        <v>500</v>
      </c>
      <c r="Y178" s="49"/>
      <c r="AA178" s="15" t="s">
        <v>16</v>
      </c>
      <c r="AB178" s="15" t="str">
        <f t="shared" si="2"/>
        <v>Lexington WF - 2147AL</v>
      </c>
    </row>
    <row r="179" spans="1:28" x14ac:dyDescent="0.25">
      <c r="A179" s="39" t="s">
        <v>159</v>
      </c>
      <c r="B179" s="39" t="s">
        <v>317</v>
      </c>
      <c r="C179" s="40" t="s">
        <v>318</v>
      </c>
      <c r="D179" s="39" t="s">
        <v>313</v>
      </c>
      <c r="E179" s="39" t="s">
        <v>314</v>
      </c>
      <c r="F179" s="41">
        <v>-3000</v>
      </c>
      <c r="G179" s="41">
        <v>-217.74</v>
      </c>
      <c r="H179" s="41">
        <v>-270</v>
      </c>
      <c r="I179" s="41">
        <v>-270</v>
      </c>
      <c r="J179" s="42">
        <v>0</v>
      </c>
      <c r="K179" s="43">
        <v>-500</v>
      </c>
      <c r="L179" s="41">
        <v>-646.66666666670005</v>
      </c>
      <c r="M179" s="44">
        <v>146.6666666667</v>
      </c>
      <c r="N179" s="45">
        <v>-0.38431900000000002</v>
      </c>
      <c r="O179" s="46">
        <v>-0.514939594211272</v>
      </c>
      <c r="P179" s="47">
        <v>0.13062059421127201</v>
      </c>
      <c r="Q179" s="43">
        <v>-500</v>
      </c>
      <c r="R179" s="41">
        <v>-1313.3333333333001</v>
      </c>
      <c r="S179" s="44">
        <v>813.33333333329995</v>
      </c>
      <c r="T179" s="48">
        <v>-0.191717</v>
      </c>
      <c r="U179" s="46">
        <v>-0.49631431096787698</v>
      </c>
      <c r="V179" s="47">
        <v>0.30459731096787701</v>
      </c>
      <c r="W179" s="43">
        <v>0</v>
      </c>
      <c r="X179" s="44">
        <v>-500</v>
      </c>
      <c r="Y179" s="49"/>
      <c r="AA179" s="15" t="s">
        <v>16</v>
      </c>
      <c r="AB179" s="15" t="str">
        <f t="shared" si="2"/>
        <v>Lexington WH - 2146AL</v>
      </c>
    </row>
    <row r="180" spans="1:28" x14ac:dyDescent="0.25">
      <c r="A180" s="39" t="s">
        <v>161</v>
      </c>
      <c r="B180" s="39" t="s">
        <v>317</v>
      </c>
      <c r="C180" s="40" t="s">
        <v>318</v>
      </c>
      <c r="D180" s="39" t="s">
        <v>313</v>
      </c>
      <c r="E180" s="39" t="s">
        <v>314</v>
      </c>
      <c r="F180" s="41">
        <v>0</v>
      </c>
      <c r="G180" s="41">
        <v>0</v>
      </c>
      <c r="H180" s="41">
        <v>0</v>
      </c>
      <c r="I180" s="41">
        <v>-3000</v>
      </c>
      <c r="J180" s="42">
        <v>0</v>
      </c>
      <c r="K180" s="43">
        <v>0</v>
      </c>
      <c r="L180" s="41">
        <v>0</v>
      </c>
      <c r="M180" s="44">
        <v>0</v>
      </c>
      <c r="N180" s="45">
        <v>0</v>
      </c>
      <c r="O180" s="46">
        <v>0</v>
      </c>
      <c r="P180" s="47">
        <v>0</v>
      </c>
      <c r="Q180" s="43">
        <v>0</v>
      </c>
      <c r="R180" s="41">
        <v>0</v>
      </c>
      <c r="S180" s="44">
        <v>0</v>
      </c>
      <c r="T180" s="48">
        <v>0</v>
      </c>
      <c r="U180" s="46">
        <v>0</v>
      </c>
      <c r="V180" s="47">
        <v>0</v>
      </c>
      <c r="W180" s="43">
        <v>0</v>
      </c>
      <c r="X180" s="44">
        <v>0</v>
      </c>
      <c r="Y180" s="49"/>
      <c r="AA180" s="15" t="s">
        <v>16</v>
      </c>
      <c r="AB180" s="15" t="str">
        <f t="shared" si="2"/>
        <v>Liberty Township - 441AL</v>
      </c>
    </row>
    <row r="181" spans="1:28" x14ac:dyDescent="0.25">
      <c r="A181" s="39" t="s">
        <v>163</v>
      </c>
      <c r="B181" s="39" t="s">
        <v>317</v>
      </c>
      <c r="C181" s="40" t="s">
        <v>318</v>
      </c>
      <c r="D181" s="39" t="s">
        <v>313</v>
      </c>
      <c r="E181" s="39" t="s">
        <v>314</v>
      </c>
      <c r="F181" s="41">
        <v>0</v>
      </c>
      <c r="G181" s="41">
        <v>-3000</v>
      </c>
      <c r="H181" s="41">
        <v>0</v>
      </c>
      <c r="I181" s="41">
        <v>0</v>
      </c>
      <c r="J181" s="42">
        <v>0</v>
      </c>
      <c r="K181" s="43">
        <v>-3000</v>
      </c>
      <c r="L181" s="41">
        <v>0</v>
      </c>
      <c r="M181" s="44">
        <v>-3000</v>
      </c>
      <c r="N181" s="45">
        <v>-3.0060120000000001</v>
      </c>
      <c r="O181" s="46">
        <v>0</v>
      </c>
      <c r="P181" s="47">
        <v>-3.0060120000000001</v>
      </c>
      <c r="Q181" s="43">
        <v>-3000</v>
      </c>
      <c r="R181" s="41">
        <v>0</v>
      </c>
      <c r="S181" s="44">
        <v>-3000</v>
      </c>
      <c r="T181" s="48">
        <v>-1.4204540000000001</v>
      </c>
      <c r="U181" s="46">
        <v>0</v>
      </c>
      <c r="V181" s="47">
        <v>-1.4204540000000001</v>
      </c>
      <c r="W181" s="43">
        <v>0</v>
      </c>
      <c r="X181" s="44">
        <v>-3000</v>
      </c>
      <c r="Y181" s="49"/>
      <c r="AA181" s="15" t="s">
        <v>16</v>
      </c>
      <c r="AB181" s="15" t="str">
        <f t="shared" si="2"/>
        <v>Lima SL - 433AL</v>
      </c>
    </row>
    <row r="182" spans="1:28" x14ac:dyDescent="0.25">
      <c r="A182" s="39" t="s">
        <v>165</v>
      </c>
      <c r="B182" s="39" t="s">
        <v>317</v>
      </c>
      <c r="C182" s="40" t="s">
        <v>318</v>
      </c>
      <c r="D182" s="39" t="s">
        <v>313</v>
      </c>
      <c r="E182" s="39" t="s">
        <v>314</v>
      </c>
      <c r="F182" s="41">
        <v>-19087</v>
      </c>
      <c r="G182" s="41">
        <v>-17753</v>
      </c>
      <c r="H182" s="41">
        <v>-17075.900000000001</v>
      </c>
      <c r="I182" s="41">
        <v>-13848.13</v>
      </c>
      <c r="J182" s="42">
        <v>-14675.26</v>
      </c>
      <c r="K182" s="43">
        <v>-12435.57</v>
      </c>
      <c r="L182" s="41">
        <v>-13875.812277777801</v>
      </c>
      <c r="M182" s="44">
        <v>1440.2422777777999</v>
      </c>
      <c r="N182" s="45">
        <v>-21.366958</v>
      </c>
      <c r="O182" s="46">
        <v>-20.7349256990105</v>
      </c>
      <c r="P182" s="47">
        <v>-0.63203230098954</v>
      </c>
      <c r="Q182" s="43">
        <v>-27110.83</v>
      </c>
      <c r="R182" s="41">
        <v>-28180.773388888902</v>
      </c>
      <c r="S182" s="44">
        <v>1069.9433888889</v>
      </c>
      <c r="T182" s="48">
        <v>-21.740842000000001</v>
      </c>
      <c r="U182" s="46">
        <v>-19.984946733486201</v>
      </c>
      <c r="V182" s="47">
        <v>-1.7558952665137899</v>
      </c>
      <c r="W182" s="43">
        <v>-10283.969999999999</v>
      </c>
      <c r="X182" s="44">
        <v>-16826.86</v>
      </c>
      <c r="Y182" s="49"/>
      <c r="AA182" s="15" t="s">
        <v>16</v>
      </c>
      <c r="AB182" s="15" t="str">
        <f t="shared" si="2"/>
        <v>Logansport - 130AL</v>
      </c>
    </row>
    <row r="183" spans="1:28" x14ac:dyDescent="0.25">
      <c r="A183" s="39" t="s">
        <v>166</v>
      </c>
      <c r="B183" s="39" t="s">
        <v>317</v>
      </c>
      <c r="C183" s="40" t="s">
        <v>318</v>
      </c>
      <c r="D183" s="39" t="s">
        <v>313</v>
      </c>
      <c r="E183" s="39" t="s">
        <v>314</v>
      </c>
      <c r="F183" s="41">
        <v>-2000</v>
      </c>
      <c r="G183" s="41">
        <v>-1413.22</v>
      </c>
      <c r="H183" s="41">
        <v>-630</v>
      </c>
      <c r="I183" s="41">
        <v>33834.61</v>
      </c>
      <c r="J183" s="42">
        <v>0</v>
      </c>
      <c r="K183" s="43">
        <v>0</v>
      </c>
      <c r="L183" s="41">
        <v>0</v>
      </c>
      <c r="M183" s="44">
        <v>0</v>
      </c>
      <c r="N183" s="45">
        <v>0</v>
      </c>
      <c r="O183" s="46">
        <v>0</v>
      </c>
      <c r="P183" s="47">
        <v>0</v>
      </c>
      <c r="Q183" s="43">
        <v>0</v>
      </c>
      <c r="R183" s="41">
        <v>0</v>
      </c>
      <c r="S183" s="44">
        <v>0</v>
      </c>
      <c r="T183" s="48">
        <v>0</v>
      </c>
      <c r="U183" s="46">
        <v>0</v>
      </c>
      <c r="V183" s="47">
        <v>0</v>
      </c>
      <c r="W183" s="43">
        <v>0</v>
      </c>
      <c r="X183" s="44">
        <v>0</v>
      </c>
      <c r="Y183" s="49"/>
      <c r="AA183" s="15" t="s">
        <v>16</v>
      </c>
      <c r="AB183" s="15" t="str">
        <f t="shared" si="2"/>
        <v>Louisville ES - 210AL</v>
      </c>
    </row>
    <row r="184" spans="1:28" x14ac:dyDescent="0.25">
      <c r="A184" s="39" t="s">
        <v>167</v>
      </c>
      <c r="B184" s="39" t="s">
        <v>317</v>
      </c>
      <c r="C184" s="40" t="s">
        <v>318</v>
      </c>
      <c r="D184" s="39" t="s">
        <v>313</v>
      </c>
      <c r="E184" s="39" t="s">
        <v>314</v>
      </c>
      <c r="F184" s="41">
        <v>-2740</v>
      </c>
      <c r="G184" s="41">
        <v>-8740</v>
      </c>
      <c r="H184" s="41">
        <v>260</v>
      </c>
      <c r="I184" s="41">
        <v>260</v>
      </c>
      <c r="J184" s="42">
        <v>0</v>
      </c>
      <c r="K184" s="43">
        <v>0</v>
      </c>
      <c r="L184" s="41">
        <v>0</v>
      </c>
      <c r="M184" s="44">
        <v>0</v>
      </c>
      <c r="N184" s="45">
        <v>0</v>
      </c>
      <c r="O184" s="46">
        <v>0</v>
      </c>
      <c r="P184" s="47">
        <v>0</v>
      </c>
      <c r="Q184" s="43">
        <v>0</v>
      </c>
      <c r="R184" s="41">
        <v>0</v>
      </c>
      <c r="S184" s="44">
        <v>0</v>
      </c>
      <c r="T184" s="48">
        <v>0</v>
      </c>
      <c r="U184" s="46">
        <v>0</v>
      </c>
      <c r="V184" s="47">
        <v>0</v>
      </c>
      <c r="W184" s="43">
        <v>-4667.42</v>
      </c>
      <c r="X184" s="44">
        <v>4667.42</v>
      </c>
      <c r="Y184" s="49"/>
      <c r="AA184" s="15" t="s">
        <v>16</v>
      </c>
      <c r="AB184" s="15" t="str">
        <f t="shared" si="2"/>
        <v>Louisville FH - 2137AL</v>
      </c>
    </row>
    <row r="185" spans="1:28" x14ac:dyDescent="0.25">
      <c r="A185" s="39" t="s">
        <v>168</v>
      </c>
      <c r="B185" s="39" t="s">
        <v>317</v>
      </c>
      <c r="C185" s="40" t="s">
        <v>318</v>
      </c>
      <c r="D185" s="39" t="s">
        <v>313</v>
      </c>
      <c r="E185" s="39" t="s">
        <v>314</v>
      </c>
      <c r="F185" s="41">
        <v>-500</v>
      </c>
      <c r="G185" s="41">
        <v>-500</v>
      </c>
      <c r="H185" s="41">
        <v>-500</v>
      </c>
      <c r="I185" s="41">
        <v>-451.61</v>
      </c>
      <c r="J185" s="42">
        <v>0</v>
      </c>
      <c r="K185" s="43">
        <v>-609.66999999999996</v>
      </c>
      <c r="L185" s="41">
        <v>-107.7777777778</v>
      </c>
      <c r="M185" s="44">
        <v>-501.89222222220002</v>
      </c>
      <c r="N185" s="45">
        <v>-0.77863300000000002</v>
      </c>
      <c r="O185" s="46">
        <v>-0.126410717543749</v>
      </c>
      <c r="P185" s="47">
        <v>-0.65222228245625102</v>
      </c>
      <c r="Q185" s="43">
        <v>-609.66999999999996</v>
      </c>
      <c r="R185" s="41">
        <v>-218.8888888889</v>
      </c>
      <c r="S185" s="44">
        <v>-390.78111111110002</v>
      </c>
      <c r="T185" s="48">
        <v>-0.36139300000000002</v>
      </c>
      <c r="U185" s="46">
        <v>-0.121838461990426</v>
      </c>
      <c r="V185" s="47">
        <v>-0.23955453800957399</v>
      </c>
      <c r="W185" s="43">
        <v>0</v>
      </c>
      <c r="X185" s="44">
        <v>-609.66999999999996</v>
      </c>
      <c r="Y185" s="49"/>
      <c r="AA185" s="15" t="s">
        <v>16</v>
      </c>
      <c r="AB185" s="15" t="str">
        <f t="shared" si="2"/>
        <v>Louisville FS - 2154AL</v>
      </c>
    </row>
    <row r="186" spans="1:28" x14ac:dyDescent="0.25">
      <c r="A186" s="39" t="s">
        <v>169</v>
      </c>
      <c r="B186" s="39" t="s">
        <v>317</v>
      </c>
      <c r="C186" s="40" t="s">
        <v>318</v>
      </c>
      <c r="D186" s="39" t="s">
        <v>313</v>
      </c>
      <c r="E186" s="39" t="s">
        <v>314</v>
      </c>
      <c r="F186" s="41">
        <v>0</v>
      </c>
      <c r="G186" s="41">
        <v>-1500</v>
      </c>
      <c r="H186" s="41">
        <v>0</v>
      </c>
      <c r="I186" s="41">
        <v>0</v>
      </c>
      <c r="J186" s="42">
        <v>0</v>
      </c>
      <c r="K186" s="43">
        <v>0</v>
      </c>
      <c r="L186" s="41">
        <v>0</v>
      </c>
      <c r="M186" s="44">
        <v>0</v>
      </c>
      <c r="N186" s="45">
        <v>0</v>
      </c>
      <c r="O186" s="46">
        <v>0</v>
      </c>
      <c r="P186" s="47">
        <v>0</v>
      </c>
      <c r="Q186" s="43">
        <v>0</v>
      </c>
      <c r="R186" s="41">
        <v>0</v>
      </c>
      <c r="S186" s="44">
        <v>0</v>
      </c>
      <c r="T186" s="48">
        <v>0</v>
      </c>
      <c r="U186" s="46">
        <v>0</v>
      </c>
      <c r="V186" s="47">
        <v>0</v>
      </c>
      <c r="W186" s="43">
        <v>0</v>
      </c>
      <c r="X186" s="44">
        <v>0</v>
      </c>
      <c r="Y186" s="49"/>
      <c r="AA186" s="15" t="s">
        <v>16</v>
      </c>
      <c r="AB186" s="15" t="str">
        <f t="shared" si="2"/>
        <v>Louisville GR - 126AL</v>
      </c>
    </row>
    <row r="187" spans="1:28" x14ac:dyDescent="0.25">
      <c r="A187" s="39" t="s">
        <v>172</v>
      </c>
      <c r="B187" s="39" t="s">
        <v>317</v>
      </c>
      <c r="C187" s="40" t="s">
        <v>318</v>
      </c>
      <c r="D187" s="39" t="s">
        <v>313</v>
      </c>
      <c r="E187" s="39" t="s">
        <v>314</v>
      </c>
      <c r="F187" s="41">
        <v>-200</v>
      </c>
      <c r="G187" s="41">
        <v>-327.74</v>
      </c>
      <c r="H187" s="41">
        <v>-380</v>
      </c>
      <c r="I187" s="41">
        <v>-461.79</v>
      </c>
      <c r="J187" s="42">
        <v>183.84</v>
      </c>
      <c r="K187" s="43">
        <v>569.53</v>
      </c>
      <c r="L187" s="41">
        <v>-208.98111111110001</v>
      </c>
      <c r="M187" s="44">
        <v>778.51111111110004</v>
      </c>
      <c r="N187" s="45">
        <v>0.87755000000000005</v>
      </c>
      <c r="O187" s="46">
        <v>-0.27042069243154798</v>
      </c>
      <c r="P187" s="47">
        <v>1.14797069243155</v>
      </c>
      <c r="Q187" s="43">
        <v>753.37</v>
      </c>
      <c r="R187" s="41">
        <v>-424.4255555556</v>
      </c>
      <c r="S187" s="44">
        <v>1177.7955555556</v>
      </c>
      <c r="T187" s="48">
        <v>0.53279299999999996</v>
      </c>
      <c r="U187" s="46">
        <v>-0.260639618985262</v>
      </c>
      <c r="V187" s="47">
        <v>0.79343261898526196</v>
      </c>
      <c r="W187" s="43">
        <v>-400</v>
      </c>
      <c r="X187" s="44">
        <v>1153.3699999999999</v>
      </c>
      <c r="Y187" s="49"/>
      <c r="AA187" s="15" t="s">
        <v>16</v>
      </c>
      <c r="AB187" s="15" t="str">
        <f t="shared" si="2"/>
        <v>Louisville SB - 175AL</v>
      </c>
    </row>
    <row r="188" spans="1:28" x14ac:dyDescent="0.25">
      <c r="A188" s="39" t="s">
        <v>175</v>
      </c>
      <c r="B188" s="39" t="s">
        <v>317</v>
      </c>
      <c r="C188" s="40" t="s">
        <v>318</v>
      </c>
      <c r="D188" s="39" t="s">
        <v>313</v>
      </c>
      <c r="E188" s="39" t="s">
        <v>314</v>
      </c>
      <c r="F188" s="41">
        <v>0</v>
      </c>
      <c r="G188" s="41">
        <v>-7258.06</v>
      </c>
      <c r="H188" s="41">
        <v>-3000</v>
      </c>
      <c r="I188" s="41">
        <v>0</v>
      </c>
      <c r="J188" s="42">
        <v>-300</v>
      </c>
      <c r="K188" s="43">
        <v>0</v>
      </c>
      <c r="L188" s="41">
        <v>0</v>
      </c>
      <c r="M188" s="44">
        <v>0</v>
      </c>
      <c r="N188" s="45">
        <v>0</v>
      </c>
      <c r="O188" s="46">
        <v>0</v>
      </c>
      <c r="P188" s="47">
        <v>0</v>
      </c>
      <c r="Q188" s="43">
        <v>-300</v>
      </c>
      <c r="R188" s="41">
        <v>0</v>
      </c>
      <c r="S188" s="44">
        <v>-300</v>
      </c>
      <c r="T188" s="48">
        <v>-0.24610299999999999</v>
      </c>
      <c r="U188" s="46">
        <v>0</v>
      </c>
      <c r="V188" s="47">
        <v>-0.24610299999999999</v>
      </c>
      <c r="W188" s="43">
        <v>0</v>
      </c>
      <c r="X188" s="44">
        <v>-300</v>
      </c>
      <c r="Y188" s="49"/>
      <c r="AA188" s="15" t="s">
        <v>16</v>
      </c>
      <c r="AB188" s="15" t="str">
        <f t="shared" si="2"/>
        <v>Louisville WP - 145AL</v>
      </c>
    </row>
    <row r="189" spans="1:28" x14ac:dyDescent="0.25">
      <c r="A189" s="39" t="s">
        <v>176</v>
      </c>
      <c r="B189" s="39" t="s">
        <v>317</v>
      </c>
      <c r="C189" s="40" t="s">
        <v>318</v>
      </c>
      <c r="D189" s="39" t="s">
        <v>313</v>
      </c>
      <c r="E189" s="39" t="s">
        <v>314</v>
      </c>
      <c r="F189" s="41">
        <v>-1633.6</v>
      </c>
      <c r="G189" s="41">
        <v>-1996.5</v>
      </c>
      <c r="H189" s="41">
        <v>-3383.6</v>
      </c>
      <c r="I189" s="41">
        <v>-383.6</v>
      </c>
      <c r="J189" s="42">
        <v>0</v>
      </c>
      <c r="K189" s="43">
        <v>0</v>
      </c>
      <c r="L189" s="41">
        <v>-2083.3333333332998</v>
      </c>
      <c r="M189" s="44">
        <v>2083.3333333332998</v>
      </c>
      <c r="N189" s="45">
        <v>0</v>
      </c>
      <c r="O189" s="46">
        <v>-1.01332674172592</v>
      </c>
      <c r="P189" s="47">
        <v>1.01332674172592</v>
      </c>
      <c r="Q189" s="43">
        <v>0</v>
      </c>
      <c r="R189" s="41">
        <v>-4166.6666666666997</v>
      </c>
      <c r="S189" s="44">
        <v>4166.6666666666997</v>
      </c>
      <c r="T189" s="48">
        <v>0</v>
      </c>
      <c r="U189" s="46">
        <v>-0.96525524196892498</v>
      </c>
      <c r="V189" s="47">
        <v>0.96525524196892498</v>
      </c>
      <c r="W189" s="43">
        <v>-6242.67</v>
      </c>
      <c r="X189" s="44">
        <v>6242.67</v>
      </c>
      <c r="Y189" s="49"/>
      <c r="AA189" s="15" t="s">
        <v>16</v>
      </c>
      <c r="AB189" s="15" t="str">
        <f t="shared" si="2"/>
        <v>Louisville WS - 190AL</v>
      </c>
    </row>
    <row r="190" spans="1:28" x14ac:dyDescent="0.25">
      <c r="A190" s="39" t="s">
        <v>181</v>
      </c>
      <c r="B190" s="39" t="s">
        <v>317</v>
      </c>
      <c r="C190" s="40" t="s">
        <v>318</v>
      </c>
      <c r="D190" s="39" t="s">
        <v>313</v>
      </c>
      <c r="E190" s="39" t="s">
        <v>314</v>
      </c>
      <c r="F190" s="41">
        <v>-3500</v>
      </c>
      <c r="G190" s="41">
        <v>-3500</v>
      </c>
      <c r="H190" s="41">
        <v>-3500</v>
      </c>
      <c r="I190" s="41">
        <v>-3500</v>
      </c>
      <c r="J190" s="42">
        <v>-456</v>
      </c>
      <c r="K190" s="43">
        <v>-584.57000000000005</v>
      </c>
      <c r="L190" s="41">
        <v>-1940</v>
      </c>
      <c r="M190" s="44">
        <v>1355.43</v>
      </c>
      <c r="N190" s="45">
        <v>-0.62924599999999997</v>
      </c>
      <c r="O190" s="46">
        <v>-2.2753929157870001</v>
      </c>
      <c r="P190" s="47">
        <v>1.6461469157869999</v>
      </c>
      <c r="Q190" s="43">
        <v>-1040.57</v>
      </c>
      <c r="R190" s="41">
        <v>-3940</v>
      </c>
      <c r="S190" s="44">
        <v>2899.43</v>
      </c>
      <c r="T190" s="48">
        <v>-0.54737999999999998</v>
      </c>
      <c r="U190" s="46">
        <v>-2.1930923158275601</v>
      </c>
      <c r="V190" s="47">
        <v>1.6457123158275599</v>
      </c>
      <c r="W190" s="43">
        <v>-8000</v>
      </c>
      <c r="X190" s="44">
        <v>6959.43</v>
      </c>
      <c r="Y190" s="49"/>
      <c r="AA190" s="15" t="s">
        <v>16</v>
      </c>
      <c r="AB190" s="15" t="str">
        <f t="shared" si="2"/>
        <v>Lowell - 156AL</v>
      </c>
    </row>
    <row r="191" spans="1:28" x14ac:dyDescent="0.25">
      <c r="A191" s="39" t="s">
        <v>182</v>
      </c>
      <c r="B191" s="39" t="s">
        <v>317</v>
      </c>
      <c r="C191" s="40" t="s">
        <v>318</v>
      </c>
      <c r="D191" s="39" t="s">
        <v>313</v>
      </c>
      <c r="E191" s="39" t="s">
        <v>314</v>
      </c>
      <c r="F191" s="41">
        <v>-424.83</v>
      </c>
      <c r="G191" s="41">
        <v>-5132.26</v>
      </c>
      <c r="H191" s="41">
        <v>-190</v>
      </c>
      <c r="I191" s="41">
        <v>-90</v>
      </c>
      <c r="J191" s="42">
        <v>0</v>
      </c>
      <c r="K191" s="43">
        <v>0</v>
      </c>
      <c r="L191" s="41">
        <v>-184.3</v>
      </c>
      <c r="M191" s="44">
        <v>184.3</v>
      </c>
      <c r="N191" s="45">
        <v>0</v>
      </c>
      <c r="O191" s="46">
        <v>-0.10888002741568301</v>
      </c>
      <c r="P191" s="47">
        <v>0.10888002741568301</v>
      </c>
      <c r="Q191" s="43">
        <v>0</v>
      </c>
      <c r="R191" s="41">
        <v>-374.3</v>
      </c>
      <c r="S191" s="44">
        <v>374.3</v>
      </c>
      <c r="T191" s="48">
        <v>0</v>
      </c>
      <c r="U191" s="46">
        <v>-0.1049418541368</v>
      </c>
      <c r="V191" s="47">
        <v>0.1049418541368</v>
      </c>
      <c r="W191" s="43">
        <v>-860</v>
      </c>
      <c r="X191" s="44">
        <v>860</v>
      </c>
      <c r="Y191" s="49"/>
      <c r="AA191" s="15" t="s">
        <v>16</v>
      </c>
      <c r="AB191" s="15" t="str">
        <f t="shared" si="2"/>
        <v>Macomb - 2508AL</v>
      </c>
    </row>
    <row r="192" spans="1:28" x14ac:dyDescent="0.25">
      <c r="A192" s="39" t="s">
        <v>183</v>
      </c>
      <c r="B192" s="39" t="s">
        <v>317</v>
      </c>
      <c r="C192" s="40" t="s">
        <v>318</v>
      </c>
      <c r="D192" s="39" t="s">
        <v>313</v>
      </c>
      <c r="E192" s="39" t="s">
        <v>314</v>
      </c>
      <c r="F192" s="41">
        <v>0</v>
      </c>
      <c r="G192" s="41">
        <v>0</v>
      </c>
      <c r="H192" s="41">
        <v>-6700</v>
      </c>
      <c r="I192" s="41">
        <v>0</v>
      </c>
      <c r="J192" s="42">
        <v>0</v>
      </c>
      <c r="K192" s="43">
        <v>0</v>
      </c>
      <c r="L192" s="41">
        <v>0</v>
      </c>
      <c r="M192" s="44">
        <v>0</v>
      </c>
      <c r="N192" s="45">
        <v>0</v>
      </c>
      <c r="O192" s="46">
        <v>0</v>
      </c>
      <c r="P192" s="47">
        <v>0</v>
      </c>
      <c r="Q192" s="43">
        <v>0</v>
      </c>
      <c r="R192" s="41">
        <v>0</v>
      </c>
      <c r="S192" s="44">
        <v>0</v>
      </c>
      <c r="T192" s="48">
        <v>0</v>
      </c>
      <c r="U192" s="46">
        <v>0</v>
      </c>
      <c r="V192" s="47">
        <v>0</v>
      </c>
      <c r="W192" s="43">
        <v>0</v>
      </c>
      <c r="X192" s="44">
        <v>0</v>
      </c>
      <c r="Y192" s="49"/>
      <c r="AA192" s="15" t="s">
        <v>16</v>
      </c>
      <c r="AB192" s="15" t="str">
        <f t="shared" si="2"/>
        <v>Madison - 2157AL</v>
      </c>
    </row>
    <row r="193" spans="1:28" x14ac:dyDescent="0.25">
      <c r="A193" s="39" t="s">
        <v>286</v>
      </c>
      <c r="B193" s="39" t="s">
        <v>317</v>
      </c>
      <c r="C193" s="40" t="s">
        <v>318</v>
      </c>
      <c r="D193" s="39" t="s">
        <v>313</v>
      </c>
      <c r="E193" s="39" t="s">
        <v>314</v>
      </c>
      <c r="F193" s="41">
        <v>0</v>
      </c>
      <c r="G193" s="41">
        <v>0</v>
      </c>
      <c r="H193" s="41">
        <v>0</v>
      </c>
      <c r="I193" s="41">
        <v>0</v>
      </c>
      <c r="J193" s="42">
        <v>-3724.72</v>
      </c>
      <c r="K193" s="43">
        <v>-2336.85</v>
      </c>
      <c r="L193" s="41">
        <v>0</v>
      </c>
      <c r="M193" s="44">
        <v>-2336.85</v>
      </c>
      <c r="N193" s="45">
        <v>-0.94151799999999997</v>
      </c>
      <c r="O193" s="46">
        <v>0</v>
      </c>
      <c r="P193" s="47">
        <v>-0.94151799999999997</v>
      </c>
      <c r="Q193" s="43">
        <v>-6061.57</v>
      </c>
      <c r="R193" s="41">
        <v>0</v>
      </c>
      <c r="S193" s="44">
        <v>-6061.57</v>
      </c>
      <c r="T193" s="48">
        <v>-1.11734</v>
      </c>
      <c r="U193" s="46">
        <v>0</v>
      </c>
      <c r="V193" s="47">
        <v>-1.11734</v>
      </c>
      <c r="W193" s="43">
        <v>0</v>
      </c>
      <c r="X193" s="44">
        <v>-6061.57</v>
      </c>
      <c r="Y193" s="49"/>
      <c r="AA193" s="15" t="s">
        <v>16</v>
      </c>
      <c r="AB193" s="15" t="str">
        <f t="shared" si="2"/>
        <v>Marion KOM-0555AL</v>
      </c>
    </row>
    <row r="194" spans="1:28" x14ac:dyDescent="0.25">
      <c r="A194" s="39" t="s">
        <v>184</v>
      </c>
      <c r="B194" s="39" t="s">
        <v>317</v>
      </c>
      <c r="C194" s="40" t="s">
        <v>318</v>
      </c>
      <c r="D194" s="39" t="s">
        <v>313</v>
      </c>
      <c r="E194" s="39" t="s">
        <v>314</v>
      </c>
      <c r="F194" s="41">
        <v>0</v>
      </c>
      <c r="G194" s="41">
        <v>0</v>
      </c>
      <c r="H194" s="41">
        <v>0</v>
      </c>
      <c r="I194" s="41">
        <v>0</v>
      </c>
      <c r="J194" s="42">
        <v>0</v>
      </c>
      <c r="K194" s="43">
        <v>0</v>
      </c>
      <c r="L194" s="41">
        <v>0</v>
      </c>
      <c r="M194" s="44">
        <v>0</v>
      </c>
      <c r="N194" s="45">
        <v>0</v>
      </c>
      <c r="O194" s="46">
        <v>0</v>
      </c>
      <c r="P194" s="47">
        <v>0</v>
      </c>
      <c r="Q194" s="43">
        <v>0</v>
      </c>
      <c r="R194" s="41">
        <v>0</v>
      </c>
      <c r="S194" s="44">
        <v>0</v>
      </c>
      <c r="T194" s="48">
        <v>0</v>
      </c>
      <c r="U194" s="46">
        <v>0</v>
      </c>
      <c r="V194" s="47">
        <v>0</v>
      </c>
      <c r="W194" s="43">
        <v>-2315.3200000000002</v>
      </c>
      <c r="X194" s="44">
        <v>2315.3200000000002</v>
      </c>
      <c r="Y194" s="49"/>
      <c r="AA194" s="15" t="s">
        <v>16</v>
      </c>
      <c r="AB194" s="15" t="str">
        <f t="shared" si="2"/>
        <v>Miami Township - 440AL</v>
      </c>
    </row>
    <row r="195" spans="1:28" x14ac:dyDescent="0.25">
      <c r="A195" s="39" t="s">
        <v>185</v>
      </c>
      <c r="B195" s="39" t="s">
        <v>317</v>
      </c>
      <c r="C195" s="40" t="s">
        <v>318</v>
      </c>
      <c r="D195" s="39" t="s">
        <v>313</v>
      </c>
      <c r="E195" s="39" t="s">
        <v>314</v>
      </c>
      <c r="F195" s="41">
        <v>-425</v>
      </c>
      <c r="G195" s="41">
        <v>-1715</v>
      </c>
      <c r="H195" s="41">
        <v>-10415</v>
      </c>
      <c r="I195" s="41">
        <v>-215</v>
      </c>
      <c r="J195" s="42">
        <v>-235</v>
      </c>
      <c r="K195" s="43">
        <v>-235</v>
      </c>
      <c r="L195" s="41">
        <v>-208.55</v>
      </c>
      <c r="M195" s="44">
        <v>-26.45</v>
      </c>
      <c r="N195" s="45">
        <v>-0.14443700000000001</v>
      </c>
      <c r="O195" s="46">
        <v>-0.123971609282861</v>
      </c>
      <c r="P195" s="47">
        <v>-2.0465390717139102E-2</v>
      </c>
      <c r="Q195" s="43">
        <v>-470</v>
      </c>
      <c r="R195" s="41">
        <v>-423.55</v>
      </c>
      <c r="S195" s="44">
        <v>-46.45</v>
      </c>
      <c r="T195" s="48">
        <v>-0.13459299999999999</v>
      </c>
      <c r="U195" s="46">
        <v>-0.119487575887517</v>
      </c>
      <c r="V195" s="47">
        <v>-1.51054241124828E-2</v>
      </c>
      <c r="W195" s="43">
        <v>-5028</v>
      </c>
      <c r="X195" s="44">
        <v>4558</v>
      </c>
      <c r="Y195" s="49"/>
      <c r="AA195" s="15" t="s">
        <v>16</v>
      </c>
      <c r="AB195" s="15" t="str">
        <f t="shared" ref="AB195:AB258" si="3">A195&amp;AA195</f>
        <v>Monclova - 2422AL</v>
      </c>
    </row>
    <row r="196" spans="1:28" x14ac:dyDescent="0.25">
      <c r="A196" s="39" t="s">
        <v>186</v>
      </c>
      <c r="B196" s="39" t="s">
        <v>317</v>
      </c>
      <c r="C196" s="40" t="s">
        <v>318</v>
      </c>
      <c r="D196" s="39" t="s">
        <v>313</v>
      </c>
      <c r="E196" s="39" t="s">
        <v>314</v>
      </c>
      <c r="F196" s="41">
        <v>-12072</v>
      </c>
      <c r="G196" s="41">
        <v>-11414.58</v>
      </c>
      <c r="H196" s="41">
        <v>-7892</v>
      </c>
      <c r="I196" s="41">
        <v>-5432</v>
      </c>
      <c r="J196" s="42">
        <v>-3501.55</v>
      </c>
      <c r="K196" s="43">
        <v>-5253</v>
      </c>
      <c r="L196" s="41">
        <v>-3200</v>
      </c>
      <c r="M196" s="44">
        <v>-2053</v>
      </c>
      <c r="N196" s="45">
        <v>-3.2892920000000001</v>
      </c>
      <c r="O196" s="46">
        <v>-1.9477840430051501</v>
      </c>
      <c r="P196" s="47">
        <v>-1.34150795699485</v>
      </c>
      <c r="Q196" s="43">
        <v>-8754.5499999999993</v>
      </c>
      <c r="R196" s="41">
        <v>-6400</v>
      </c>
      <c r="S196" s="44">
        <v>-2354.5500000000002</v>
      </c>
      <c r="T196" s="48">
        <v>-2.5771410000000001</v>
      </c>
      <c r="U196" s="46">
        <v>-1.8487441764116599</v>
      </c>
      <c r="V196" s="47">
        <v>-0.72839682358833502</v>
      </c>
      <c r="W196" s="43">
        <v>-12596.26</v>
      </c>
      <c r="X196" s="44">
        <v>3841.71</v>
      </c>
      <c r="Y196" s="49"/>
      <c r="AA196" s="15" t="s">
        <v>16</v>
      </c>
      <c r="AB196" s="15" t="str">
        <f t="shared" si="3"/>
        <v>Monticello - 140AL</v>
      </c>
    </row>
    <row r="197" spans="1:28" x14ac:dyDescent="0.25">
      <c r="A197" s="39" t="s">
        <v>188</v>
      </c>
      <c r="B197" s="39" t="s">
        <v>317</v>
      </c>
      <c r="C197" s="40" t="s">
        <v>318</v>
      </c>
      <c r="D197" s="39" t="s">
        <v>313</v>
      </c>
      <c r="E197" s="39" t="s">
        <v>314</v>
      </c>
      <c r="F197" s="41">
        <v>-110</v>
      </c>
      <c r="G197" s="41">
        <v>-1684.52</v>
      </c>
      <c r="H197" s="41">
        <v>-1820</v>
      </c>
      <c r="I197" s="41">
        <v>-320</v>
      </c>
      <c r="J197" s="42">
        <v>0</v>
      </c>
      <c r="K197" s="43">
        <v>0</v>
      </c>
      <c r="L197" s="41">
        <v>-57.3658</v>
      </c>
      <c r="M197" s="44">
        <v>57.3658</v>
      </c>
      <c r="N197" s="45">
        <v>0</v>
      </c>
      <c r="O197" s="46">
        <v>-0.143773934837093</v>
      </c>
      <c r="P197" s="47">
        <v>0.143773934837093</v>
      </c>
      <c r="Q197" s="43">
        <v>0</v>
      </c>
      <c r="R197" s="41">
        <v>-116.50579999999999</v>
      </c>
      <c r="S197" s="44">
        <v>116.50579999999999</v>
      </c>
      <c r="T197" s="48">
        <v>0</v>
      </c>
      <c r="U197" s="46">
        <v>-0.138573654475171</v>
      </c>
      <c r="V197" s="47">
        <v>0.138573654475171</v>
      </c>
      <c r="W197" s="43">
        <v>0</v>
      </c>
      <c r="X197" s="44">
        <v>0</v>
      </c>
      <c r="Y197" s="49"/>
      <c r="AA197" s="15" t="s">
        <v>16</v>
      </c>
      <c r="AB197" s="15" t="str">
        <f t="shared" si="3"/>
        <v>Mooresville - 5174AL</v>
      </c>
    </row>
    <row r="198" spans="1:28" x14ac:dyDescent="0.25">
      <c r="A198" s="39" t="s">
        <v>189</v>
      </c>
      <c r="B198" s="39" t="s">
        <v>317</v>
      </c>
      <c r="C198" s="40" t="s">
        <v>318</v>
      </c>
      <c r="D198" s="39" t="s">
        <v>313</v>
      </c>
      <c r="E198" s="39" t="s">
        <v>314</v>
      </c>
      <c r="F198" s="41">
        <v>0</v>
      </c>
      <c r="G198" s="41">
        <v>0</v>
      </c>
      <c r="H198" s="41">
        <v>0</v>
      </c>
      <c r="I198" s="41">
        <v>0</v>
      </c>
      <c r="J198" s="42">
        <v>0</v>
      </c>
      <c r="K198" s="43">
        <v>0</v>
      </c>
      <c r="L198" s="41">
        <v>0</v>
      </c>
      <c r="M198" s="44">
        <v>0</v>
      </c>
      <c r="N198" s="45">
        <v>0</v>
      </c>
      <c r="O198" s="46">
        <v>0</v>
      </c>
      <c r="P198" s="47">
        <v>0</v>
      </c>
      <c r="Q198" s="43">
        <v>0</v>
      </c>
      <c r="R198" s="41">
        <v>0</v>
      </c>
      <c r="S198" s="44">
        <v>0</v>
      </c>
      <c r="T198" s="48">
        <v>0</v>
      </c>
      <c r="U198" s="46">
        <v>0</v>
      </c>
      <c r="V198" s="47">
        <v>0</v>
      </c>
      <c r="W198" s="43">
        <v>0</v>
      </c>
      <c r="X198" s="44">
        <v>0</v>
      </c>
      <c r="Y198" s="49"/>
      <c r="AA198" s="15" t="s">
        <v>16</v>
      </c>
      <c r="AB198" s="15" t="str">
        <f t="shared" si="3"/>
        <v>Mount Washington - 176AL</v>
      </c>
    </row>
    <row r="199" spans="1:28" x14ac:dyDescent="0.25">
      <c r="A199" s="39" t="s">
        <v>190</v>
      </c>
      <c r="B199" s="39" t="s">
        <v>317</v>
      </c>
      <c r="C199" s="40" t="s">
        <v>318</v>
      </c>
      <c r="D199" s="39" t="s">
        <v>313</v>
      </c>
      <c r="E199" s="39" t="s">
        <v>314</v>
      </c>
      <c r="F199" s="41">
        <v>-1375</v>
      </c>
      <c r="G199" s="41">
        <v>2625</v>
      </c>
      <c r="H199" s="41">
        <v>0</v>
      </c>
      <c r="I199" s="41">
        <v>0</v>
      </c>
      <c r="J199" s="42">
        <v>0</v>
      </c>
      <c r="K199" s="43">
        <v>0</v>
      </c>
      <c r="L199" s="41">
        <v>-363.75</v>
      </c>
      <c r="M199" s="44">
        <v>363.75</v>
      </c>
      <c r="N199" s="45">
        <v>0</v>
      </c>
      <c r="O199" s="46">
        <v>-0.208730388679948</v>
      </c>
      <c r="P199" s="47">
        <v>0.208730388679948</v>
      </c>
      <c r="Q199" s="43">
        <v>0</v>
      </c>
      <c r="R199" s="41">
        <v>-738.75</v>
      </c>
      <c r="S199" s="44">
        <v>738.75</v>
      </c>
      <c r="T199" s="48">
        <v>0</v>
      </c>
      <c r="U199" s="46">
        <v>-0.20118064371109401</v>
      </c>
      <c r="V199" s="47">
        <v>0.20118064371109401</v>
      </c>
      <c r="W199" s="43">
        <v>-137.94</v>
      </c>
      <c r="X199" s="44">
        <v>137.94</v>
      </c>
      <c r="Y199" s="49"/>
      <c r="AA199" s="15" t="s">
        <v>16</v>
      </c>
      <c r="AB199" s="15" t="str">
        <f t="shared" si="3"/>
        <v>Muncie - 128AL</v>
      </c>
    </row>
    <row r="200" spans="1:28" x14ac:dyDescent="0.25">
      <c r="A200" s="39" t="s">
        <v>193</v>
      </c>
      <c r="B200" s="39" t="s">
        <v>317</v>
      </c>
      <c r="C200" s="40" t="s">
        <v>318</v>
      </c>
      <c r="D200" s="39" t="s">
        <v>313</v>
      </c>
      <c r="E200" s="39" t="s">
        <v>314</v>
      </c>
      <c r="F200" s="41">
        <v>-1630</v>
      </c>
      <c r="G200" s="41">
        <v>-1754.84</v>
      </c>
      <c r="H200" s="41">
        <v>-2123.83</v>
      </c>
      <c r="I200" s="41">
        <v>-2060</v>
      </c>
      <c r="J200" s="42">
        <v>-37.659999999999997</v>
      </c>
      <c r="K200" s="43">
        <v>0</v>
      </c>
      <c r="L200" s="41">
        <v>-2469.5208444444002</v>
      </c>
      <c r="M200" s="44">
        <v>2469.5208444444002</v>
      </c>
      <c r="N200" s="45">
        <v>0</v>
      </c>
      <c r="O200" s="46">
        <v>-3.2470171475664702</v>
      </c>
      <c r="P200" s="47">
        <v>3.2470171475664702</v>
      </c>
      <c r="Q200" s="43">
        <v>-37.659999999999997</v>
      </c>
      <c r="R200" s="41">
        <v>-5015.4186222221997</v>
      </c>
      <c r="S200" s="44">
        <v>4977.7586222221998</v>
      </c>
      <c r="T200" s="48">
        <v>-1.856E-2</v>
      </c>
      <c r="U200" s="46">
        <v>-3.1295730536391599</v>
      </c>
      <c r="V200" s="47">
        <v>3.11101305363916</v>
      </c>
      <c r="W200" s="43">
        <v>-2303.87</v>
      </c>
      <c r="X200" s="44">
        <v>2266.21</v>
      </c>
      <c r="Y200" s="49"/>
      <c r="AA200" s="15" t="s">
        <v>16</v>
      </c>
      <c r="AB200" s="15" t="str">
        <f t="shared" si="3"/>
        <v>Muskegon - 525AL</v>
      </c>
    </row>
    <row r="201" spans="1:28" x14ac:dyDescent="0.25">
      <c r="A201" s="39" t="s">
        <v>195</v>
      </c>
      <c r="B201" s="39" t="s">
        <v>317</v>
      </c>
      <c r="C201" s="40" t="s">
        <v>318</v>
      </c>
      <c r="D201" s="39" t="s">
        <v>313</v>
      </c>
      <c r="E201" s="39" t="s">
        <v>314</v>
      </c>
      <c r="F201" s="41">
        <v>-500</v>
      </c>
      <c r="G201" s="41">
        <v>-3815.76</v>
      </c>
      <c r="H201" s="41">
        <v>-14409.61</v>
      </c>
      <c r="I201" s="41">
        <v>-1296.71</v>
      </c>
      <c r="J201" s="42">
        <v>-3863.68</v>
      </c>
      <c r="K201" s="43">
        <v>-424.89</v>
      </c>
      <c r="L201" s="41">
        <v>-1803.9251666667001</v>
      </c>
      <c r="M201" s="44">
        <v>1379.0351666667</v>
      </c>
      <c r="N201" s="45">
        <v>-0.26130900000000001</v>
      </c>
      <c r="O201" s="46">
        <v>-1.16397287822087</v>
      </c>
      <c r="P201" s="47">
        <v>0.90266387822086702</v>
      </c>
      <c r="Q201" s="43">
        <v>-4288.57</v>
      </c>
      <c r="R201" s="41">
        <v>-3663.6418333332999</v>
      </c>
      <c r="S201" s="44">
        <v>-624.92816666670001</v>
      </c>
      <c r="T201" s="48">
        <v>-1.273328</v>
      </c>
      <c r="U201" s="46">
        <v>-1.1401635203292899</v>
      </c>
      <c r="V201" s="47">
        <v>-0.13316447967070899</v>
      </c>
      <c r="W201" s="43">
        <v>-10808.15</v>
      </c>
      <c r="X201" s="44">
        <v>6519.58</v>
      </c>
      <c r="Y201" s="49"/>
      <c r="AA201" s="15" t="s">
        <v>16</v>
      </c>
      <c r="AB201" s="15" t="str">
        <f t="shared" si="3"/>
        <v>New Albany RC - 236AL</v>
      </c>
    </row>
    <row r="202" spans="1:28" x14ac:dyDescent="0.25">
      <c r="A202" s="39" t="s">
        <v>197</v>
      </c>
      <c r="B202" s="39" t="s">
        <v>317</v>
      </c>
      <c r="C202" s="40" t="s">
        <v>318</v>
      </c>
      <c r="D202" s="39" t="s">
        <v>313</v>
      </c>
      <c r="E202" s="39" t="s">
        <v>314</v>
      </c>
      <c r="F202" s="41">
        <v>-2784.9</v>
      </c>
      <c r="G202" s="41">
        <v>-5751.4</v>
      </c>
      <c r="H202" s="41">
        <v>-5682.1</v>
      </c>
      <c r="I202" s="41">
        <v>-5459</v>
      </c>
      <c r="J202" s="42">
        <v>-6589</v>
      </c>
      <c r="K202" s="43">
        <v>-7408.4</v>
      </c>
      <c r="L202" s="41">
        <v>-2638.4</v>
      </c>
      <c r="M202" s="44">
        <v>-4770</v>
      </c>
      <c r="N202" s="45">
        <v>-8.2133029999999998</v>
      </c>
      <c r="O202" s="46">
        <v>-2.7463879751842399</v>
      </c>
      <c r="P202" s="47">
        <v>-5.4669150248157603</v>
      </c>
      <c r="Q202" s="43">
        <v>-13997.4</v>
      </c>
      <c r="R202" s="41">
        <v>-5358.4</v>
      </c>
      <c r="S202" s="44">
        <v>-8639</v>
      </c>
      <c r="T202" s="48">
        <v>-7.2638290000000003</v>
      </c>
      <c r="U202" s="46">
        <v>-2.6470515588181498</v>
      </c>
      <c r="V202" s="47">
        <v>-4.6167774411818501</v>
      </c>
      <c r="W202" s="43">
        <v>0</v>
      </c>
      <c r="X202" s="44">
        <v>-13997.4</v>
      </c>
      <c r="Y202" s="49"/>
      <c r="AA202" s="15" t="s">
        <v>16</v>
      </c>
      <c r="AB202" s="15" t="str">
        <f t="shared" si="3"/>
        <v>New Albany SC - 5151AL</v>
      </c>
    </row>
    <row r="203" spans="1:28" x14ac:dyDescent="0.25">
      <c r="A203" s="39" t="s">
        <v>198</v>
      </c>
      <c r="B203" s="39" t="s">
        <v>317</v>
      </c>
      <c r="C203" s="40" t="s">
        <v>318</v>
      </c>
      <c r="D203" s="39" t="s">
        <v>313</v>
      </c>
      <c r="E203" s="39" t="s">
        <v>314</v>
      </c>
      <c r="F203" s="41">
        <v>-1050</v>
      </c>
      <c r="G203" s="41">
        <v>-1050</v>
      </c>
      <c r="H203" s="41">
        <v>-1050</v>
      </c>
      <c r="I203" s="41">
        <v>-1050</v>
      </c>
      <c r="J203" s="42">
        <v>0</v>
      </c>
      <c r="K203" s="43">
        <v>-2225.6</v>
      </c>
      <c r="L203" s="41">
        <v>-1018.5</v>
      </c>
      <c r="M203" s="44">
        <v>-1207.0999999999999</v>
      </c>
      <c r="N203" s="45">
        <v>-1.953994</v>
      </c>
      <c r="O203" s="46">
        <v>-1.2739522777058001</v>
      </c>
      <c r="P203" s="47">
        <v>-0.68004172229420001</v>
      </c>
      <c r="Q203" s="43">
        <v>-2225.6</v>
      </c>
      <c r="R203" s="41">
        <v>-2068.5</v>
      </c>
      <c r="S203" s="44">
        <v>-157.1</v>
      </c>
      <c r="T203" s="48">
        <v>-0.97828499999999996</v>
      </c>
      <c r="U203" s="46">
        <v>-1.2269704887375801</v>
      </c>
      <c r="V203" s="47">
        <v>0.24868548873757601</v>
      </c>
      <c r="W203" s="43">
        <v>2630.81</v>
      </c>
      <c r="X203" s="44">
        <v>-4856.41</v>
      </c>
      <c r="Y203" s="49"/>
      <c r="AA203" s="15" t="s">
        <v>16</v>
      </c>
      <c r="AB203" s="15" t="str">
        <f t="shared" si="3"/>
        <v>New Albany SM - 438AL</v>
      </c>
    </row>
    <row r="204" spans="1:28" x14ac:dyDescent="0.25">
      <c r="A204" s="39" t="s">
        <v>199</v>
      </c>
      <c r="B204" s="39" t="s">
        <v>317</v>
      </c>
      <c r="C204" s="40" t="s">
        <v>318</v>
      </c>
      <c r="D204" s="39" t="s">
        <v>313</v>
      </c>
      <c r="E204" s="39" t="s">
        <v>314</v>
      </c>
      <c r="F204" s="41">
        <v>-82.86</v>
      </c>
      <c r="G204" s="41">
        <v>-1284.24</v>
      </c>
      <c r="H204" s="41">
        <v>-315.33</v>
      </c>
      <c r="I204" s="41">
        <v>0</v>
      </c>
      <c r="J204" s="42">
        <v>0</v>
      </c>
      <c r="K204" s="43">
        <v>0</v>
      </c>
      <c r="L204" s="41">
        <v>-978.9304666667</v>
      </c>
      <c r="M204" s="44">
        <v>978.9304666667</v>
      </c>
      <c r="N204" s="45">
        <v>0</v>
      </c>
      <c r="O204" s="46">
        <v>-1.2076615675631599</v>
      </c>
      <c r="P204" s="47">
        <v>1.2076615675631599</v>
      </c>
      <c r="Q204" s="43">
        <v>0</v>
      </c>
      <c r="R204" s="41">
        <v>-1988.1371333333</v>
      </c>
      <c r="S204" s="44">
        <v>1988.1371333333</v>
      </c>
      <c r="T204" s="48">
        <v>0</v>
      </c>
      <c r="U204" s="46">
        <v>-1.16398064069161</v>
      </c>
      <c r="V204" s="47">
        <v>1.16398064069161</v>
      </c>
      <c r="W204" s="43">
        <v>0</v>
      </c>
      <c r="X204" s="44">
        <v>0</v>
      </c>
      <c r="Y204" s="49"/>
      <c r="AA204" s="15" t="s">
        <v>16</v>
      </c>
      <c r="AB204" s="15" t="str">
        <f t="shared" si="3"/>
        <v>New Castle GO - 2153AL</v>
      </c>
    </row>
    <row r="205" spans="1:28" x14ac:dyDescent="0.25">
      <c r="A205" s="39" t="s">
        <v>201</v>
      </c>
      <c r="B205" s="39" t="s">
        <v>317</v>
      </c>
      <c r="C205" s="40" t="s">
        <v>318</v>
      </c>
      <c r="D205" s="39" t="s">
        <v>313</v>
      </c>
      <c r="E205" s="39" t="s">
        <v>314</v>
      </c>
      <c r="F205" s="41">
        <v>-500</v>
      </c>
      <c r="G205" s="41">
        <v>-500</v>
      </c>
      <c r="H205" s="41">
        <v>0</v>
      </c>
      <c r="I205" s="41">
        <v>0</v>
      </c>
      <c r="J205" s="42">
        <v>0</v>
      </c>
      <c r="K205" s="43">
        <v>-598.20000000000005</v>
      </c>
      <c r="L205" s="41">
        <v>0</v>
      </c>
      <c r="M205" s="44">
        <v>-598.20000000000005</v>
      </c>
      <c r="N205" s="45">
        <v>-0.354383</v>
      </c>
      <c r="O205" s="46">
        <v>0</v>
      </c>
      <c r="P205" s="47">
        <v>-0.354383</v>
      </c>
      <c r="Q205" s="43">
        <v>-598.20000000000005</v>
      </c>
      <c r="R205" s="41">
        <v>0</v>
      </c>
      <c r="S205" s="44">
        <v>-598.20000000000005</v>
      </c>
      <c r="T205" s="48">
        <v>-0.169653</v>
      </c>
      <c r="U205" s="46">
        <v>0</v>
      </c>
      <c r="V205" s="47">
        <v>-0.169653</v>
      </c>
      <c r="W205" s="43">
        <v>0</v>
      </c>
      <c r="X205" s="44">
        <v>-598.20000000000005</v>
      </c>
      <c r="Y205" s="49"/>
      <c r="AA205" s="15" t="s">
        <v>16</v>
      </c>
      <c r="AB205" s="15" t="str">
        <f t="shared" si="3"/>
        <v>Noblesville - 141AL</v>
      </c>
    </row>
    <row r="206" spans="1:28" x14ac:dyDescent="0.25">
      <c r="A206" s="39" t="s">
        <v>202</v>
      </c>
      <c r="B206" s="39" t="s">
        <v>317</v>
      </c>
      <c r="C206" s="40" t="s">
        <v>318</v>
      </c>
      <c r="D206" s="39" t="s">
        <v>313</v>
      </c>
      <c r="E206" s="39" t="s">
        <v>314</v>
      </c>
      <c r="F206" s="41">
        <v>0</v>
      </c>
      <c r="G206" s="41">
        <v>0</v>
      </c>
      <c r="H206" s="41">
        <v>0</v>
      </c>
      <c r="I206" s="41">
        <v>0</v>
      </c>
      <c r="J206" s="42">
        <v>0</v>
      </c>
      <c r="K206" s="43">
        <v>0</v>
      </c>
      <c r="L206" s="41">
        <v>0</v>
      </c>
      <c r="M206" s="44">
        <v>0</v>
      </c>
      <c r="N206" s="45">
        <v>0</v>
      </c>
      <c r="O206" s="46">
        <v>0</v>
      </c>
      <c r="P206" s="47">
        <v>0</v>
      </c>
      <c r="Q206" s="43">
        <v>0</v>
      </c>
      <c r="R206" s="41">
        <v>0</v>
      </c>
      <c r="S206" s="44">
        <v>0</v>
      </c>
      <c r="T206" s="48">
        <v>0</v>
      </c>
      <c r="U206" s="46">
        <v>0</v>
      </c>
      <c r="V206" s="47">
        <v>0</v>
      </c>
      <c r="W206" s="43">
        <v>-435.48</v>
      </c>
      <c r="X206" s="44">
        <v>435.48</v>
      </c>
      <c r="Y206" s="49"/>
      <c r="AA206" s="15" t="s">
        <v>16</v>
      </c>
      <c r="AB206" s="15" t="str">
        <f t="shared" si="3"/>
        <v>North Baltimore - 415AL</v>
      </c>
    </row>
    <row r="207" spans="1:28" x14ac:dyDescent="0.25">
      <c r="A207" s="39" t="s">
        <v>203</v>
      </c>
      <c r="B207" s="39" t="s">
        <v>317</v>
      </c>
      <c r="C207" s="40" t="s">
        <v>318</v>
      </c>
      <c r="D207" s="39" t="s">
        <v>313</v>
      </c>
      <c r="E207" s="39" t="s">
        <v>314</v>
      </c>
      <c r="F207" s="41">
        <v>-3000</v>
      </c>
      <c r="G207" s="41">
        <v>-4222.26</v>
      </c>
      <c r="H207" s="41">
        <v>-2286.77</v>
      </c>
      <c r="I207" s="41">
        <v>-396.33</v>
      </c>
      <c r="J207" s="42">
        <v>0</v>
      </c>
      <c r="K207" s="43">
        <v>0</v>
      </c>
      <c r="L207" s="41">
        <v>-431.1111111111</v>
      </c>
      <c r="M207" s="44">
        <v>431.1111111111</v>
      </c>
      <c r="N207" s="45">
        <v>0</v>
      </c>
      <c r="O207" s="46">
        <v>-0.54988662131517896</v>
      </c>
      <c r="P207" s="47">
        <v>0.54988662131517896</v>
      </c>
      <c r="Q207" s="43">
        <v>0</v>
      </c>
      <c r="R207" s="41">
        <v>-875.55555555559999</v>
      </c>
      <c r="S207" s="44">
        <v>875.55555555559999</v>
      </c>
      <c r="T207" s="48">
        <v>0</v>
      </c>
      <c r="U207" s="46">
        <v>-0.52999730965835301</v>
      </c>
      <c r="V207" s="47">
        <v>0.52999730965835301</v>
      </c>
      <c r="W207" s="43">
        <v>0</v>
      </c>
      <c r="X207" s="44">
        <v>0</v>
      </c>
      <c r="Y207" s="49"/>
      <c r="AA207" s="15" t="s">
        <v>16</v>
      </c>
      <c r="AB207" s="15" t="str">
        <f t="shared" si="3"/>
        <v>Novi - 2510AL</v>
      </c>
    </row>
    <row r="208" spans="1:28" x14ac:dyDescent="0.25">
      <c r="A208" s="39" t="s">
        <v>204</v>
      </c>
      <c r="B208" s="39" t="s">
        <v>317</v>
      </c>
      <c r="C208" s="40" t="s">
        <v>318</v>
      </c>
      <c r="D208" s="39" t="s">
        <v>313</v>
      </c>
      <c r="E208" s="39" t="s">
        <v>314</v>
      </c>
      <c r="F208" s="41">
        <v>0</v>
      </c>
      <c r="G208" s="41">
        <v>0</v>
      </c>
      <c r="H208" s="41">
        <v>0</v>
      </c>
      <c r="I208" s="41">
        <v>-1500</v>
      </c>
      <c r="J208" s="42">
        <v>0</v>
      </c>
      <c r="K208" s="43">
        <v>0</v>
      </c>
      <c r="L208" s="41">
        <v>0</v>
      </c>
      <c r="M208" s="44">
        <v>0</v>
      </c>
      <c r="N208" s="45">
        <v>0</v>
      </c>
      <c r="O208" s="46">
        <v>0</v>
      </c>
      <c r="P208" s="47">
        <v>0</v>
      </c>
      <c r="Q208" s="43">
        <v>0</v>
      </c>
      <c r="R208" s="41">
        <v>0</v>
      </c>
      <c r="S208" s="44">
        <v>0</v>
      </c>
      <c r="T208" s="48">
        <v>0</v>
      </c>
      <c r="U208" s="46">
        <v>0</v>
      </c>
      <c r="V208" s="47">
        <v>0</v>
      </c>
      <c r="W208" s="43">
        <v>0</v>
      </c>
      <c r="X208" s="44">
        <v>0</v>
      </c>
      <c r="Y208" s="49"/>
      <c r="AA208" s="15" t="s">
        <v>16</v>
      </c>
      <c r="AB208" s="15" t="str">
        <f t="shared" si="3"/>
        <v>Okemos - 2504AL</v>
      </c>
    </row>
    <row r="209" spans="1:28" x14ac:dyDescent="0.25">
      <c r="A209" s="39" t="s">
        <v>205</v>
      </c>
      <c r="B209" s="39" t="s">
        <v>317</v>
      </c>
      <c r="C209" s="40" t="s">
        <v>318</v>
      </c>
      <c r="D209" s="39" t="s">
        <v>313</v>
      </c>
      <c r="E209" s="39" t="s">
        <v>314</v>
      </c>
      <c r="F209" s="41">
        <v>-1799</v>
      </c>
      <c r="G209" s="41">
        <v>-4799</v>
      </c>
      <c r="H209" s="41">
        <v>-1799</v>
      </c>
      <c r="I209" s="41">
        <v>-1399</v>
      </c>
      <c r="J209" s="42">
        <v>-322.26</v>
      </c>
      <c r="K209" s="43">
        <v>0</v>
      </c>
      <c r="L209" s="41">
        <v>-776</v>
      </c>
      <c r="M209" s="44">
        <v>776</v>
      </c>
      <c r="N209" s="45">
        <v>0</v>
      </c>
      <c r="O209" s="46">
        <v>-1.1205236811705801</v>
      </c>
      <c r="P209" s="47">
        <v>1.1205236811705801</v>
      </c>
      <c r="Q209" s="43">
        <v>-322.26</v>
      </c>
      <c r="R209" s="41">
        <v>-1576</v>
      </c>
      <c r="S209" s="44">
        <v>1253.74</v>
      </c>
      <c r="T209" s="48">
        <v>-0.21285299999999999</v>
      </c>
      <c r="U209" s="46">
        <v>-1.07999451779433</v>
      </c>
      <c r="V209" s="47">
        <v>0.86714151779432802</v>
      </c>
      <c r="W209" s="43">
        <v>-2000</v>
      </c>
      <c r="X209" s="44">
        <v>1677.74</v>
      </c>
      <c r="Y209" s="49"/>
      <c r="AA209" s="15" t="s">
        <v>16</v>
      </c>
      <c r="AB209" s="15" t="str">
        <f t="shared" si="3"/>
        <v>Ottawa MO - 430AL</v>
      </c>
    </row>
    <row r="210" spans="1:28" x14ac:dyDescent="0.25">
      <c r="A210" s="39" t="s">
        <v>287</v>
      </c>
      <c r="B210" s="39" t="s">
        <v>317</v>
      </c>
      <c r="C210" s="40" t="s">
        <v>318</v>
      </c>
      <c r="D210" s="39" t="s">
        <v>313</v>
      </c>
      <c r="E210" s="39" t="s">
        <v>314</v>
      </c>
      <c r="F210" s="41">
        <v>0</v>
      </c>
      <c r="G210" s="41">
        <v>0</v>
      </c>
      <c r="H210" s="41">
        <v>0</v>
      </c>
      <c r="I210" s="41">
        <v>-774.2</v>
      </c>
      <c r="J210" s="42">
        <v>-1500</v>
      </c>
      <c r="K210" s="43">
        <v>-2914.29</v>
      </c>
      <c r="L210" s="41">
        <v>0</v>
      </c>
      <c r="M210" s="44">
        <v>-2914.29</v>
      </c>
      <c r="N210" s="45">
        <v>-1.242237</v>
      </c>
      <c r="O210" s="46">
        <v>0</v>
      </c>
      <c r="P210" s="47">
        <v>-1.242237</v>
      </c>
      <c r="Q210" s="43">
        <v>-4414.29</v>
      </c>
      <c r="R210" s="41">
        <v>0</v>
      </c>
      <c r="S210" s="44">
        <v>-4414.29</v>
      </c>
      <c r="T210" s="48">
        <v>-0.90512400000000004</v>
      </c>
      <c r="U210" s="46">
        <v>0</v>
      </c>
      <c r="V210" s="47">
        <v>-0.90512400000000004</v>
      </c>
      <c r="W210" s="43">
        <v>0</v>
      </c>
      <c r="X210" s="44">
        <v>-4414.29</v>
      </c>
      <c r="Y210" s="49"/>
      <c r="AA210" s="15" t="s">
        <v>16</v>
      </c>
      <c r="AB210" s="15" t="str">
        <f t="shared" si="3"/>
        <v>Perrysburg KSL-0558AL</v>
      </c>
    </row>
    <row r="211" spans="1:28" x14ac:dyDescent="0.25">
      <c r="A211" s="39" t="s">
        <v>208</v>
      </c>
      <c r="B211" s="39" t="s">
        <v>317</v>
      </c>
      <c r="C211" s="40" t="s">
        <v>318</v>
      </c>
      <c r="D211" s="39" t="s">
        <v>313</v>
      </c>
      <c r="E211" s="39" t="s">
        <v>314</v>
      </c>
      <c r="F211" s="41">
        <v>-18647.97</v>
      </c>
      <c r="G211" s="41">
        <v>-30402.32</v>
      </c>
      <c r="H211" s="41">
        <v>-23073.94</v>
      </c>
      <c r="I211" s="41">
        <v>-19536</v>
      </c>
      <c r="J211" s="42">
        <v>-15982.81</v>
      </c>
      <c r="K211" s="43">
        <v>-19047</v>
      </c>
      <c r="L211" s="41">
        <v>-13016.2467777777</v>
      </c>
      <c r="M211" s="44">
        <v>-6030.7532222222999</v>
      </c>
      <c r="N211" s="45">
        <v>-15.460227</v>
      </c>
      <c r="O211" s="46">
        <v>-10.330354585537901</v>
      </c>
      <c r="P211" s="47">
        <v>-5.1298724144621204</v>
      </c>
      <c r="Q211" s="43">
        <v>-35029.81</v>
      </c>
      <c r="R211" s="41">
        <v>-26435.057888888801</v>
      </c>
      <c r="S211" s="44">
        <v>-8594.7521111112001</v>
      </c>
      <c r="T211" s="48">
        <v>-13.365055</v>
      </c>
      <c r="U211" s="46">
        <v>-9.9567073027830109</v>
      </c>
      <c r="V211" s="47">
        <v>-3.4083476972169899</v>
      </c>
      <c r="W211" s="43">
        <v>-9332.9599999999991</v>
      </c>
      <c r="X211" s="44">
        <v>-25696.85</v>
      </c>
      <c r="Y211" s="49"/>
      <c r="AA211" s="15" t="s">
        <v>16</v>
      </c>
      <c r="AB211" s="15" t="str">
        <f t="shared" si="3"/>
        <v>Peru - 2144AL</v>
      </c>
    </row>
    <row r="212" spans="1:28" x14ac:dyDescent="0.25">
      <c r="A212" s="39" t="s">
        <v>210</v>
      </c>
      <c r="B212" s="39" t="s">
        <v>317</v>
      </c>
      <c r="C212" s="40" t="s">
        <v>318</v>
      </c>
      <c r="D212" s="39" t="s">
        <v>313</v>
      </c>
      <c r="E212" s="39" t="s">
        <v>314</v>
      </c>
      <c r="F212" s="41">
        <v>-800</v>
      </c>
      <c r="G212" s="41">
        <v>0</v>
      </c>
      <c r="H212" s="41">
        <v>-266.67</v>
      </c>
      <c r="I212" s="41">
        <v>-3741.94</v>
      </c>
      <c r="J212" s="42">
        <v>0</v>
      </c>
      <c r="K212" s="43">
        <v>0</v>
      </c>
      <c r="L212" s="41">
        <v>0</v>
      </c>
      <c r="M212" s="44">
        <v>0</v>
      </c>
      <c r="N212" s="45">
        <v>0</v>
      </c>
      <c r="O212" s="46">
        <v>0</v>
      </c>
      <c r="P212" s="47">
        <v>0</v>
      </c>
      <c r="Q212" s="43">
        <v>0</v>
      </c>
      <c r="R212" s="41">
        <v>0</v>
      </c>
      <c r="S212" s="44">
        <v>0</v>
      </c>
      <c r="T212" s="48">
        <v>0</v>
      </c>
      <c r="U212" s="46">
        <v>0</v>
      </c>
      <c r="V212" s="47">
        <v>0</v>
      </c>
      <c r="W212" s="43">
        <v>0</v>
      </c>
      <c r="X212" s="44">
        <v>0</v>
      </c>
      <c r="Y212" s="49"/>
      <c r="AA212" s="15" t="s">
        <v>16</v>
      </c>
      <c r="AB212" s="15" t="str">
        <f t="shared" si="3"/>
        <v>Petersburg - 304AL</v>
      </c>
    </row>
    <row r="213" spans="1:28" x14ac:dyDescent="0.25">
      <c r="A213" s="39" t="s">
        <v>211</v>
      </c>
      <c r="B213" s="39" t="s">
        <v>317</v>
      </c>
      <c r="C213" s="40" t="s">
        <v>318</v>
      </c>
      <c r="D213" s="39" t="s">
        <v>313</v>
      </c>
      <c r="E213" s="39" t="s">
        <v>314</v>
      </c>
      <c r="F213" s="41">
        <v>-2450</v>
      </c>
      <c r="G213" s="41">
        <v>0</v>
      </c>
      <c r="H213" s="41">
        <v>-3000</v>
      </c>
      <c r="I213" s="41">
        <v>0</v>
      </c>
      <c r="J213" s="42">
        <v>0</v>
      </c>
      <c r="K213" s="43">
        <v>0</v>
      </c>
      <c r="L213" s="41">
        <v>0</v>
      </c>
      <c r="M213" s="44">
        <v>0</v>
      </c>
      <c r="N213" s="45">
        <v>0</v>
      </c>
      <c r="O213" s="46">
        <v>0</v>
      </c>
      <c r="P213" s="47">
        <v>0</v>
      </c>
      <c r="Q213" s="43">
        <v>0</v>
      </c>
      <c r="R213" s="41">
        <v>0</v>
      </c>
      <c r="S213" s="44">
        <v>0</v>
      </c>
      <c r="T213" s="48">
        <v>0</v>
      </c>
      <c r="U213" s="46">
        <v>0</v>
      </c>
      <c r="V213" s="47">
        <v>0</v>
      </c>
      <c r="W213" s="43">
        <v>0</v>
      </c>
      <c r="X213" s="44">
        <v>0</v>
      </c>
      <c r="Y213" s="49"/>
      <c r="AA213" s="15" t="s">
        <v>16</v>
      </c>
      <c r="AB213" s="15" t="str">
        <f t="shared" si="3"/>
        <v>Pickerington - 421AL</v>
      </c>
    </row>
    <row r="214" spans="1:28" x14ac:dyDescent="0.25">
      <c r="A214" s="39" t="s">
        <v>212</v>
      </c>
      <c r="B214" s="39" t="s">
        <v>317</v>
      </c>
      <c r="C214" s="40" t="s">
        <v>318</v>
      </c>
      <c r="D214" s="39" t="s">
        <v>313</v>
      </c>
      <c r="E214" s="39" t="s">
        <v>314</v>
      </c>
      <c r="F214" s="41">
        <v>0</v>
      </c>
      <c r="G214" s="41">
        <v>-930</v>
      </c>
      <c r="H214" s="41">
        <v>0</v>
      </c>
      <c r="I214" s="41">
        <v>-2520</v>
      </c>
      <c r="J214" s="42">
        <v>-232.9</v>
      </c>
      <c r="K214" s="43">
        <v>-380</v>
      </c>
      <c r="L214" s="41">
        <v>-605.02025555559999</v>
      </c>
      <c r="M214" s="44">
        <v>225.02025555559999</v>
      </c>
      <c r="N214" s="45">
        <v>-0.39790500000000001</v>
      </c>
      <c r="O214" s="46">
        <v>-0.675245820932588</v>
      </c>
      <c r="P214" s="47">
        <v>0.27734082093258799</v>
      </c>
      <c r="Q214" s="43">
        <v>-612.9</v>
      </c>
      <c r="R214" s="41">
        <v>-1228.7524777778001</v>
      </c>
      <c r="S214" s="44">
        <v>615.8524777778</v>
      </c>
      <c r="T214" s="48">
        <v>-0.30691000000000002</v>
      </c>
      <c r="U214" s="46">
        <v>-0.65082228695858002</v>
      </c>
      <c r="V214" s="47">
        <v>0.34391228695858</v>
      </c>
      <c r="W214" s="43">
        <v>0</v>
      </c>
      <c r="X214" s="44">
        <v>-612.9</v>
      </c>
      <c r="Y214" s="49"/>
      <c r="AA214" s="15" t="s">
        <v>16</v>
      </c>
      <c r="AB214" s="15" t="str">
        <f t="shared" si="3"/>
        <v>Princeton - 117AL</v>
      </c>
    </row>
    <row r="215" spans="1:28" x14ac:dyDescent="0.25">
      <c r="A215" s="39" t="s">
        <v>213</v>
      </c>
      <c r="B215" s="39" t="s">
        <v>317</v>
      </c>
      <c r="C215" s="40" t="s">
        <v>318</v>
      </c>
      <c r="D215" s="39" t="s">
        <v>313</v>
      </c>
      <c r="E215" s="39" t="s">
        <v>314</v>
      </c>
      <c r="F215" s="41">
        <v>0</v>
      </c>
      <c r="G215" s="41">
        <v>0</v>
      </c>
      <c r="H215" s="41">
        <v>-17000</v>
      </c>
      <c r="I215" s="41">
        <v>-1000</v>
      </c>
      <c r="J215" s="42">
        <v>0</v>
      </c>
      <c r="K215" s="43">
        <v>0</v>
      </c>
      <c r="L215" s="41">
        <v>0</v>
      </c>
      <c r="M215" s="44">
        <v>0</v>
      </c>
      <c r="N215" s="45">
        <v>0</v>
      </c>
      <c r="O215" s="46">
        <v>0</v>
      </c>
      <c r="P215" s="47">
        <v>0</v>
      </c>
      <c r="Q215" s="43">
        <v>0</v>
      </c>
      <c r="R215" s="41">
        <v>0</v>
      </c>
      <c r="S215" s="44">
        <v>0</v>
      </c>
      <c r="T215" s="48">
        <v>0</v>
      </c>
      <c r="U215" s="46">
        <v>0</v>
      </c>
      <c r="V215" s="47">
        <v>0</v>
      </c>
      <c r="W215" s="43">
        <v>-2000</v>
      </c>
      <c r="X215" s="44">
        <v>2000</v>
      </c>
      <c r="Y215" s="49"/>
      <c r="AA215" s="15" t="s">
        <v>16</v>
      </c>
      <c r="AB215" s="15" t="str">
        <f t="shared" si="3"/>
        <v>Richmond FP - 123AL</v>
      </c>
    </row>
    <row r="216" spans="1:28" x14ac:dyDescent="0.25">
      <c r="A216" s="39" t="s">
        <v>214</v>
      </c>
      <c r="B216" s="39" t="s">
        <v>317</v>
      </c>
      <c r="C216" s="40" t="s">
        <v>318</v>
      </c>
      <c r="D216" s="39" t="s">
        <v>313</v>
      </c>
      <c r="E216" s="39" t="s">
        <v>314</v>
      </c>
      <c r="F216" s="41">
        <v>0</v>
      </c>
      <c r="G216" s="41">
        <v>0</v>
      </c>
      <c r="H216" s="41">
        <v>0</v>
      </c>
      <c r="I216" s="41">
        <v>0</v>
      </c>
      <c r="J216" s="42">
        <v>0</v>
      </c>
      <c r="K216" s="43">
        <v>0</v>
      </c>
      <c r="L216" s="41">
        <v>0</v>
      </c>
      <c r="M216" s="44">
        <v>0</v>
      </c>
      <c r="N216" s="45">
        <v>0</v>
      </c>
      <c r="O216" s="46">
        <v>0</v>
      </c>
      <c r="P216" s="47">
        <v>0</v>
      </c>
      <c r="Q216" s="43">
        <v>0</v>
      </c>
      <c r="R216" s="41">
        <v>0</v>
      </c>
      <c r="S216" s="44">
        <v>0</v>
      </c>
      <c r="T216" s="48">
        <v>0</v>
      </c>
      <c r="U216" s="46">
        <v>0</v>
      </c>
      <c r="V216" s="47">
        <v>0</v>
      </c>
      <c r="W216" s="43">
        <v>0</v>
      </c>
      <c r="X216" s="44">
        <v>0</v>
      </c>
      <c r="Y216" s="49"/>
      <c r="AA216" s="15" t="s">
        <v>16</v>
      </c>
      <c r="AB216" s="15" t="str">
        <f t="shared" si="3"/>
        <v>Richmond SR - 5173AL</v>
      </c>
    </row>
    <row r="217" spans="1:28" x14ac:dyDescent="0.25">
      <c r="A217" s="39" t="s">
        <v>215</v>
      </c>
      <c r="B217" s="39" t="s">
        <v>317</v>
      </c>
      <c r="C217" s="40" t="s">
        <v>318</v>
      </c>
      <c r="D217" s="39" t="s">
        <v>313</v>
      </c>
      <c r="E217" s="39" t="s">
        <v>314</v>
      </c>
      <c r="F217" s="41">
        <v>-1892</v>
      </c>
      <c r="G217" s="41">
        <v>-3392</v>
      </c>
      <c r="H217" s="41">
        <v>-3392</v>
      </c>
      <c r="I217" s="41">
        <v>-1892</v>
      </c>
      <c r="J217" s="42">
        <v>-1987</v>
      </c>
      <c r="K217" s="43">
        <v>-270</v>
      </c>
      <c r="L217" s="41">
        <v>-1835.24</v>
      </c>
      <c r="M217" s="44">
        <v>1565.24</v>
      </c>
      <c r="N217" s="45">
        <v>-0.163934</v>
      </c>
      <c r="O217" s="46">
        <v>-1.1308006908636099</v>
      </c>
      <c r="P217" s="47">
        <v>0.96686669086360699</v>
      </c>
      <c r="Q217" s="43">
        <v>-2257</v>
      </c>
      <c r="R217" s="41">
        <v>-3727.24</v>
      </c>
      <c r="S217" s="44">
        <v>1470.24</v>
      </c>
      <c r="T217" s="48">
        <v>-0.63274399999999997</v>
      </c>
      <c r="U217" s="46">
        <v>-1.0898998096808801</v>
      </c>
      <c r="V217" s="47">
        <v>0.45715580968087699</v>
      </c>
      <c r="W217" s="43">
        <v>-11798</v>
      </c>
      <c r="X217" s="44">
        <v>9541</v>
      </c>
      <c r="Y217" s="49"/>
      <c r="AA217" s="15" t="s">
        <v>16</v>
      </c>
      <c r="AB217" s="15" t="str">
        <f t="shared" si="3"/>
        <v>Romeo - 2512AL</v>
      </c>
    </row>
    <row r="218" spans="1:28" x14ac:dyDescent="0.25">
      <c r="A218" s="39" t="s">
        <v>283</v>
      </c>
      <c r="B218" s="39" t="s">
        <v>317</v>
      </c>
      <c r="C218" s="40" t="s">
        <v>318</v>
      </c>
      <c r="D218" s="39" t="s">
        <v>313</v>
      </c>
      <c r="E218" s="39" t="s">
        <v>314</v>
      </c>
      <c r="F218" s="41">
        <v>0</v>
      </c>
      <c r="G218" s="41">
        <v>0</v>
      </c>
      <c r="H218" s="41">
        <v>0</v>
      </c>
      <c r="I218" s="41">
        <v>-1032.27</v>
      </c>
      <c r="J218" s="42">
        <v>-1729.03</v>
      </c>
      <c r="K218" s="43">
        <v>-1807.14</v>
      </c>
      <c r="L218" s="41">
        <v>0</v>
      </c>
      <c r="M218" s="44">
        <v>-1807.14</v>
      </c>
      <c r="N218" s="45">
        <v>-0.54728600000000005</v>
      </c>
      <c r="O218" s="46">
        <v>0</v>
      </c>
      <c r="P218" s="47">
        <v>-0.54728600000000005</v>
      </c>
      <c r="Q218" s="43">
        <v>-3536.17</v>
      </c>
      <c r="R218" s="41">
        <v>0</v>
      </c>
      <c r="S218" s="44">
        <v>-3536.17</v>
      </c>
      <c r="T218" s="48">
        <v>-0.51517599999999997</v>
      </c>
      <c r="U218" s="46">
        <v>0</v>
      </c>
      <c r="V218" s="47">
        <v>-0.51517599999999997</v>
      </c>
      <c r="W218" s="43">
        <v>0</v>
      </c>
      <c r="X218" s="44">
        <v>-3536.17</v>
      </c>
      <c r="Y218" s="49"/>
      <c r="AA218" s="15" t="s">
        <v>16</v>
      </c>
      <c r="AB218" s="15" t="str">
        <f t="shared" si="3"/>
        <v>Santa Fe KRS-0564AL</v>
      </c>
    </row>
    <row r="219" spans="1:28" x14ac:dyDescent="0.25">
      <c r="A219" s="39" t="s">
        <v>217</v>
      </c>
      <c r="B219" s="39" t="s">
        <v>317</v>
      </c>
      <c r="C219" s="40" t="s">
        <v>318</v>
      </c>
      <c r="D219" s="39" t="s">
        <v>313</v>
      </c>
      <c r="E219" s="39" t="s">
        <v>314</v>
      </c>
      <c r="F219" s="41">
        <v>0</v>
      </c>
      <c r="G219" s="41">
        <v>0</v>
      </c>
      <c r="H219" s="41">
        <v>-6000</v>
      </c>
      <c r="I219" s="41">
        <v>0</v>
      </c>
      <c r="J219" s="42">
        <v>-2483.87</v>
      </c>
      <c r="K219" s="43">
        <v>-2200</v>
      </c>
      <c r="L219" s="41">
        <v>0</v>
      </c>
      <c r="M219" s="44">
        <v>-2200</v>
      </c>
      <c r="N219" s="45">
        <v>-3.7414960000000002</v>
      </c>
      <c r="O219" s="46">
        <v>0</v>
      </c>
      <c r="P219" s="47">
        <v>-3.7414960000000002</v>
      </c>
      <c r="Q219" s="43">
        <v>-4683.87</v>
      </c>
      <c r="R219" s="41">
        <v>0</v>
      </c>
      <c r="S219" s="44">
        <v>-4683.87</v>
      </c>
      <c r="T219" s="48">
        <v>-3.858212</v>
      </c>
      <c r="U219" s="46">
        <v>0</v>
      </c>
      <c r="V219" s="47">
        <v>-3.858212</v>
      </c>
      <c r="W219" s="43">
        <v>0</v>
      </c>
      <c r="X219" s="44">
        <v>-4683.87</v>
      </c>
      <c r="Y219" s="49"/>
      <c r="AA219" s="15" t="s">
        <v>16</v>
      </c>
      <c r="AB219" s="15" t="str">
        <f t="shared" si="3"/>
        <v>Scottsburg - 121AL</v>
      </c>
    </row>
    <row r="220" spans="1:28" x14ac:dyDescent="0.25">
      <c r="A220" s="39" t="s">
        <v>218</v>
      </c>
      <c r="B220" s="39" t="s">
        <v>317</v>
      </c>
      <c r="C220" s="40" t="s">
        <v>318</v>
      </c>
      <c r="D220" s="39" t="s">
        <v>313</v>
      </c>
      <c r="E220" s="39" t="s">
        <v>314</v>
      </c>
      <c r="F220" s="41">
        <v>0</v>
      </c>
      <c r="G220" s="41">
        <v>0</v>
      </c>
      <c r="H220" s="41">
        <v>0</v>
      </c>
      <c r="I220" s="41">
        <v>0</v>
      </c>
      <c r="J220" s="42">
        <v>0</v>
      </c>
      <c r="K220" s="43">
        <v>0</v>
      </c>
      <c r="L220" s="41">
        <v>0</v>
      </c>
      <c r="M220" s="44">
        <v>0</v>
      </c>
      <c r="N220" s="45">
        <v>0</v>
      </c>
      <c r="O220" s="46">
        <v>0</v>
      </c>
      <c r="P220" s="47">
        <v>0</v>
      </c>
      <c r="Q220" s="43">
        <v>0</v>
      </c>
      <c r="R220" s="41">
        <v>0</v>
      </c>
      <c r="S220" s="44">
        <v>0</v>
      </c>
      <c r="T220" s="48">
        <v>0</v>
      </c>
      <c r="U220" s="46">
        <v>0</v>
      </c>
      <c r="V220" s="47">
        <v>0</v>
      </c>
      <c r="W220" s="43">
        <v>0</v>
      </c>
      <c r="X220" s="44">
        <v>0</v>
      </c>
      <c r="Y220" s="49"/>
      <c r="AA220" s="15" t="s">
        <v>16</v>
      </c>
      <c r="AB220" s="15" t="str">
        <f t="shared" si="3"/>
        <v>Seymour - 109AL</v>
      </c>
    </row>
    <row r="221" spans="1:28" x14ac:dyDescent="0.25">
      <c r="A221" s="39" t="s">
        <v>219</v>
      </c>
      <c r="B221" s="39" t="s">
        <v>317</v>
      </c>
      <c r="C221" s="40" t="s">
        <v>318</v>
      </c>
      <c r="D221" s="39" t="s">
        <v>313</v>
      </c>
      <c r="E221" s="39" t="s">
        <v>314</v>
      </c>
      <c r="F221" s="41">
        <v>0</v>
      </c>
      <c r="G221" s="41">
        <v>-1500</v>
      </c>
      <c r="H221" s="41">
        <v>0</v>
      </c>
      <c r="I221" s="41">
        <v>0</v>
      </c>
      <c r="J221" s="42">
        <v>0</v>
      </c>
      <c r="K221" s="43">
        <v>0</v>
      </c>
      <c r="L221" s="41">
        <v>0</v>
      </c>
      <c r="M221" s="44">
        <v>0</v>
      </c>
      <c r="N221" s="45">
        <v>0</v>
      </c>
      <c r="O221" s="46">
        <v>0</v>
      </c>
      <c r="P221" s="47">
        <v>0</v>
      </c>
      <c r="Q221" s="43">
        <v>0</v>
      </c>
      <c r="R221" s="41">
        <v>0</v>
      </c>
      <c r="S221" s="44">
        <v>0</v>
      </c>
      <c r="T221" s="48">
        <v>0</v>
      </c>
      <c r="U221" s="46">
        <v>0</v>
      </c>
      <c r="V221" s="47">
        <v>0</v>
      </c>
      <c r="W221" s="43">
        <v>-453.35</v>
      </c>
      <c r="X221" s="44">
        <v>453.35</v>
      </c>
      <c r="Y221" s="49"/>
      <c r="AA221" s="15" t="s">
        <v>16</v>
      </c>
      <c r="AB221" s="15" t="str">
        <f t="shared" si="3"/>
        <v>Shelbyville - 118AL</v>
      </c>
    </row>
    <row r="222" spans="1:28" x14ac:dyDescent="0.25">
      <c r="A222" s="39" t="s">
        <v>220</v>
      </c>
      <c r="B222" s="39" t="s">
        <v>317</v>
      </c>
      <c r="C222" s="40" t="s">
        <v>318</v>
      </c>
      <c r="D222" s="39" t="s">
        <v>313</v>
      </c>
      <c r="E222" s="39" t="s">
        <v>314</v>
      </c>
      <c r="F222" s="41">
        <v>0</v>
      </c>
      <c r="G222" s="41">
        <v>-145.16</v>
      </c>
      <c r="H222" s="41">
        <v>-341.61</v>
      </c>
      <c r="I222" s="41">
        <v>-330</v>
      </c>
      <c r="J222" s="42">
        <v>0</v>
      </c>
      <c r="K222" s="43">
        <v>0</v>
      </c>
      <c r="L222" s="41">
        <v>0</v>
      </c>
      <c r="M222" s="44">
        <v>0</v>
      </c>
      <c r="N222" s="45">
        <v>0</v>
      </c>
      <c r="O222" s="46">
        <v>0</v>
      </c>
      <c r="P222" s="47">
        <v>0</v>
      </c>
      <c r="Q222" s="43">
        <v>0</v>
      </c>
      <c r="R222" s="41">
        <v>0</v>
      </c>
      <c r="S222" s="44">
        <v>0</v>
      </c>
      <c r="T222" s="48">
        <v>0</v>
      </c>
      <c r="U222" s="46">
        <v>0</v>
      </c>
      <c r="V222" s="47">
        <v>0</v>
      </c>
      <c r="W222" s="43">
        <v>0</v>
      </c>
      <c r="X222" s="44">
        <v>0</v>
      </c>
      <c r="Y222" s="49"/>
      <c r="AA222" s="15" t="s">
        <v>16</v>
      </c>
      <c r="AB222" s="15" t="str">
        <f t="shared" si="3"/>
        <v>Shelbyville SF - 234AL</v>
      </c>
    </row>
    <row r="223" spans="1:28" x14ac:dyDescent="0.25">
      <c r="A223" s="39" t="s">
        <v>221</v>
      </c>
      <c r="B223" s="39" t="s">
        <v>317</v>
      </c>
      <c r="C223" s="40" t="s">
        <v>318</v>
      </c>
      <c r="D223" s="39" t="s">
        <v>313</v>
      </c>
      <c r="E223" s="39" t="s">
        <v>314</v>
      </c>
      <c r="F223" s="41">
        <v>-15974.6</v>
      </c>
      <c r="G223" s="41">
        <v>-3045</v>
      </c>
      <c r="H223" s="41">
        <v>-15965</v>
      </c>
      <c r="I223" s="41">
        <v>-9965</v>
      </c>
      <c r="J223" s="42">
        <v>-9393.27</v>
      </c>
      <c r="K223" s="43">
        <v>-13680.5</v>
      </c>
      <c r="L223" s="41">
        <v>-7309.92</v>
      </c>
      <c r="M223" s="44">
        <v>-6370.58</v>
      </c>
      <c r="N223" s="45">
        <v>-11.633077999999999</v>
      </c>
      <c r="O223" s="46">
        <v>-6.3753008895866001</v>
      </c>
      <c r="P223" s="47">
        <v>-5.2577771104133904</v>
      </c>
      <c r="Q223" s="43">
        <v>-23073.77</v>
      </c>
      <c r="R223" s="41">
        <v>-14845.92</v>
      </c>
      <c r="S223" s="44">
        <v>-8227.85</v>
      </c>
      <c r="T223" s="48">
        <v>-9.3605549999999997</v>
      </c>
      <c r="U223" s="46">
        <v>-6.1447072701309997</v>
      </c>
      <c r="V223" s="47">
        <v>-3.215847729869</v>
      </c>
      <c r="W223" s="43">
        <v>-7025</v>
      </c>
      <c r="X223" s="44">
        <v>-16048.77</v>
      </c>
      <c r="Y223" s="49"/>
      <c r="AA223" s="15" t="s">
        <v>16</v>
      </c>
      <c r="AB223" s="15" t="str">
        <f t="shared" si="3"/>
        <v>South Bend - 5169AL</v>
      </c>
    </row>
    <row r="224" spans="1:28" x14ac:dyDescent="0.25">
      <c r="A224" s="39" t="s">
        <v>279</v>
      </c>
      <c r="B224" s="39" t="s">
        <v>317</v>
      </c>
      <c r="C224" s="40" t="s">
        <v>318</v>
      </c>
      <c r="D224" s="39" t="s">
        <v>313</v>
      </c>
      <c r="E224" s="39" t="s">
        <v>314</v>
      </c>
      <c r="F224" s="41">
        <v>0</v>
      </c>
      <c r="G224" s="41">
        <v>0</v>
      </c>
      <c r="H224" s="41">
        <v>0</v>
      </c>
      <c r="I224" s="41">
        <v>0</v>
      </c>
      <c r="J224" s="42">
        <v>0</v>
      </c>
      <c r="K224" s="43">
        <v>0</v>
      </c>
      <c r="L224" s="41">
        <v>0</v>
      </c>
      <c r="M224" s="44">
        <v>0</v>
      </c>
      <c r="N224" s="45">
        <v>0</v>
      </c>
      <c r="O224" s="46">
        <v>0</v>
      </c>
      <c r="P224" s="47">
        <v>0</v>
      </c>
      <c r="Q224" s="43">
        <v>0</v>
      </c>
      <c r="R224" s="41">
        <v>0</v>
      </c>
      <c r="S224" s="44">
        <v>0</v>
      </c>
      <c r="T224" s="48">
        <v>0</v>
      </c>
      <c r="U224" s="46">
        <v>0</v>
      </c>
      <c r="V224" s="47">
        <v>0</v>
      </c>
      <c r="W224" s="43">
        <v>-156.77000000000001</v>
      </c>
      <c r="X224" s="44">
        <v>156.77000000000001</v>
      </c>
      <c r="Y224" s="49"/>
      <c r="AA224" s="15" t="s">
        <v>16</v>
      </c>
      <c r="AB224" s="15" t="str">
        <f t="shared" si="3"/>
        <v>Springfield FG - 401AL</v>
      </c>
    </row>
    <row r="225" spans="1:28" x14ac:dyDescent="0.25">
      <c r="A225" s="39" t="s">
        <v>222</v>
      </c>
      <c r="B225" s="39" t="s">
        <v>317</v>
      </c>
      <c r="C225" s="40" t="s">
        <v>318</v>
      </c>
      <c r="D225" s="39" t="s">
        <v>313</v>
      </c>
      <c r="E225" s="39" t="s">
        <v>314</v>
      </c>
      <c r="F225" s="41">
        <v>-1720</v>
      </c>
      <c r="G225" s="41">
        <v>-3220</v>
      </c>
      <c r="H225" s="41">
        <v>-2429.33</v>
      </c>
      <c r="I225" s="41">
        <v>-3050</v>
      </c>
      <c r="J225" s="42">
        <v>-2880</v>
      </c>
      <c r="K225" s="43">
        <v>-1740</v>
      </c>
      <c r="L225" s="41">
        <v>-1668.4</v>
      </c>
      <c r="M225" s="44">
        <v>-71.599999999999895</v>
      </c>
      <c r="N225" s="45">
        <v>-2.1804510000000001</v>
      </c>
      <c r="O225" s="46">
        <v>-2.0080485787526299</v>
      </c>
      <c r="P225" s="47">
        <v>-0.17240242124736699</v>
      </c>
      <c r="Q225" s="43">
        <v>-4620</v>
      </c>
      <c r="R225" s="41">
        <v>-3388.4</v>
      </c>
      <c r="S225" s="44">
        <v>-1231.5999999999999</v>
      </c>
      <c r="T225" s="48">
        <v>-2.652123</v>
      </c>
      <c r="U225" s="46">
        <v>-1.94899572581874</v>
      </c>
      <c r="V225" s="47">
        <v>-0.70312727418126297</v>
      </c>
      <c r="W225" s="43">
        <v>-4200</v>
      </c>
      <c r="X225" s="44">
        <v>-420</v>
      </c>
      <c r="Y225" s="49"/>
      <c r="AA225" s="15" t="s">
        <v>16</v>
      </c>
      <c r="AB225" s="15" t="str">
        <f t="shared" si="3"/>
        <v>Springfield WG - 2429AL</v>
      </c>
    </row>
    <row r="226" spans="1:28" x14ac:dyDescent="0.25">
      <c r="A226" s="39" t="s">
        <v>224</v>
      </c>
      <c r="B226" s="39" t="s">
        <v>317</v>
      </c>
      <c r="C226" s="40" t="s">
        <v>318</v>
      </c>
      <c r="D226" s="39" t="s">
        <v>313</v>
      </c>
      <c r="E226" s="39" t="s">
        <v>314</v>
      </c>
      <c r="F226" s="41">
        <v>-440</v>
      </c>
      <c r="G226" s="41">
        <v>-4760</v>
      </c>
      <c r="H226" s="41">
        <v>-6440</v>
      </c>
      <c r="I226" s="41">
        <v>-3421.56</v>
      </c>
      <c r="J226" s="42">
        <v>-498</v>
      </c>
      <c r="K226" s="43">
        <v>-498</v>
      </c>
      <c r="L226" s="41">
        <v>-426.8</v>
      </c>
      <c r="M226" s="44">
        <v>-71.2</v>
      </c>
      <c r="N226" s="45">
        <v>-1.1857139999999999</v>
      </c>
      <c r="O226" s="46">
        <v>-1.0101296980024601</v>
      </c>
      <c r="P226" s="47">
        <v>-0.17558430199754099</v>
      </c>
      <c r="Q226" s="43">
        <v>-996</v>
      </c>
      <c r="R226" s="41">
        <v>-866.8</v>
      </c>
      <c r="S226" s="44">
        <v>-129.19999999999999</v>
      </c>
      <c r="T226" s="48">
        <v>-1.1514450000000001</v>
      </c>
      <c r="U226" s="46">
        <v>-0.97359346744392306</v>
      </c>
      <c r="V226" s="47">
        <v>-0.177851532556077</v>
      </c>
      <c r="W226" s="43">
        <v>-1500</v>
      </c>
      <c r="X226" s="44">
        <v>504</v>
      </c>
      <c r="Y226" s="49"/>
      <c r="AA226" s="15" t="s">
        <v>16</v>
      </c>
      <c r="AB226" s="15" t="str">
        <f t="shared" si="3"/>
        <v>Sun Prairie - 572AL</v>
      </c>
    </row>
    <row r="227" spans="1:28" x14ac:dyDescent="0.25">
      <c r="A227" s="39" t="s">
        <v>226</v>
      </c>
      <c r="B227" s="39" t="s">
        <v>317</v>
      </c>
      <c r="C227" s="40" t="s">
        <v>318</v>
      </c>
      <c r="D227" s="39" t="s">
        <v>313</v>
      </c>
      <c r="E227" s="39" t="s">
        <v>314</v>
      </c>
      <c r="F227" s="41">
        <v>-600</v>
      </c>
      <c r="G227" s="41">
        <v>-600</v>
      </c>
      <c r="H227" s="41">
        <v>-600</v>
      </c>
      <c r="I227" s="41">
        <v>-600</v>
      </c>
      <c r="J227" s="42">
        <v>-600</v>
      </c>
      <c r="K227" s="43">
        <v>-650</v>
      </c>
      <c r="L227" s="41">
        <v>-582</v>
      </c>
      <c r="M227" s="44">
        <v>-68</v>
      </c>
      <c r="N227" s="45">
        <v>-0.71664799999999995</v>
      </c>
      <c r="O227" s="46">
        <v>-0.66302118933697896</v>
      </c>
      <c r="P227" s="47">
        <v>-5.36268106630211E-2</v>
      </c>
      <c r="Q227" s="43">
        <v>-1250</v>
      </c>
      <c r="R227" s="41">
        <v>-1182</v>
      </c>
      <c r="S227" s="44">
        <v>-68</v>
      </c>
      <c r="T227" s="48">
        <v>-0.65002599999999999</v>
      </c>
      <c r="U227" s="46">
        <v>-0.63903981834401102</v>
      </c>
      <c r="V227" s="47">
        <v>-1.0986181655989E-2</v>
      </c>
      <c r="W227" s="43">
        <v>0</v>
      </c>
      <c r="X227" s="44">
        <v>-1250</v>
      </c>
      <c r="Y227" s="49"/>
      <c r="AA227" s="15" t="s">
        <v>16</v>
      </c>
      <c r="AB227" s="15" t="str">
        <f t="shared" si="3"/>
        <v>Sylvania - 2427AL</v>
      </c>
    </row>
    <row r="228" spans="1:28" x14ac:dyDescent="0.25">
      <c r="A228" s="39" t="s">
        <v>288</v>
      </c>
      <c r="B228" s="39" t="s">
        <v>317</v>
      </c>
      <c r="C228" s="40" t="s">
        <v>318</v>
      </c>
      <c r="D228" s="39" t="s">
        <v>313</v>
      </c>
      <c r="E228" s="39" t="s">
        <v>314</v>
      </c>
      <c r="F228" s="41">
        <v>0</v>
      </c>
      <c r="G228" s="41">
        <v>0</v>
      </c>
      <c r="H228" s="41">
        <v>0</v>
      </c>
      <c r="I228" s="41">
        <v>-954.84</v>
      </c>
      <c r="J228" s="42">
        <v>-1850</v>
      </c>
      <c r="K228" s="43">
        <v>-4907.58</v>
      </c>
      <c r="L228" s="41">
        <v>0</v>
      </c>
      <c r="M228" s="44">
        <v>-4907.58</v>
      </c>
      <c r="N228" s="45">
        <v>-1.297272</v>
      </c>
      <c r="O228" s="46">
        <v>0</v>
      </c>
      <c r="P228" s="47">
        <v>-1.297272</v>
      </c>
      <c r="Q228" s="43">
        <v>-6757.58</v>
      </c>
      <c r="R228" s="41">
        <v>0</v>
      </c>
      <c r="S228" s="44">
        <v>-6757.58</v>
      </c>
      <c r="T228" s="48">
        <v>-0.86072800000000005</v>
      </c>
      <c r="U228" s="46">
        <v>0</v>
      </c>
      <c r="V228" s="47">
        <v>-0.86072800000000005</v>
      </c>
      <c r="W228" s="43">
        <v>0</v>
      </c>
      <c r="X228" s="44">
        <v>-6757.58</v>
      </c>
      <c r="Y228" s="49"/>
      <c r="AA228" s="15" t="s">
        <v>16</v>
      </c>
      <c r="AB228" s="15" t="str">
        <f t="shared" si="3"/>
        <v>Sylvania KSL-0560AL</v>
      </c>
    </row>
    <row r="229" spans="1:28" x14ac:dyDescent="0.25">
      <c r="A229" s="39" t="s">
        <v>228</v>
      </c>
      <c r="B229" s="39" t="s">
        <v>317</v>
      </c>
      <c r="C229" s="40" t="s">
        <v>318</v>
      </c>
      <c r="D229" s="39" t="s">
        <v>313</v>
      </c>
      <c r="E229" s="39" t="s">
        <v>314</v>
      </c>
      <c r="F229" s="41">
        <v>0</v>
      </c>
      <c r="G229" s="41">
        <v>-6000</v>
      </c>
      <c r="H229" s="41">
        <v>0</v>
      </c>
      <c r="I229" s="41">
        <v>0</v>
      </c>
      <c r="J229" s="42">
        <v>0</v>
      </c>
      <c r="K229" s="43">
        <v>0</v>
      </c>
      <c r="L229" s="41">
        <v>0</v>
      </c>
      <c r="M229" s="44">
        <v>0</v>
      </c>
      <c r="N229" s="45">
        <v>0</v>
      </c>
      <c r="O229" s="46">
        <v>0</v>
      </c>
      <c r="P229" s="47">
        <v>0</v>
      </c>
      <c r="Q229" s="43">
        <v>0</v>
      </c>
      <c r="R229" s="41">
        <v>0</v>
      </c>
      <c r="S229" s="44">
        <v>0</v>
      </c>
      <c r="T229" s="48">
        <v>0</v>
      </c>
      <c r="U229" s="46">
        <v>0</v>
      </c>
      <c r="V229" s="47">
        <v>0</v>
      </c>
      <c r="W229" s="43">
        <v>0</v>
      </c>
      <c r="X229" s="44">
        <v>0</v>
      </c>
      <c r="Y229" s="49"/>
      <c r="AA229" s="15" t="s">
        <v>16</v>
      </c>
      <c r="AB229" s="15" t="str">
        <f t="shared" si="3"/>
        <v>Tell City - 103AL</v>
      </c>
    </row>
    <row r="230" spans="1:28" x14ac:dyDescent="0.25">
      <c r="A230" s="39" t="s">
        <v>229</v>
      </c>
      <c r="B230" s="39" t="s">
        <v>317</v>
      </c>
      <c r="C230" s="40" t="s">
        <v>318</v>
      </c>
      <c r="D230" s="39" t="s">
        <v>313</v>
      </c>
      <c r="E230" s="39" t="s">
        <v>314</v>
      </c>
      <c r="F230" s="41">
        <v>0</v>
      </c>
      <c r="G230" s="41">
        <v>-3000</v>
      </c>
      <c r="H230" s="41">
        <v>-3000</v>
      </c>
      <c r="I230" s="41">
        <v>0</v>
      </c>
      <c r="J230" s="42">
        <v>0</v>
      </c>
      <c r="K230" s="43">
        <v>0</v>
      </c>
      <c r="L230" s="41">
        <v>0</v>
      </c>
      <c r="M230" s="44">
        <v>0</v>
      </c>
      <c r="N230" s="45">
        <v>0</v>
      </c>
      <c r="O230" s="46">
        <v>0</v>
      </c>
      <c r="P230" s="47">
        <v>0</v>
      </c>
      <c r="Q230" s="43">
        <v>0</v>
      </c>
      <c r="R230" s="41">
        <v>0</v>
      </c>
      <c r="S230" s="44">
        <v>0</v>
      </c>
      <c r="T230" s="48">
        <v>0</v>
      </c>
      <c r="U230" s="46">
        <v>0</v>
      </c>
      <c r="V230" s="47">
        <v>0</v>
      </c>
      <c r="W230" s="43">
        <v>-1841.58</v>
      </c>
      <c r="X230" s="44">
        <v>1841.58</v>
      </c>
      <c r="Y230" s="49"/>
      <c r="AA230" s="15" t="s">
        <v>16</v>
      </c>
      <c r="AB230" s="15" t="str">
        <f t="shared" si="3"/>
        <v>Terre Haute CC - 129AL</v>
      </c>
    </row>
    <row r="231" spans="1:28" x14ac:dyDescent="0.25">
      <c r="A231" s="39" t="s">
        <v>230</v>
      </c>
      <c r="B231" s="39" t="s">
        <v>317</v>
      </c>
      <c r="C231" s="40" t="s">
        <v>318</v>
      </c>
      <c r="D231" s="39" t="s">
        <v>313</v>
      </c>
      <c r="E231" s="39" t="s">
        <v>314</v>
      </c>
      <c r="F231" s="41">
        <v>-1500</v>
      </c>
      <c r="G231" s="41">
        <v>0</v>
      </c>
      <c r="H231" s="41">
        <v>-2500</v>
      </c>
      <c r="I231" s="41">
        <v>0</v>
      </c>
      <c r="J231" s="42">
        <v>0</v>
      </c>
      <c r="K231" s="43">
        <v>0</v>
      </c>
      <c r="L231" s="41">
        <v>-356.96</v>
      </c>
      <c r="M231" s="44">
        <v>356.96</v>
      </c>
      <c r="N231" s="45">
        <v>0</v>
      </c>
      <c r="O231" s="46">
        <v>-0.33996190476190502</v>
      </c>
      <c r="P231" s="47">
        <v>0.33996190476190502</v>
      </c>
      <c r="Q231" s="43">
        <v>0</v>
      </c>
      <c r="R231" s="41">
        <v>-724.96</v>
      </c>
      <c r="S231" s="44">
        <v>724.96</v>
      </c>
      <c r="T231" s="48">
        <v>0</v>
      </c>
      <c r="U231" s="46">
        <v>-0.32766553672316401</v>
      </c>
      <c r="V231" s="47">
        <v>0.32766553672316401</v>
      </c>
      <c r="W231" s="43">
        <v>-720</v>
      </c>
      <c r="X231" s="44">
        <v>720</v>
      </c>
      <c r="Y231" s="49"/>
      <c r="AA231" s="15" t="s">
        <v>16</v>
      </c>
      <c r="AB231" s="15" t="str">
        <f t="shared" si="3"/>
        <v>Terre Haute HC - 5163AL</v>
      </c>
    </row>
    <row r="232" spans="1:28" x14ac:dyDescent="0.25">
      <c r="A232" s="39" t="s">
        <v>234</v>
      </c>
      <c r="B232" s="39" t="s">
        <v>317</v>
      </c>
      <c r="C232" s="40" t="s">
        <v>318</v>
      </c>
      <c r="D232" s="39" t="s">
        <v>313</v>
      </c>
      <c r="E232" s="39" t="s">
        <v>314</v>
      </c>
      <c r="F232" s="41">
        <v>0</v>
      </c>
      <c r="G232" s="41">
        <v>0</v>
      </c>
      <c r="H232" s="41">
        <v>0</v>
      </c>
      <c r="I232" s="41">
        <v>0</v>
      </c>
      <c r="J232" s="42">
        <v>0</v>
      </c>
      <c r="K232" s="43">
        <v>0</v>
      </c>
      <c r="L232" s="41">
        <v>0</v>
      </c>
      <c r="M232" s="44">
        <v>0</v>
      </c>
      <c r="N232" s="45">
        <v>0</v>
      </c>
      <c r="O232" s="46">
        <v>0</v>
      </c>
      <c r="P232" s="47">
        <v>0</v>
      </c>
      <c r="Q232" s="43">
        <v>0</v>
      </c>
      <c r="R232" s="41">
        <v>0</v>
      </c>
      <c r="S232" s="44">
        <v>0</v>
      </c>
      <c r="T232" s="48">
        <v>0</v>
      </c>
      <c r="U232" s="46">
        <v>0</v>
      </c>
      <c r="V232" s="47">
        <v>0</v>
      </c>
      <c r="W232" s="43">
        <v>0</v>
      </c>
      <c r="X232" s="44">
        <v>0</v>
      </c>
      <c r="Y232" s="49"/>
      <c r="AA232" s="15" t="s">
        <v>16</v>
      </c>
      <c r="AB232" s="15" t="str">
        <f t="shared" si="3"/>
        <v>Union Township - 434AL</v>
      </c>
    </row>
    <row r="233" spans="1:28" x14ac:dyDescent="0.25">
      <c r="A233" s="39" t="s">
        <v>235</v>
      </c>
      <c r="B233" s="39" t="s">
        <v>317</v>
      </c>
      <c r="C233" s="40" t="s">
        <v>318</v>
      </c>
      <c r="D233" s="39" t="s">
        <v>313</v>
      </c>
      <c r="E233" s="39" t="s">
        <v>314</v>
      </c>
      <c r="F233" s="41">
        <v>-7822.67</v>
      </c>
      <c r="G233" s="41">
        <v>-7546</v>
      </c>
      <c r="H233" s="41">
        <v>-7546</v>
      </c>
      <c r="I233" s="41">
        <v>-6868.58</v>
      </c>
      <c r="J233" s="42">
        <v>-217</v>
      </c>
      <c r="K233" s="43">
        <v>-217</v>
      </c>
      <c r="L233" s="41">
        <v>-210.49</v>
      </c>
      <c r="M233" s="44">
        <v>-6.50999999999999</v>
      </c>
      <c r="N233" s="45">
        <v>-0.15379100000000001</v>
      </c>
      <c r="O233" s="46">
        <v>-0.14034564484842901</v>
      </c>
      <c r="P233" s="47">
        <v>-1.3445355151571199E-2</v>
      </c>
      <c r="Q233" s="43">
        <v>-434</v>
      </c>
      <c r="R233" s="41">
        <v>-427.49</v>
      </c>
      <c r="S233" s="44">
        <v>-6.50999999999999</v>
      </c>
      <c r="T233" s="48">
        <v>-0.14612700000000001</v>
      </c>
      <c r="U233" s="46">
        <v>-0.13526936519027299</v>
      </c>
      <c r="V233" s="47">
        <v>-1.0857634809726799E-2</v>
      </c>
      <c r="W233" s="43">
        <v>-22432.19</v>
      </c>
      <c r="X233" s="44">
        <v>21998.19</v>
      </c>
      <c r="Y233" s="49"/>
      <c r="AA233" s="15" t="s">
        <v>16</v>
      </c>
      <c r="AB233" s="15" t="str">
        <f t="shared" si="3"/>
        <v>Valparaiso - 139AL</v>
      </c>
    </row>
    <row r="234" spans="1:28" x14ac:dyDescent="0.25">
      <c r="A234" s="39" t="s">
        <v>289</v>
      </c>
      <c r="B234" s="39" t="s">
        <v>317</v>
      </c>
      <c r="C234" s="40" t="s">
        <v>318</v>
      </c>
      <c r="D234" s="39" t="s">
        <v>313</v>
      </c>
      <c r="E234" s="39" t="s">
        <v>314</v>
      </c>
      <c r="F234" s="41">
        <v>0</v>
      </c>
      <c r="G234" s="41">
        <v>0</v>
      </c>
      <c r="H234" s="41">
        <v>0</v>
      </c>
      <c r="I234" s="41">
        <v>-1440</v>
      </c>
      <c r="J234" s="42">
        <v>-2964.35</v>
      </c>
      <c r="K234" s="43">
        <v>-2905</v>
      </c>
      <c r="L234" s="41">
        <v>0</v>
      </c>
      <c r="M234" s="44">
        <v>-2905</v>
      </c>
      <c r="N234" s="45">
        <v>-2.7509459999999999</v>
      </c>
      <c r="O234" s="46">
        <v>0</v>
      </c>
      <c r="P234" s="47">
        <v>-2.7509459999999999</v>
      </c>
      <c r="Q234" s="43">
        <v>-5869.35</v>
      </c>
      <c r="R234" s="41">
        <v>0</v>
      </c>
      <c r="S234" s="44">
        <v>-5869.35</v>
      </c>
      <c r="T234" s="48">
        <v>-2.6510159999999998</v>
      </c>
      <c r="U234" s="46">
        <v>0</v>
      </c>
      <c r="V234" s="47">
        <v>-2.6510159999999998</v>
      </c>
      <c r="W234" s="43">
        <v>0</v>
      </c>
      <c r="X234" s="44">
        <v>-5869.35</v>
      </c>
      <c r="Y234" s="49"/>
      <c r="AA234" s="15" t="s">
        <v>16</v>
      </c>
      <c r="AB234" s="15" t="str">
        <f t="shared" si="3"/>
        <v>Vermilion KSL-0562AL</v>
      </c>
    </row>
    <row r="235" spans="1:28" x14ac:dyDescent="0.25">
      <c r="A235" s="39" t="s">
        <v>236</v>
      </c>
      <c r="B235" s="39" t="s">
        <v>317</v>
      </c>
      <c r="C235" s="40" t="s">
        <v>318</v>
      </c>
      <c r="D235" s="39" t="s">
        <v>313</v>
      </c>
      <c r="E235" s="39" t="s">
        <v>314</v>
      </c>
      <c r="F235" s="41">
        <v>0</v>
      </c>
      <c r="G235" s="41">
        <v>-1500</v>
      </c>
      <c r="H235" s="41">
        <v>0</v>
      </c>
      <c r="I235" s="41">
        <v>0</v>
      </c>
      <c r="J235" s="42">
        <v>184.87</v>
      </c>
      <c r="K235" s="43">
        <v>-150</v>
      </c>
      <c r="L235" s="41">
        <v>0</v>
      </c>
      <c r="M235" s="44">
        <v>-150</v>
      </c>
      <c r="N235" s="45">
        <v>-0.25337799999999999</v>
      </c>
      <c r="O235" s="46">
        <v>0</v>
      </c>
      <c r="P235" s="47">
        <v>-0.25337799999999999</v>
      </c>
      <c r="Q235" s="43">
        <v>34.869999999999997</v>
      </c>
      <c r="R235" s="41">
        <v>0</v>
      </c>
      <c r="S235" s="44">
        <v>34.869999999999997</v>
      </c>
      <c r="T235" s="48">
        <v>2.7543000000000002E-2</v>
      </c>
      <c r="U235" s="46">
        <v>0</v>
      </c>
      <c r="V235" s="47">
        <v>2.7543000000000002E-2</v>
      </c>
      <c r="W235" s="43">
        <v>0</v>
      </c>
      <c r="X235" s="44">
        <v>34.869999999999997</v>
      </c>
      <c r="Y235" s="49"/>
      <c r="AA235" s="15" t="s">
        <v>16</v>
      </c>
      <c r="AB235" s="15" t="str">
        <f t="shared" si="3"/>
        <v>Vincennes - 131AL</v>
      </c>
    </row>
    <row r="236" spans="1:28" x14ac:dyDescent="0.25">
      <c r="A236" s="39" t="s">
        <v>237</v>
      </c>
      <c r="B236" s="39" t="s">
        <v>317</v>
      </c>
      <c r="C236" s="40" t="s">
        <v>318</v>
      </c>
      <c r="D236" s="39" t="s">
        <v>313</v>
      </c>
      <c r="E236" s="39" t="s">
        <v>314</v>
      </c>
      <c r="F236" s="41">
        <v>-12139</v>
      </c>
      <c r="G236" s="41">
        <v>-9139</v>
      </c>
      <c r="H236" s="41">
        <v>-8202.5300000000007</v>
      </c>
      <c r="I236" s="41">
        <v>-6259.39</v>
      </c>
      <c r="J236" s="42">
        <v>-4754.58</v>
      </c>
      <c r="K236" s="43">
        <v>-4172</v>
      </c>
      <c r="L236" s="41">
        <v>-3253.38</v>
      </c>
      <c r="M236" s="44">
        <v>-918.62</v>
      </c>
      <c r="N236" s="45">
        <v>-3.8990649999999998</v>
      </c>
      <c r="O236" s="46">
        <v>-2.8209833688699399</v>
      </c>
      <c r="P236" s="47">
        <v>-1.0780816311300601</v>
      </c>
      <c r="Q236" s="43">
        <v>-8926.58</v>
      </c>
      <c r="R236" s="41">
        <v>-6607.38</v>
      </c>
      <c r="S236" s="44">
        <v>-2319.1999999999998</v>
      </c>
      <c r="T236" s="48">
        <v>-3.9550640000000001</v>
      </c>
      <c r="U236" s="46">
        <v>-2.7189488489754599</v>
      </c>
      <c r="V236" s="47">
        <v>-1.2361151510245401</v>
      </c>
      <c r="W236" s="43">
        <v>-20825.39</v>
      </c>
      <c r="X236" s="44">
        <v>11898.81</v>
      </c>
      <c r="Y236" s="49"/>
      <c r="AA236" s="15" t="s">
        <v>16</v>
      </c>
      <c r="AB236" s="15" t="str">
        <f t="shared" si="3"/>
        <v>Wabash - 5170AL</v>
      </c>
    </row>
    <row r="237" spans="1:28" x14ac:dyDescent="0.25">
      <c r="A237" s="39" t="s">
        <v>240</v>
      </c>
      <c r="B237" s="39" t="s">
        <v>317</v>
      </c>
      <c r="C237" s="40" t="s">
        <v>318</v>
      </c>
      <c r="D237" s="39" t="s">
        <v>313</v>
      </c>
      <c r="E237" s="39" t="s">
        <v>314</v>
      </c>
      <c r="F237" s="41">
        <v>-2292</v>
      </c>
      <c r="G237" s="41">
        <v>-2292</v>
      </c>
      <c r="H237" s="41">
        <v>-2292</v>
      </c>
      <c r="I237" s="41">
        <v>-2292</v>
      </c>
      <c r="J237" s="42">
        <v>-3760.19</v>
      </c>
      <c r="K237" s="43">
        <v>-3479.14</v>
      </c>
      <c r="L237" s="41">
        <v>-1654.4050555556</v>
      </c>
      <c r="M237" s="44">
        <v>-1824.7349444444001</v>
      </c>
      <c r="N237" s="45">
        <v>-3.8316509999999999</v>
      </c>
      <c r="O237" s="46">
        <v>-1.8292846700084</v>
      </c>
      <c r="P237" s="47">
        <v>-2.0023663299916001</v>
      </c>
      <c r="Q237" s="43">
        <v>-7239.33</v>
      </c>
      <c r="R237" s="41">
        <v>-3359.9772777777998</v>
      </c>
      <c r="S237" s="44">
        <v>-3879.3527222222001</v>
      </c>
      <c r="T237" s="48">
        <v>-3.7105739999999998</v>
      </c>
      <c r="U237" s="46">
        <v>-1.76311973436417</v>
      </c>
      <c r="V237" s="47">
        <v>-1.94745426563583</v>
      </c>
      <c r="W237" s="43">
        <v>-1857.14</v>
      </c>
      <c r="X237" s="44">
        <v>-5382.19</v>
      </c>
      <c r="Y237" s="49"/>
      <c r="AA237" s="15" t="s">
        <v>16</v>
      </c>
      <c r="AB237" s="15" t="str">
        <f t="shared" si="3"/>
        <v>Warsaw - 302AL</v>
      </c>
    </row>
    <row r="238" spans="1:28" x14ac:dyDescent="0.25">
      <c r="A238" s="39" t="s">
        <v>242</v>
      </c>
      <c r="B238" s="39" t="s">
        <v>317</v>
      </c>
      <c r="C238" s="40" t="s">
        <v>318</v>
      </c>
      <c r="D238" s="39" t="s">
        <v>313</v>
      </c>
      <c r="E238" s="39" t="s">
        <v>314</v>
      </c>
      <c r="F238" s="41">
        <v>0</v>
      </c>
      <c r="G238" s="41">
        <v>-1500</v>
      </c>
      <c r="H238" s="41">
        <v>-1500</v>
      </c>
      <c r="I238" s="41">
        <v>0</v>
      </c>
      <c r="J238" s="42">
        <v>-93.96</v>
      </c>
      <c r="K238" s="43">
        <v>0</v>
      </c>
      <c r="L238" s="41">
        <v>0</v>
      </c>
      <c r="M238" s="44">
        <v>0</v>
      </c>
      <c r="N238" s="45">
        <v>0</v>
      </c>
      <c r="O238" s="46">
        <v>0</v>
      </c>
      <c r="P238" s="47">
        <v>0</v>
      </c>
      <c r="Q238" s="43">
        <v>-93.96</v>
      </c>
      <c r="R238" s="41">
        <v>0</v>
      </c>
      <c r="S238" s="44">
        <v>-93.96</v>
      </c>
      <c r="T238" s="48">
        <v>-5.2697000000000001E-2</v>
      </c>
      <c r="U238" s="46">
        <v>0</v>
      </c>
      <c r="V238" s="47">
        <v>-5.2697000000000001E-2</v>
      </c>
      <c r="W238" s="43">
        <v>0</v>
      </c>
      <c r="X238" s="44">
        <v>-93.96</v>
      </c>
      <c r="Y238" s="49"/>
      <c r="AA238" s="15" t="s">
        <v>16</v>
      </c>
      <c r="AB238" s="15" t="str">
        <f t="shared" si="3"/>
        <v>Washington - 305AL</v>
      </c>
    </row>
    <row r="239" spans="1:28" x14ac:dyDescent="0.25">
      <c r="A239" s="39" t="s">
        <v>243</v>
      </c>
      <c r="B239" s="39" t="s">
        <v>317</v>
      </c>
      <c r="C239" s="40" t="s">
        <v>318</v>
      </c>
      <c r="D239" s="39" t="s">
        <v>313</v>
      </c>
      <c r="E239" s="39" t="s">
        <v>314</v>
      </c>
      <c r="F239" s="41">
        <v>-10915.8</v>
      </c>
      <c r="G239" s="41">
        <v>-11151.69</v>
      </c>
      <c r="H239" s="41">
        <v>-14840.47</v>
      </c>
      <c r="I239" s="41">
        <v>784.11</v>
      </c>
      <c r="J239" s="42">
        <v>-3234</v>
      </c>
      <c r="K239" s="43">
        <v>-3234</v>
      </c>
      <c r="L239" s="41">
        <v>-6433.7955222221999</v>
      </c>
      <c r="M239" s="44">
        <v>3199.7955222221999</v>
      </c>
      <c r="N239" s="45">
        <v>-1.3146340000000001</v>
      </c>
      <c r="O239" s="46">
        <v>-2.8367705124436502</v>
      </c>
      <c r="P239" s="47">
        <v>1.5221365124436499</v>
      </c>
      <c r="Q239" s="43">
        <v>-6468</v>
      </c>
      <c r="R239" s="41">
        <v>-13066.5744111111</v>
      </c>
      <c r="S239" s="44">
        <v>6598.5744111110998</v>
      </c>
      <c r="T239" s="48">
        <v>-1.2481660000000001</v>
      </c>
      <c r="U239" s="46">
        <v>-2.7341649740763998</v>
      </c>
      <c r="V239" s="47">
        <v>1.4859989740763999</v>
      </c>
      <c r="W239" s="43">
        <v>-11393.37</v>
      </c>
      <c r="X239" s="44">
        <v>4925.37</v>
      </c>
      <c r="Y239" s="49"/>
      <c r="AA239" s="15" t="s">
        <v>16</v>
      </c>
      <c r="AB239" s="15" t="str">
        <f t="shared" si="3"/>
        <v>Waunakee - 571AL</v>
      </c>
    </row>
    <row r="240" spans="1:28" x14ac:dyDescent="0.25">
      <c r="A240" s="39" t="s">
        <v>245</v>
      </c>
      <c r="B240" s="39" t="s">
        <v>317</v>
      </c>
      <c r="C240" s="40" t="s">
        <v>318</v>
      </c>
      <c r="D240" s="39" t="s">
        <v>313</v>
      </c>
      <c r="E240" s="39" t="s">
        <v>314</v>
      </c>
      <c r="F240" s="41">
        <v>-2914</v>
      </c>
      <c r="G240" s="41">
        <v>-13410</v>
      </c>
      <c r="H240" s="41">
        <v>-9055.16</v>
      </c>
      <c r="I240" s="41">
        <v>-5410</v>
      </c>
      <c r="J240" s="42">
        <v>-4110</v>
      </c>
      <c r="K240" s="43">
        <v>-19027.29</v>
      </c>
      <c r="L240" s="41">
        <v>-1367.7</v>
      </c>
      <c r="M240" s="44">
        <v>-17659.59</v>
      </c>
      <c r="N240" s="45">
        <v>-11.966849</v>
      </c>
      <c r="O240" s="46">
        <v>-0.90013618674928897</v>
      </c>
      <c r="P240" s="47">
        <v>-11.0667128132507</v>
      </c>
      <c r="Q240" s="43">
        <v>-23137.29</v>
      </c>
      <c r="R240" s="41">
        <v>-2777.7</v>
      </c>
      <c r="S240" s="44">
        <v>-20359.59</v>
      </c>
      <c r="T240" s="48">
        <v>-6.8575249999999999</v>
      </c>
      <c r="U240" s="46">
        <v>-0.86757840400298403</v>
      </c>
      <c r="V240" s="47">
        <v>-5.9899465959970204</v>
      </c>
      <c r="W240" s="43">
        <v>-7340</v>
      </c>
      <c r="X240" s="44">
        <v>-15797.29</v>
      </c>
      <c r="Y240" s="49"/>
      <c r="AA240" s="15" t="s">
        <v>16</v>
      </c>
      <c r="AB240" s="15" t="str">
        <f t="shared" si="3"/>
        <v>West Lafayette - 2135AL</v>
      </c>
    </row>
    <row r="241" spans="1:28" x14ac:dyDescent="0.25">
      <c r="A241" s="39" t="s">
        <v>246</v>
      </c>
      <c r="B241" s="39" t="s">
        <v>317</v>
      </c>
      <c r="C241" s="40" t="s">
        <v>318</v>
      </c>
      <c r="D241" s="39" t="s">
        <v>313</v>
      </c>
      <c r="E241" s="39" t="s">
        <v>314</v>
      </c>
      <c r="F241" s="41">
        <v>0</v>
      </c>
      <c r="G241" s="41">
        <v>0</v>
      </c>
      <c r="H241" s="41">
        <v>0</v>
      </c>
      <c r="I241" s="41">
        <v>-6000</v>
      </c>
      <c r="J241" s="42">
        <v>0</v>
      </c>
      <c r="K241" s="43">
        <v>0</v>
      </c>
      <c r="L241" s="41">
        <v>0</v>
      </c>
      <c r="M241" s="44">
        <v>0</v>
      </c>
      <c r="N241" s="45">
        <v>0</v>
      </c>
      <c r="O241" s="46">
        <v>0</v>
      </c>
      <c r="P241" s="47">
        <v>0</v>
      </c>
      <c r="Q241" s="43">
        <v>0</v>
      </c>
      <c r="R241" s="41">
        <v>0</v>
      </c>
      <c r="S241" s="44">
        <v>0</v>
      </c>
      <c r="T241" s="48">
        <v>0</v>
      </c>
      <c r="U241" s="46">
        <v>0</v>
      </c>
      <c r="V241" s="47">
        <v>0</v>
      </c>
      <c r="W241" s="43">
        <v>-667</v>
      </c>
      <c r="X241" s="44">
        <v>667</v>
      </c>
      <c r="Y241" s="49"/>
      <c r="AA241" s="15" t="s">
        <v>16</v>
      </c>
      <c r="AB241" s="15" t="str">
        <f t="shared" si="3"/>
        <v>Westfield - 5171AL</v>
      </c>
    </row>
    <row r="242" spans="1:28" x14ac:dyDescent="0.25">
      <c r="A242" s="39" t="s">
        <v>248</v>
      </c>
      <c r="B242" s="39" t="s">
        <v>317</v>
      </c>
      <c r="C242" s="40" t="s">
        <v>318</v>
      </c>
      <c r="D242" s="39" t="s">
        <v>313</v>
      </c>
      <c r="E242" s="39" t="s">
        <v>314</v>
      </c>
      <c r="F242" s="41">
        <v>0</v>
      </c>
      <c r="G242" s="41">
        <v>-1500</v>
      </c>
      <c r="H242" s="41">
        <v>-1850</v>
      </c>
      <c r="I242" s="41">
        <v>0</v>
      </c>
      <c r="J242" s="42">
        <v>0</v>
      </c>
      <c r="K242" s="43">
        <v>0</v>
      </c>
      <c r="L242" s="41">
        <v>0</v>
      </c>
      <c r="M242" s="44">
        <v>0</v>
      </c>
      <c r="N242" s="45">
        <v>0</v>
      </c>
      <c r="O242" s="46">
        <v>0</v>
      </c>
      <c r="P242" s="47">
        <v>0</v>
      </c>
      <c r="Q242" s="43">
        <v>0</v>
      </c>
      <c r="R242" s="41">
        <v>0</v>
      </c>
      <c r="S242" s="44">
        <v>0</v>
      </c>
      <c r="T242" s="48">
        <v>0</v>
      </c>
      <c r="U242" s="46">
        <v>0</v>
      </c>
      <c r="V242" s="47">
        <v>0</v>
      </c>
      <c r="W242" s="43">
        <v>0</v>
      </c>
      <c r="X242" s="44">
        <v>0</v>
      </c>
      <c r="Y242" s="49"/>
      <c r="AA242" s="15" t="s">
        <v>16</v>
      </c>
      <c r="AB242" s="15" t="str">
        <f t="shared" si="3"/>
        <v>Willard - 2424AL</v>
      </c>
    </row>
    <row r="243" spans="1:28" x14ac:dyDescent="0.25">
      <c r="A243" s="39" t="s">
        <v>249</v>
      </c>
      <c r="B243" s="39" t="s">
        <v>317</v>
      </c>
      <c r="C243" s="40" t="s">
        <v>318</v>
      </c>
      <c r="D243" s="39" t="s">
        <v>313</v>
      </c>
      <c r="E243" s="39" t="s">
        <v>314</v>
      </c>
      <c r="F243" s="41">
        <v>-150</v>
      </c>
      <c r="G243" s="41">
        <v>-100</v>
      </c>
      <c r="H243" s="41">
        <v>-18100</v>
      </c>
      <c r="I243" s="41">
        <v>-3100</v>
      </c>
      <c r="J243" s="42">
        <v>-312.89999999999998</v>
      </c>
      <c r="K243" s="43">
        <v>-700</v>
      </c>
      <c r="L243" s="41">
        <v>-97</v>
      </c>
      <c r="M243" s="44">
        <v>-603</v>
      </c>
      <c r="N243" s="45">
        <v>-0.33444800000000002</v>
      </c>
      <c r="O243" s="46">
        <v>-4.5376671620753199E-2</v>
      </c>
      <c r="P243" s="47">
        <v>-0.28907132837924698</v>
      </c>
      <c r="Q243" s="43">
        <v>-1012.9</v>
      </c>
      <c r="R243" s="41">
        <v>-197</v>
      </c>
      <c r="S243" s="44">
        <v>-815.9</v>
      </c>
      <c r="T243" s="48">
        <v>-0.23199700000000001</v>
      </c>
      <c r="U243" s="46">
        <v>-4.3735404623462301E-2</v>
      </c>
      <c r="V243" s="47">
        <v>-0.188261595376538</v>
      </c>
      <c r="W243" s="43">
        <v>-700</v>
      </c>
      <c r="X243" s="44">
        <v>-312.89999999999998</v>
      </c>
      <c r="Y243" s="49"/>
      <c r="AA243" s="15" t="s">
        <v>16</v>
      </c>
      <c r="AB243" s="15" t="str">
        <f t="shared" si="3"/>
        <v>Winchester - 232AL</v>
      </c>
    </row>
    <row r="244" spans="1:28" x14ac:dyDescent="0.25">
      <c r="A244" s="39" t="s">
        <v>250</v>
      </c>
      <c r="B244" s="39" t="s">
        <v>317</v>
      </c>
      <c r="C244" s="40" t="s">
        <v>318</v>
      </c>
      <c r="D244" s="39" t="s">
        <v>313</v>
      </c>
      <c r="E244" s="39" t="s">
        <v>314</v>
      </c>
      <c r="F244" s="41">
        <v>0</v>
      </c>
      <c r="G244" s="41">
        <v>0</v>
      </c>
      <c r="H244" s="41">
        <v>0</v>
      </c>
      <c r="I244" s="41">
        <v>0</v>
      </c>
      <c r="J244" s="42">
        <v>0</v>
      </c>
      <c r="K244" s="43">
        <v>0</v>
      </c>
      <c r="L244" s="41">
        <v>0</v>
      </c>
      <c r="M244" s="44">
        <v>0</v>
      </c>
      <c r="N244" s="45">
        <v>0</v>
      </c>
      <c r="O244" s="46">
        <v>0</v>
      </c>
      <c r="P244" s="47">
        <v>0</v>
      </c>
      <c r="Q244" s="43">
        <v>0</v>
      </c>
      <c r="R244" s="41">
        <v>0</v>
      </c>
      <c r="S244" s="44">
        <v>0</v>
      </c>
      <c r="T244" s="48">
        <v>0</v>
      </c>
      <c r="U244" s="46">
        <v>0</v>
      </c>
      <c r="V244" s="47">
        <v>0</v>
      </c>
      <c r="W244" s="43">
        <v>0</v>
      </c>
      <c r="X244" s="44">
        <v>0</v>
      </c>
      <c r="Y244" s="49"/>
      <c r="AA244" s="15" t="s">
        <v>16</v>
      </c>
      <c r="AB244" s="15" t="str">
        <f t="shared" si="3"/>
        <v>Zanesville OB - 2425AL</v>
      </c>
    </row>
    <row r="245" spans="1:28" x14ac:dyDescent="0.25">
      <c r="A245" s="39" t="s">
        <v>316</v>
      </c>
      <c r="B245" s="39" t="s">
        <v>317</v>
      </c>
      <c r="C245" s="40" t="s">
        <v>318</v>
      </c>
      <c r="D245" s="39" t="s">
        <v>313</v>
      </c>
      <c r="E245" s="39" t="s">
        <v>314</v>
      </c>
      <c r="F245" s="41">
        <v>-297627.23</v>
      </c>
      <c r="G245" s="41">
        <v>-466157.16</v>
      </c>
      <c r="H245" s="41">
        <v>-425734.76</v>
      </c>
      <c r="I245" s="41">
        <v>-217021.24</v>
      </c>
      <c r="J245" s="42">
        <v>-171694.98</v>
      </c>
      <c r="K245" s="43">
        <v>-205133.56</v>
      </c>
      <c r="L245" s="41">
        <v>-143256.91399999999</v>
      </c>
      <c r="M245" s="44">
        <v>-61876.646000000001</v>
      </c>
      <c r="N245" s="45">
        <v>-1.4300900000000001</v>
      </c>
      <c r="O245" s="46">
        <v>-0.99780392117599903</v>
      </c>
      <c r="P245" s="47">
        <v>-0.432286078824001</v>
      </c>
      <c r="Q245" s="43">
        <v>-376828.54</v>
      </c>
      <c r="R245" s="41">
        <v>-290433.114</v>
      </c>
      <c r="S245" s="44">
        <v>-86395.426000000094</v>
      </c>
      <c r="T245" s="48">
        <v>-1.2490330000000001</v>
      </c>
      <c r="U245" s="46">
        <v>-0.96104928103647802</v>
      </c>
      <c r="V245" s="47">
        <v>-0.28798371896352198</v>
      </c>
      <c r="W245" s="43">
        <v>-339639.11</v>
      </c>
      <c r="X245" s="44">
        <v>-37189.430000000102</v>
      </c>
      <c r="Y245" s="49"/>
      <c r="AA245" s="15" t="s">
        <v>16</v>
      </c>
      <c r="AB245" s="15" t="str">
        <f t="shared" si="3"/>
        <v>Total CompanyAL</v>
      </c>
    </row>
    <row r="246" spans="1:28" ht="18" x14ac:dyDescent="0.25">
      <c r="A246" s="39" t="s">
        <v>9</v>
      </c>
      <c r="B246" s="39" t="s">
        <v>319</v>
      </c>
      <c r="C246" s="40" t="s">
        <v>320</v>
      </c>
      <c r="D246" s="39" t="s">
        <v>321</v>
      </c>
      <c r="E246" s="39" t="s">
        <v>322</v>
      </c>
      <c r="F246" s="41">
        <v>-3000</v>
      </c>
      <c r="G246" s="41">
        <v>-5431</v>
      </c>
      <c r="H246" s="41">
        <v>-2633</v>
      </c>
      <c r="I246" s="41">
        <v>-633</v>
      </c>
      <c r="J246" s="42">
        <v>0</v>
      </c>
      <c r="K246" s="43">
        <v>0</v>
      </c>
      <c r="L246" s="41">
        <v>-303.20583333330001</v>
      </c>
      <c r="M246" s="44">
        <v>303.20583333330001</v>
      </c>
      <c r="N246" s="45">
        <v>0</v>
      </c>
      <c r="O246" s="46">
        <v>-0.64984994817854702</v>
      </c>
      <c r="P246" s="47">
        <v>0.64984994817854702</v>
      </c>
      <c r="Q246" s="43">
        <v>0</v>
      </c>
      <c r="R246" s="41">
        <v>-615.7891666667</v>
      </c>
      <c r="S246" s="44">
        <v>615.7891666667</v>
      </c>
      <c r="T246" s="48">
        <v>0</v>
      </c>
      <c r="U246" s="46">
        <v>-0.63115109134579095</v>
      </c>
      <c r="V246" s="47">
        <v>0.63115109134579095</v>
      </c>
      <c r="W246" s="43">
        <v>546.75</v>
      </c>
      <c r="X246" s="44">
        <v>-546.75</v>
      </c>
      <c r="Y246" s="49"/>
      <c r="AA246" s="15" t="s">
        <v>18</v>
      </c>
      <c r="AB246" s="15" t="str">
        <f t="shared" si="3"/>
        <v>Anderson - 112AL/MC</v>
      </c>
    </row>
    <row r="247" spans="1:28" ht="18" x14ac:dyDescent="0.25">
      <c r="A247" s="39" t="s">
        <v>24</v>
      </c>
      <c r="B247" s="39" t="s">
        <v>319</v>
      </c>
      <c r="C247" s="40" t="s">
        <v>320</v>
      </c>
      <c r="D247" s="39" t="s">
        <v>321</v>
      </c>
      <c r="E247" s="39" t="s">
        <v>322</v>
      </c>
      <c r="F247" s="41">
        <v>-3419</v>
      </c>
      <c r="G247" s="41">
        <v>-3419</v>
      </c>
      <c r="H247" s="41">
        <v>-3419</v>
      </c>
      <c r="I247" s="41">
        <v>-3419</v>
      </c>
      <c r="J247" s="42">
        <v>-1341.2</v>
      </c>
      <c r="K247" s="43">
        <v>0</v>
      </c>
      <c r="L247" s="41">
        <v>-3541.6586111111001</v>
      </c>
      <c r="M247" s="44">
        <v>3541.6586111111001</v>
      </c>
      <c r="N247" s="45">
        <v>0</v>
      </c>
      <c r="O247" s="46">
        <v>-11.4988915945166</v>
      </c>
      <c r="P247" s="47">
        <v>11.4988915945166</v>
      </c>
      <c r="Q247" s="43">
        <v>-1341.2</v>
      </c>
      <c r="R247" s="41">
        <v>-7192.8530555554999</v>
      </c>
      <c r="S247" s="44">
        <v>5851.6530555555</v>
      </c>
      <c r="T247" s="48">
        <v>-2.771074</v>
      </c>
      <c r="U247" s="46">
        <v>-11.082978513953</v>
      </c>
      <c r="V247" s="47">
        <v>8.3119045139529995</v>
      </c>
      <c r="W247" s="43">
        <v>0</v>
      </c>
      <c r="X247" s="44">
        <v>-1341.2</v>
      </c>
      <c r="Y247" s="49"/>
      <c r="AA247" s="15" t="s">
        <v>18</v>
      </c>
      <c r="AB247" s="15" t="str">
        <f t="shared" si="3"/>
        <v>Avon - 5166AL/MC</v>
      </c>
    </row>
    <row r="248" spans="1:28" ht="18" x14ac:dyDescent="0.25">
      <c r="A248" s="39" t="s">
        <v>28</v>
      </c>
      <c r="B248" s="39" t="s">
        <v>319</v>
      </c>
      <c r="C248" s="40" t="s">
        <v>320</v>
      </c>
      <c r="D248" s="39" t="s">
        <v>321</v>
      </c>
      <c r="E248" s="39" t="s">
        <v>322</v>
      </c>
      <c r="F248" s="41">
        <v>0</v>
      </c>
      <c r="G248" s="41">
        <v>-3000</v>
      </c>
      <c r="H248" s="41">
        <v>0</v>
      </c>
      <c r="I248" s="41">
        <v>0</v>
      </c>
      <c r="J248" s="42">
        <v>0</v>
      </c>
      <c r="K248" s="43">
        <v>0</v>
      </c>
      <c r="L248" s="41">
        <v>-312.6708777778</v>
      </c>
      <c r="M248" s="44">
        <v>312.6708777778</v>
      </c>
      <c r="N248" s="45">
        <v>0</v>
      </c>
      <c r="O248" s="46">
        <v>-0.62734927322993606</v>
      </c>
      <c r="P248" s="47">
        <v>0.62734927322993606</v>
      </c>
      <c r="Q248" s="43">
        <v>0</v>
      </c>
      <c r="R248" s="41">
        <v>-635.01198888889996</v>
      </c>
      <c r="S248" s="44">
        <v>635.01198888889996</v>
      </c>
      <c r="T248" s="48">
        <v>0</v>
      </c>
      <c r="U248" s="46">
        <v>-0.60465814977042498</v>
      </c>
      <c r="V248" s="47">
        <v>0.60465814977042498</v>
      </c>
      <c r="W248" s="43">
        <v>0</v>
      </c>
      <c r="X248" s="44">
        <v>0</v>
      </c>
      <c r="Y248" s="49"/>
      <c r="AA248" s="15" t="s">
        <v>18</v>
      </c>
      <c r="AB248" s="15" t="str">
        <f t="shared" si="3"/>
        <v>Bardstown - 233AL/MC</v>
      </c>
    </row>
    <row r="249" spans="1:28" ht="18" x14ac:dyDescent="0.25">
      <c r="A249" s="39" t="s">
        <v>42</v>
      </c>
      <c r="B249" s="39" t="s">
        <v>319</v>
      </c>
      <c r="C249" s="40" t="s">
        <v>320</v>
      </c>
      <c r="D249" s="39" t="s">
        <v>321</v>
      </c>
      <c r="E249" s="39" t="s">
        <v>322</v>
      </c>
      <c r="F249" s="41">
        <v>0</v>
      </c>
      <c r="G249" s="41">
        <v>0</v>
      </c>
      <c r="H249" s="41">
        <v>-3000</v>
      </c>
      <c r="I249" s="41">
        <v>0</v>
      </c>
      <c r="J249" s="42">
        <v>0</v>
      </c>
      <c r="K249" s="43">
        <v>4198.3500000000004</v>
      </c>
      <c r="L249" s="41">
        <v>0</v>
      </c>
      <c r="M249" s="44">
        <v>4198.3500000000004</v>
      </c>
      <c r="N249" s="45">
        <v>14.088422</v>
      </c>
      <c r="O249" s="46">
        <v>0</v>
      </c>
      <c r="P249" s="47">
        <v>14.088422</v>
      </c>
      <c r="Q249" s="43">
        <v>4198.3500000000004</v>
      </c>
      <c r="R249" s="41">
        <v>0</v>
      </c>
      <c r="S249" s="44">
        <v>4198.3500000000004</v>
      </c>
      <c r="T249" s="48">
        <v>6.3611360000000001</v>
      </c>
      <c r="U249" s="46">
        <v>0</v>
      </c>
      <c r="V249" s="47">
        <v>6.3611360000000001</v>
      </c>
      <c r="W249" s="43">
        <v>0</v>
      </c>
      <c r="X249" s="44">
        <v>4198.3500000000004</v>
      </c>
      <c r="Y249" s="49"/>
      <c r="AA249" s="15" t="s">
        <v>18</v>
      </c>
      <c r="AB249" s="15" t="str">
        <f t="shared" si="3"/>
        <v>Bellevue - 414AL/MC</v>
      </c>
    </row>
    <row r="250" spans="1:28" ht="18" x14ac:dyDescent="0.25">
      <c r="A250" s="39" t="s">
        <v>57</v>
      </c>
      <c r="B250" s="39" t="s">
        <v>319</v>
      </c>
      <c r="C250" s="40" t="s">
        <v>320</v>
      </c>
      <c r="D250" s="39" t="s">
        <v>321</v>
      </c>
      <c r="E250" s="39" t="s">
        <v>322</v>
      </c>
      <c r="F250" s="41">
        <v>-1231</v>
      </c>
      <c r="G250" s="41">
        <v>-5096.42</v>
      </c>
      <c r="H250" s="41">
        <v>-1890</v>
      </c>
      <c r="I250" s="41">
        <v>-2171.61</v>
      </c>
      <c r="J250" s="42">
        <v>-2788.39</v>
      </c>
      <c r="K250" s="43">
        <v>-3744.64</v>
      </c>
      <c r="L250" s="41">
        <v>-132.6744444444</v>
      </c>
      <c r="M250" s="44">
        <v>-3611.9655555556001</v>
      </c>
      <c r="N250" s="45">
        <v>-9.4323420000000002</v>
      </c>
      <c r="O250" s="46">
        <v>-0.45148489098079297</v>
      </c>
      <c r="P250" s="47">
        <v>-8.98085710901921</v>
      </c>
      <c r="Q250" s="43">
        <v>-6533.03</v>
      </c>
      <c r="R250" s="41">
        <v>-269.45222222220002</v>
      </c>
      <c r="S250" s="44">
        <v>-6263.5777777778003</v>
      </c>
      <c r="T250" s="48">
        <v>-8.0061640000000001</v>
      </c>
      <c r="U250" s="46">
        <v>-0.44632180507667502</v>
      </c>
      <c r="V250" s="47">
        <v>-7.5598421949233297</v>
      </c>
      <c r="W250" s="43">
        <v>0</v>
      </c>
      <c r="X250" s="44">
        <v>-6533.03</v>
      </c>
      <c r="Y250" s="49" t="s">
        <v>323</v>
      </c>
      <c r="AA250" s="15" t="s">
        <v>18</v>
      </c>
      <c r="AB250" s="15" t="str">
        <f t="shared" si="3"/>
        <v>Bowling Green - 443AL/MC</v>
      </c>
    </row>
    <row r="251" spans="1:28" ht="18" x14ac:dyDescent="0.25">
      <c r="A251" s="39" t="s">
        <v>63</v>
      </c>
      <c r="B251" s="39" t="s">
        <v>319</v>
      </c>
      <c r="C251" s="40" t="s">
        <v>320</v>
      </c>
      <c r="D251" s="39" t="s">
        <v>321</v>
      </c>
      <c r="E251" s="39" t="s">
        <v>322</v>
      </c>
      <c r="F251" s="41">
        <v>-405</v>
      </c>
      <c r="G251" s="41">
        <v>-270</v>
      </c>
      <c r="H251" s="41">
        <v>-270</v>
      </c>
      <c r="I251" s="41">
        <v>-270</v>
      </c>
      <c r="J251" s="42">
        <v>0</v>
      </c>
      <c r="K251" s="43">
        <v>0</v>
      </c>
      <c r="L251" s="41">
        <v>0</v>
      </c>
      <c r="M251" s="44">
        <v>0</v>
      </c>
      <c r="N251" s="45">
        <v>0</v>
      </c>
      <c r="O251" s="46">
        <v>0</v>
      </c>
      <c r="P251" s="47">
        <v>0</v>
      </c>
      <c r="Q251" s="43">
        <v>0</v>
      </c>
      <c r="R251" s="41">
        <v>0</v>
      </c>
      <c r="S251" s="44">
        <v>0</v>
      </c>
      <c r="T251" s="48">
        <v>0</v>
      </c>
      <c r="U251" s="46">
        <v>0</v>
      </c>
      <c r="V251" s="47">
        <v>0</v>
      </c>
      <c r="W251" s="43">
        <v>0</v>
      </c>
      <c r="X251" s="44">
        <v>0</v>
      </c>
      <c r="Y251" s="49"/>
      <c r="AA251" s="15" t="s">
        <v>18</v>
      </c>
      <c r="AB251" s="15" t="str">
        <f t="shared" si="3"/>
        <v>Carmel - 5165AL/MC</v>
      </c>
    </row>
    <row r="252" spans="1:28" ht="18" x14ac:dyDescent="0.25">
      <c r="A252" s="39" t="s">
        <v>71</v>
      </c>
      <c r="B252" s="39" t="s">
        <v>319</v>
      </c>
      <c r="C252" s="40" t="s">
        <v>320</v>
      </c>
      <c r="D252" s="39" t="s">
        <v>321</v>
      </c>
      <c r="E252" s="39" t="s">
        <v>322</v>
      </c>
      <c r="F252" s="41">
        <v>0</v>
      </c>
      <c r="G252" s="41">
        <v>0</v>
      </c>
      <c r="H252" s="41">
        <v>0</v>
      </c>
      <c r="I252" s="41">
        <v>-294</v>
      </c>
      <c r="J252" s="42">
        <v>0</v>
      </c>
      <c r="K252" s="43">
        <v>0</v>
      </c>
      <c r="L252" s="41">
        <v>0</v>
      </c>
      <c r="M252" s="44">
        <v>0</v>
      </c>
      <c r="N252" s="45">
        <v>0</v>
      </c>
      <c r="O252" s="46">
        <v>0</v>
      </c>
      <c r="P252" s="47">
        <v>0</v>
      </c>
      <c r="Q252" s="43">
        <v>0</v>
      </c>
      <c r="R252" s="41">
        <v>0</v>
      </c>
      <c r="S252" s="44">
        <v>0</v>
      </c>
      <c r="T252" s="48">
        <v>0</v>
      </c>
      <c r="U252" s="46">
        <v>0</v>
      </c>
      <c r="V252" s="47">
        <v>0</v>
      </c>
      <c r="W252" s="43">
        <v>0</v>
      </c>
      <c r="X252" s="44">
        <v>0</v>
      </c>
      <c r="Y252" s="49"/>
      <c r="AA252" s="15" t="s">
        <v>18</v>
      </c>
      <c r="AB252" s="15" t="str">
        <f t="shared" si="3"/>
        <v>Columbus - 107AL/MC</v>
      </c>
    </row>
    <row r="253" spans="1:28" ht="18" x14ac:dyDescent="0.25">
      <c r="A253" s="39" t="s">
        <v>73</v>
      </c>
      <c r="B253" s="39" t="s">
        <v>319</v>
      </c>
      <c r="C253" s="40" t="s">
        <v>320</v>
      </c>
      <c r="D253" s="39" t="s">
        <v>321</v>
      </c>
      <c r="E253" s="39" t="s">
        <v>322</v>
      </c>
      <c r="F253" s="41">
        <v>-3398</v>
      </c>
      <c r="G253" s="41">
        <v>-4898</v>
      </c>
      <c r="H253" s="41">
        <v>-3398</v>
      </c>
      <c r="I253" s="41">
        <v>-3398</v>
      </c>
      <c r="J253" s="42">
        <v>-4806.68</v>
      </c>
      <c r="K253" s="43">
        <v>-4564.3900000000003</v>
      </c>
      <c r="L253" s="41">
        <v>-4178.76</v>
      </c>
      <c r="M253" s="44">
        <v>-385.63</v>
      </c>
      <c r="N253" s="45">
        <v>-6.7420819999999999</v>
      </c>
      <c r="O253" s="46">
        <v>-5.7860407311969198</v>
      </c>
      <c r="P253" s="47">
        <v>-0.95604126880308005</v>
      </c>
      <c r="Q253" s="43">
        <v>-9371.07</v>
      </c>
      <c r="R253" s="41">
        <v>-8486.76</v>
      </c>
      <c r="S253" s="44">
        <v>-884.30999999999904</v>
      </c>
      <c r="T253" s="48">
        <v>-6.8501969999999996</v>
      </c>
      <c r="U253" s="46">
        <v>-5.57676055797348</v>
      </c>
      <c r="V253" s="47">
        <v>-1.2734364420265201</v>
      </c>
      <c r="W253" s="43">
        <v>-10139.879999999999</v>
      </c>
      <c r="X253" s="44">
        <v>768.80999999999904</v>
      </c>
      <c r="Y253" s="49"/>
      <c r="AA253" s="15" t="s">
        <v>18</v>
      </c>
      <c r="AB253" s="15" t="str">
        <f t="shared" si="3"/>
        <v>Commerce - 503AL/MC</v>
      </c>
    </row>
    <row r="254" spans="1:28" ht="18" x14ac:dyDescent="0.25">
      <c r="A254" s="39" t="s">
        <v>81</v>
      </c>
      <c r="B254" s="39" t="s">
        <v>319</v>
      </c>
      <c r="C254" s="40" t="s">
        <v>320</v>
      </c>
      <c r="D254" s="39" t="s">
        <v>321</v>
      </c>
      <c r="E254" s="39" t="s">
        <v>322</v>
      </c>
      <c r="F254" s="41">
        <v>0</v>
      </c>
      <c r="G254" s="41">
        <v>0</v>
      </c>
      <c r="H254" s="41">
        <v>0</v>
      </c>
      <c r="I254" s="41">
        <v>-19582</v>
      </c>
      <c r="J254" s="42">
        <v>0</v>
      </c>
      <c r="K254" s="43">
        <v>0</v>
      </c>
      <c r="L254" s="41">
        <v>0</v>
      </c>
      <c r="M254" s="44">
        <v>0</v>
      </c>
      <c r="N254" s="45">
        <v>0</v>
      </c>
      <c r="O254" s="46">
        <v>0</v>
      </c>
      <c r="P254" s="47">
        <v>0</v>
      </c>
      <c r="Q254" s="43">
        <v>0</v>
      </c>
      <c r="R254" s="41">
        <v>0</v>
      </c>
      <c r="S254" s="44">
        <v>0</v>
      </c>
      <c r="T254" s="48">
        <v>0</v>
      </c>
      <c r="U254" s="46">
        <v>0</v>
      </c>
      <c r="V254" s="47">
        <v>0</v>
      </c>
      <c r="W254" s="43">
        <v>0</v>
      </c>
      <c r="X254" s="44">
        <v>0</v>
      </c>
      <c r="Y254" s="49"/>
      <c r="AA254" s="15" t="s">
        <v>18</v>
      </c>
      <c r="AB254" s="15" t="str">
        <f t="shared" si="3"/>
        <v>Crawfordsville - 5167AL/MC</v>
      </c>
    </row>
    <row r="255" spans="1:28" ht="18" x14ac:dyDescent="0.25">
      <c r="A255" s="39" t="s">
        <v>85</v>
      </c>
      <c r="B255" s="39" t="s">
        <v>319</v>
      </c>
      <c r="C255" s="40" t="s">
        <v>320</v>
      </c>
      <c r="D255" s="39" t="s">
        <v>321</v>
      </c>
      <c r="E255" s="39" t="s">
        <v>322</v>
      </c>
      <c r="F255" s="41">
        <v>-5341.1</v>
      </c>
      <c r="G255" s="41">
        <v>-5243</v>
      </c>
      <c r="H255" s="41">
        <v>-11129.89</v>
      </c>
      <c r="I255" s="41">
        <v>-4901.87</v>
      </c>
      <c r="J255" s="42">
        <v>-1240</v>
      </c>
      <c r="K255" s="43">
        <v>-1240</v>
      </c>
      <c r="L255" s="41">
        <v>-1931.4715444444</v>
      </c>
      <c r="M255" s="44">
        <v>691.47154444440002</v>
      </c>
      <c r="N255" s="45">
        <v>-2.966507</v>
      </c>
      <c r="O255" s="46">
        <v>-3.57866151104052</v>
      </c>
      <c r="P255" s="47">
        <v>0.61215451104052399</v>
      </c>
      <c r="Q255" s="43">
        <v>-2480</v>
      </c>
      <c r="R255" s="41">
        <v>-3922.6793222222</v>
      </c>
      <c r="S255" s="44">
        <v>1442.6793222222</v>
      </c>
      <c r="T255" s="48">
        <v>-2.4457589999999998</v>
      </c>
      <c r="U255" s="46">
        <v>-3.4963258045374199</v>
      </c>
      <c r="V255" s="47">
        <v>1.0505668045374199</v>
      </c>
      <c r="W255" s="43">
        <v>0</v>
      </c>
      <c r="X255" s="44">
        <v>-2480</v>
      </c>
      <c r="Y255" s="49"/>
      <c r="AA255" s="15" t="s">
        <v>18</v>
      </c>
      <c r="AB255" s="15" t="str">
        <f t="shared" si="3"/>
        <v>Danville - 231AL/MC</v>
      </c>
    </row>
    <row r="256" spans="1:28" ht="18" x14ac:dyDescent="0.25">
      <c r="A256" s="39" t="s">
        <v>89</v>
      </c>
      <c r="B256" s="39" t="s">
        <v>319</v>
      </c>
      <c r="C256" s="40" t="s">
        <v>320</v>
      </c>
      <c r="D256" s="39" t="s">
        <v>321</v>
      </c>
      <c r="E256" s="39" t="s">
        <v>322</v>
      </c>
      <c r="F256" s="41">
        <v>-339</v>
      </c>
      <c r="G256" s="41">
        <v>-339</v>
      </c>
      <c r="H256" s="41">
        <v>-339</v>
      </c>
      <c r="I256" s="41">
        <v>-339</v>
      </c>
      <c r="J256" s="42">
        <v>0</v>
      </c>
      <c r="K256" s="43">
        <v>0</v>
      </c>
      <c r="L256" s="41">
        <v>0</v>
      </c>
      <c r="M256" s="44">
        <v>0</v>
      </c>
      <c r="N256" s="45">
        <v>0</v>
      </c>
      <c r="O256" s="46">
        <v>0</v>
      </c>
      <c r="P256" s="47">
        <v>0</v>
      </c>
      <c r="Q256" s="43">
        <v>0</v>
      </c>
      <c r="R256" s="41">
        <v>0</v>
      </c>
      <c r="S256" s="44">
        <v>0</v>
      </c>
      <c r="T256" s="48">
        <v>0</v>
      </c>
      <c r="U256" s="46">
        <v>0</v>
      </c>
      <c r="V256" s="47">
        <v>0</v>
      </c>
      <c r="W256" s="43">
        <v>0</v>
      </c>
      <c r="X256" s="44">
        <v>0</v>
      </c>
      <c r="Y256" s="49"/>
      <c r="AA256" s="15" t="s">
        <v>18</v>
      </c>
      <c r="AB256" s="15" t="str">
        <f t="shared" si="3"/>
        <v>Delphos - 407AL/MC</v>
      </c>
    </row>
    <row r="257" spans="1:28" ht="18" x14ac:dyDescent="0.25">
      <c r="A257" s="39" t="s">
        <v>91</v>
      </c>
      <c r="B257" s="39" t="s">
        <v>319</v>
      </c>
      <c r="C257" s="40" t="s">
        <v>320</v>
      </c>
      <c r="D257" s="39" t="s">
        <v>321</v>
      </c>
      <c r="E257" s="39" t="s">
        <v>322</v>
      </c>
      <c r="F257" s="41">
        <v>2160</v>
      </c>
      <c r="G257" s="41">
        <v>2160</v>
      </c>
      <c r="H257" s="41">
        <v>2160</v>
      </c>
      <c r="I257" s="41">
        <v>2160</v>
      </c>
      <c r="J257" s="42">
        <v>0</v>
      </c>
      <c r="K257" s="43">
        <v>0</v>
      </c>
      <c r="L257" s="41">
        <v>0</v>
      </c>
      <c r="M257" s="44">
        <v>0</v>
      </c>
      <c r="N257" s="45">
        <v>0</v>
      </c>
      <c r="O257" s="46">
        <v>0</v>
      </c>
      <c r="P257" s="47">
        <v>0</v>
      </c>
      <c r="Q257" s="43">
        <v>0</v>
      </c>
      <c r="R257" s="41">
        <v>0</v>
      </c>
      <c r="S257" s="44">
        <v>0</v>
      </c>
      <c r="T257" s="48">
        <v>0</v>
      </c>
      <c r="U257" s="46">
        <v>0</v>
      </c>
      <c r="V257" s="47">
        <v>0</v>
      </c>
      <c r="W257" s="43">
        <v>0</v>
      </c>
      <c r="X257" s="44">
        <v>0</v>
      </c>
      <c r="Y257" s="49"/>
      <c r="AA257" s="15" t="s">
        <v>18</v>
      </c>
      <c r="AB257" s="15" t="str">
        <f t="shared" si="3"/>
        <v>East Lansing - 2507AL/MC</v>
      </c>
    </row>
    <row r="258" spans="1:28" ht="18" x14ac:dyDescent="0.25">
      <c r="A258" s="39" t="s">
        <v>93</v>
      </c>
      <c r="B258" s="39" t="s">
        <v>319</v>
      </c>
      <c r="C258" s="40" t="s">
        <v>320</v>
      </c>
      <c r="D258" s="39" t="s">
        <v>321</v>
      </c>
      <c r="E258" s="39" t="s">
        <v>322</v>
      </c>
      <c r="F258" s="41">
        <v>-399</v>
      </c>
      <c r="G258" s="41">
        <v>-399</v>
      </c>
      <c r="H258" s="41">
        <v>-1957.06</v>
      </c>
      <c r="I258" s="41">
        <v>-1178.03</v>
      </c>
      <c r="J258" s="42">
        <v>-3951.84</v>
      </c>
      <c r="K258" s="43">
        <v>-1237</v>
      </c>
      <c r="L258" s="41">
        <v>-872.03</v>
      </c>
      <c r="M258" s="44">
        <v>-364.97</v>
      </c>
      <c r="N258" s="45">
        <v>-3.4553069999999999</v>
      </c>
      <c r="O258" s="46">
        <v>-2.4217673850255501</v>
      </c>
      <c r="P258" s="47">
        <v>-1.03353961497445</v>
      </c>
      <c r="Q258" s="43">
        <v>-5188.84</v>
      </c>
      <c r="R258" s="41">
        <v>-1771.03</v>
      </c>
      <c r="S258" s="44">
        <v>-3417.81</v>
      </c>
      <c r="T258" s="48">
        <v>-6.9092409999999997</v>
      </c>
      <c r="U258" s="46">
        <v>-2.3341724437883902</v>
      </c>
      <c r="V258" s="47">
        <v>-4.57506855621161</v>
      </c>
      <c r="W258" s="43">
        <v>-4239.25</v>
      </c>
      <c r="X258" s="44">
        <v>-949.59</v>
      </c>
      <c r="Y258" s="49"/>
      <c r="AA258" s="15" t="s">
        <v>18</v>
      </c>
      <c r="AB258" s="15" t="str">
        <f t="shared" si="3"/>
        <v>Elkhart - 132AL/MC</v>
      </c>
    </row>
    <row r="259" spans="1:28" ht="18" x14ac:dyDescent="0.25">
      <c r="A259" s="39" t="s">
        <v>96</v>
      </c>
      <c r="B259" s="39" t="s">
        <v>319</v>
      </c>
      <c r="C259" s="40" t="s">
        <v>320</v>
      </c>
      <c r="D259" s="39" t="s">
        <v>321</v>
      </c>
      <c r="E259" s="39" t="s">
        <v>322</v>
      </c>
      <c r="F259" s="41">
        <v>0</v>
      </c>
      <c r="G259" s="41">
        <v>0</v>
      </c>
      <c r="H259" s="41">
        <v>-1500</v>
      </c>
      <c r="I259" s="41">
        <v>0</v>
      </c>
      <c r="J259" s="42">
        <v>0</v>
      </c>
      <c r="K259" s="43">
        <v>0</v>
      </c>
      <c r="L259" s="41">
        <v>0</v>
      </c>
      <c r="M259" s="44">
        <v>0</v>
      </c>
      <c r="N259" s="45">
        <v>0</v>
      </c>
      <c r="O259" s="46">
        <v>0</v>
      </c>
      <c r="P259" s="47">
        <v>0</v>
      </c>
      <c r="Q259" s="43">
        <v>0</v>
      </c>
      <c r="R259" s="41">
        <v>0</v>
      </c>
      <c r="S259" s="44">
        <v>0</v>
      </c>
      <c r="T259" s="48">
        <v>0</v>
      </c>
      <c r="U259" s="46">
        <v>0</v>
      </c>
      <c r="V259" s="47">
        <v>0</v>
      </c>
      <c r="W259" s="43">
        <v>0</v>
      </c>
      <c r="X259" s="44">
        <v>0</v>
      </c>
      <c r="Y259" s="49"/>
      <c r="AA259" s="15" t="s">
        <v>18</v>
      </c>
      <c r="AB259" s="15" t="str">
        <f t="shared" ref="AB259:AB322" si="4">A259&amp;AA259</f>
        <v>Evansville NR - 2186AL/MC</v>
      </c>
    </row>
    <row r="260" spans="1:28" ht="18" x14ac:dyDescent="0.25">
      <c r="A260" s="39" t="s">
        <v>104</v>
      </c>
      <c r="B260" s="39" t="s">
        <v>319</v>
      </c>
      <c r="C260" s="40" t="s">
        <v>320</v>
      </c>
      <c r="D260" s="39" t="s">
        <v>321</v>
      </c>
      <c r="E260" s="39" t="s">
        <v>322</v>
      </c>
      <c r="F260" s="41">
        <v>-305.75</v>
      </c>
      <c r="G260" s="41">
        <v>-407.39</v>
      </c>
      <c r="H260" s="41">
        <v>-557.20000000000005</v>
      </c>
      <c r="I260" s="41">
        <v>-1467.66</v>
      </c>
      <c r="J260" s="42">
        <v>0</v>
      </c>
      <c r="K260" s="43">
        <v>0</v>
      </c>
      <c r="L260" s="41">
        <v>-711.98</v>
      </c>
      <c r="M260" s="44">
        <v>711.98</v>
      </c>
      <c r="N260" s="45">
        <v>0</v>
      </c>
      <c r="O260" s="46">
        <v>-1.1112952168971599</v>
      </c>
      <c r="P260" s="47">
        <v>1.1112952168971599</v>
      </c>
      <c r="Q260" s="43">
        <v>0</v>
      </c>
      <c r="R260" s="41">
        <v>-1445.98</v>
      </c>
      <c r="S260" s="44">
        <v>1445.98</v>
      </c>
      <c r="T260" s="48">
        <v>0</v>
      </c>
      <c r="U260" s="46">
        <v>-1.09614064139346</v>
      </c>
      <c r="V260" s="47">
        <v>1.09614064139346</v>
      </c>
      <c r="W260" s="43">
        <v>-2258.06</v>
      </c>
      <c r="X260" s="44">
        <v>2258.06</v>
      </c>
      <c r="Y260" s="49"/>
      <c r="AA260" s="15" t="s">
        <v>18</v>
      </c>
      <c r="AB260" s="15" t="str">
        <f t="shared" si="4"/>
        <v>Findlay - 408AL/MC</v>
      </c>
    </row>
    <row r="261" spans="1:28" ht="18" x14ac:dyDescent="0.25">
      <c r="A261" s="39" t="s">
        <v>284</v>
      </c>
      <c r="B261" s="39" t="s">
        <v>319</v>
      </c>
      <c r="C261" s="40" t="s">
        <v>320</v>
      </c>
      <c r="D261" s="39" t="s">
        <v>321</v>
      </c>
      <c r="E261" s="39" t="s">
        <v>322</v>
      </c>
      <c r="F261" s="41">
        <v>0</v>
      </c>
      <c r="G261" s="41">
        <v>0</v>
      </c>
      <c r="H261" s="41">
        <v>0</v>
      </c>
      <c r="I261" s="41">
        <v>0</v>
      </c>
      <c r="J261" s="42">
        <v>0</v>
      </c>
      <c r="K261" s="43">
        <v>0</v>
      </c>
      <c r="L261" s="41">
        <v>0</v>
      </c>
      <c r="M261" s="44">
        <v>0</v>
      </c>
      <c r="N261" s="45">
        <v>0</v>
      </c>
      <c r="O261" s="46">
        <v>0</v>
      </c>
      <c r="P261" s="47">
        <v>0</v>
      </c>
      <c r="Q261" s="43">
        <v>0</v>
      </c>
      <c r="R261" s="41">
        <v>0</v>
      </c>
      <c r="S261" s="44">
        <v>0</v>
      </c>
      <c r="T261" s="48">
        <v>0</v>
      </c>
      <c r="U261" s="46">
        <v>0</v>
      </c>
      <c r="V261" s="47">
        <v>0</v>
      </c>
      <c r="W261" s="43">
        <v>0</v>
      </c>
      <c r="X261" s="44">
        <v>0</v>
      </c>
      <c r="Y261" s="49"/>
      <c r="AA261" s="15" t="s">
        <v>18</v>
      </c>
      <c r="AB261" s="15" t="str">
        <f t="shared" si="4"/>
        <v>Fort Wayne KOD-0553AL/MC</v>
      </c>
    </row>
    <row r="262" spans="1:28" ht="18" x14ac:dyDescent="0.25">
      <c r="A262" s="39" t="s">
        <v>113</v>
      </c>
      <c r="B262" s="39" t="s">
        <v>319</v>
      </c>
      <c r="C262" s="40" t="s">
        <v>320</v>
      </c>
      <c r="D262" s="39" t="s">
        <v>321</v>
      </c>
      <c r="E262" s="39" t="s">
        <v>322</v>
      </c>
      <c r="F262" s="41">
        <v>-2856.13</v>
      </c>
      <c r="G262" s="41">
        <v>-2120</v>
      </c>
      <c r="H262" s="41">
        <v>-120</v>
      </c>
      <c r="I262" s="41">
        <v>-120</v>
      </c>
      <c r="J262" s="42">
        <v>0</v>
      </c>
      <c r="K262" s="43">
        <v>0</v>
      </c>
      <c r="L262" s="41">
        <v>-116.4</v>
      </c>
      <c r="M262" s="44">
        <v>116.4</v>
      </c>
      <c r="N262" s="45">
        <v>0</v>
      </c>
      <c r="O262" s="46">
        <v>-0.37729719702450498</v>
      </c>
      <c r="P262" s="47">
        <v>0.37729719702450498</v>
      </c>
      <c r="Q262" s="43">
        <v>0</v>
      </c>
      <c r="R262" s="41">
        <v>-236.4</v>
      </c>
      <c r="S262" s="44">
        <v>236.4</v>
      </c>
      <c r="T262" s="48">
        <v>0</v>
      </c>
      <c r="U262" s="46">
        <v>-0.36794659230191801</v>
      </c>
      <c r="V262" s="47">
        <v>0.36794659230191801</v>
      </c>
      <c r="W262" s="43">
        <v>0</v>
      </c>
      <c r="X262" s="44">
        <v>0</v>
      </c>
      <c r="Y262" s="49"/>
      <c r="AA262" s="15" t="s">
        <v>18</v>
      </c>
      <c r="AB262" s="15" t="str">
        <f t="shared" si="4"/>
        <v>Gahanna - 436AL/MC</v>
      </c>
    </row>
    <row r="263" spans="1:28" ht="18" x14ac:dyDescent="0.25">
      <c r="A263" s="39" t="s">
        <v>117</v>
      </c>
      <c r="B263" s="39" t="s">
        <v>319</v>
      </c>
      <c r="C263" s="40" t="s">
        <v>320</v>
      </c>
      <c r="D263" s="39" t="s">
        <v>321</v>
      </c>
      <c r="E263" s="39" t="s">
        <v>322</v>
      </c>
      <c r="F263" s="41">
        <v>0</v>
      </c>
      <c r="G263" s="41">
        <v>0</v>
      </c>
      <c r="H263" s="41">
        <v>-60</v>
      </c>
      <c r="I263" s="41">
        <v>-116</v>
      </c>
      <c r="J263" s="42">
        <v>-124</v>
      </c>
      <c r="K263" s="43">
        <v>-112</v>
      </c>
      <c r="L263" s="41">
        <v>0</v>
      </c>
      <c r="M263" s="44">
        <v>-112</v>
      </c>
      <c r="N263" s="45">
        <v>-0.36363600000000001</v>
      </c>
      <c r="O263" s="46">
        <v>0</v>
      </c>
      <c r="P263" s="47">
        <v>-0.36363600000000001</v>
      </c>
      <c r="Q263" s="43">
        <v>-236</v>
      </c>
      <c r="R263" s="41">
        <v>0</v>
      </c>
      <c r="S263" s="44">
        <v>-236</v>
      </c>
      <c r="T263" s="48">
        <v>-0.36532500000000001</v>
      </c>
      <c r="U263" s="46">
        <v>0</v>
      </c>
      <c r="V263" s="47">
        <v>-0.36532500000000001</v>
      </c>
      <c r="W263" s="43">
        <v>0</v>
      </c>
      <c r="X263" s="44">
        <v>-236</v>
      </c>
      <c r="Y263" s="49"/>
      <c r="AA263" s="15" t="s">
        <v>18</v>
      </c>
      <c r="AB263" s="15" t="str">
        <f t="shared" si="4"/>
        <v>Goshen SL - 2184AL/MC</v>
      </c>
    </row>
    <row r="264" spans="1:28" ht="18" x14ac:dyDescent="0.25">
      <c r="A264" s="39" t="s">
        <v>122</v>
      </c>
      <c r="B264" s="39" t="s">
        <v>319</v>
      </c>
      <c r="C264" s="40" t="s">
        <v>320</v>
      </c>
      <c r="D264" s="39" t="s">
        <v>321</v>
      </c>
      <c r="E264" s="39" t="s">
        <v>322</v>
      </c>
      <c r="F264" s="41">
        <v>-1033.33</v>
      </c>
      <c r="G264" s="41">
        <v>0</v>
      </c>
      <c r="H264" s="41">
        <v>0</v>
      </c>
      <c r="I264" s="41">
        <v>0</v>
      </c>
      <c r="J264" s="42">
        <v>0</v>
      </c>
      <c r="K264" s="43">
        <v>0</v>
      </c>
      <c r="L264" s="41">
        <v>-135.80000000000001</v>
      </c>
      <c r="M264" s="44">
        <v>135.80000000000001</v>
      </c>
      <c r="N264" s="45">
        <v>0</v>
      </c>
      <c r="O264" s="46">
        <v>-0.18676678278881501</v>
      </c>
      <c r="P264" s="47">
        <v>0.18676678278881501</v>
      </c>
      <c r="Q264" s="43">
        <v>0</v>
      </c>
      <c r="R264" s="41">
        <v>-275.8</v>
      </c>
      <c r="S264" s="44">
        <v>275.8</v>
      </c>
      <c r="T264" s="48">
        <v>0</v>
      </c>
      <c r="U264" s="46">
        <v>-0.18001145795266499</v>
      </c>
      <c r="V264" s="47">
        <v>0.18001145795266499</v>
      </c>
      <c r="W264" s="43">
        <v>0</v>
      </c>
      <c r="X264" s="44">
        <v>0</v>
      </c>
      <c r="Y264" s="49"/>
      <c r="AA264" s="15" t="s">
        <v>18</v>
      </c>
      <c r="AB264" s="15" t="str">
        <f t="shared" si="4"/>
        <v>Greenfield - 125AL/MC</v>
      </c>
    </row>
    <row r="265" spans="1:28" ht="18" x14ac:dyDescent="0.25">
      <c r="A265" s="39" t="s">
        <v>124</v>
      </c>
      <c r="B265" s="39" t="s">
        <v>319</v>
      </c>
      <c r="C265" s="40" t="s">
        <v>320</v>
      </c>
      <c r="D265" s="39" t="s">
        <v>321</v>
      </c>
      <c r="E265" s="39" t="s">
        <v>322</v>
      </c>
      <c r="F265" s="41">
        <v>0</v>
      </c>
      <c r="G265" s="41">
        <v>-1500</v>
      </c>
      <c r="H265" s="41">
        <v>0</v>
      </c>
      <c r="I265" s="41">
        <v>0</v>
      </c>
      <c r="J265" s="42">
        <v>0</v>
      </c>
      <c r="K265" s="43">
        <v>0</v>
      </c>
      <c r="L265" s="41">
        <v>-650.37530000000004</v>
      </c>
      <c r="M265" s="44">
        <v>650.37530000000004</v>
      </c>
      <c r="N265" s="45">
        <v>0</v>
      </c>
      <c r="O265" s="46">
        <v>-2.22444668384769</v>
      </c>
      <c r="P265" s="47">
        <v>2.22444668384769</v>
      </c>
      <c r="Q265" s="43">
        <v>0</v>
      </c>
      <c r="R265" s="41">
        <v>-1320.8652999999999</v>
      </c>
      <c r="S265" s="44">
        <v>1320.8652999999999</v>
      </c>
      <c r="T265" s="48">
        <v>0</v>
      </c>
      <c r="U265" s="46">
        <v>-2.1439888009966599</v>
      </c>
      <c r="V265" s="47">
        <v>2.1439888009966599</v>
      </c>
      <c r="W265" s="43">
        <v>0</v>
      </c>
      <c r="X265" s="44">
        <v>0</v>
      </c>
      <c r="Y265" s="49"/>
      <c r="AA265" s="15" t="s">
        <v>18</v>
      </c>
      <c r="AB265" s="15" t="str">
        <f t="shared" si="4"/>
        <v>Greensburg - 150AL/MC</v>
      </c>
    </row>
    <row r="266" spans="1:28" ht="18" x14ac:dyDescent="0.25">
      <c r="A266" s="39" t="s">
        <v>125</v>
      </c>
      <c r="B266" s="39" t="s">
        <v>319</v>
      </c>
      <c r="C266" s="40" t="s">
        <v>320</v>
      </c>
      <c r="D266" s="39" t="s">
        <v>321</v>
      </c>
      <c r="E266" s="39" t="s">
        <v>322</v>
      </c>
      <c r="F266" s="41">
        <v>0</v>
      </c>
      <c r="G266" s="41">
        <v>0</v>
      </c>
      <c r="H266" s="41">
        <v>0</v>
      </c>
      <c r="I266" s="41">
        <v>0</v>
      </c>
      <c r="J266" s="42">
        <v>0</v>
      </c>
      <c r="K266" s="43">
        <v>0</v>
      </c>
      <c r="L266" s="41">
        <v>0</v>
      </c>
      <c r="M266" s="44">
        <v>0</v>
      </c>
      <c r="N266" s="45">
        <v>0</v>
      </c>
      <c r="O266" s="46">
        <v>0</v>
      </c>
      <c r="P266" s="47">
        <v>0</v>
      </c>
      <c r="Q266" s="43">
        <v>0</v>
      </c>
      <c r="R266" s="41">
        <v>0</v>
      </c>
      <c r="S266" s="44">
        <v>0</v>
      </c>
      <c r="T266" s="48">
        <v>0</v>
      </c>
      <c r="U266" s="46">
        <v>0</v>
      </c>
      <c r="V266" s="47">
        <v>0</v>
      </c>
      <c r="W266" s="43">
        <v>-629.03</v>
      </c>
      <c r="X266" s="44">
        <v>629.03</v>
      </c>
      <c r="Y266" s="49"/>
      <c r="AA266" s="15" t="s">
        <v>18</v>
      </c>
      <c r="AB266" s="15" t="str">
        <f t="shared" si="4"/>
        <v>Hamilton - 439AL/MC</v>
      </c>
    </row>
    <row r="267" spans="1:28" ht="18" x14ac:dyDescent="0.25">
      <c r="A267" s="39" t="s">
        <v>131</v>
      </c>
      <c r="B267" s="39" t="s">
        <v>319</v>
      </c>
      <c r="C267" s="40" t="s">
        <v>320</v>
      </c>
      <c r="D267" s="39" t="s">
        <v>321</v>
      </c>
      <c r="E267" s="39" t="s">
        <v>322</v>
      </c>
      <c r="F267" s="41">
        <v>-3000</v>
      </c>
      <c r="G267" s="41">
        <v>-2838.71</v>
      </c>
      <c r="H267" s="41">
        <v>-400</v>
      </c>
      <c r="I267" s="41">
        <v>0</v>
      </c>
      <c r="J267" s="42">
        <v>-1774.48</v>
      </c>
      <c r="K267" s="43">
        <v>-2305.4299999999998</v>
      </c>
      <c r="L267" s="41">
        <v>0</v>
      </c>
      <c r="M267" s="44">
        <v>-2305.4299999999998</v>
      </c>
      <c r="N267" s="45">
        <v>-3.1366390000000002</v>
      </c>
      <c r="O267" s="46">
        <v>0</v>
      </c>
      <c r="P267" s="47">
        <v>-3.1366390000000002</v>
      </c>
      <c r="Q267" s="43">
        <v>-4079.91</v>
      </c>
      <c r="R267" s="41">
        <v>0</v>
      </c>
      <c r="S267" s="44">
        <v>-4079.91</v>
      </c>
      <c r="T267" s="48">
        <v>-2.5773269999999999</v>
      </c>
      <c r="U267" s="46">
        <v>0</v>
      </c>
      <c r="V267" s="47">
        <v>-2.5773269999999999</v>
      </c>
      <c r="W267" s="43">
        <v>-2064.52</v>
      </c>
      <c r="X267" s="44">
        <v>-2015.39</v>
      </c>
      <c r="Y267" s="49"/>
      <c r="AA267" s="15" t="s">
        <v>18</v>
      </c>
      <c r="AB267" s="15" t="str">
        <f t="shared" si="4"/>
        <v>Howell - 2509AL/MC</v>
      </c>
    </row>
    <row r="268" spans="1:28" ht="18" x14ac:dyDescent="0.25">
      <c r="A268" s="39" t="s">
        <v>132</v>
      </c>
      <c r="B268" s="39" t="s">
        <v>319</v>
      </c>
      <c r="C268" s="40" t="s">
        <v>320</v>
      </c>
      <c r="D268" s="39" t="s">
        <v>321</v>
      </c>
      <c r="E268" s="39" t="s">
        <v>322</v>
      </c>
      <c r="F268" s="41">
        <v>-3000</v>
      </c>
      <c r="G268" s="41">
        <v>-1500</v>
      </c>
      <c r="H268" s="41">
        <v>-500</v>
      </c>
      <c r="I268" s="41">
        <v>-500</v>
      </c>
      <c r="J268" s="42">
        <v>0</v>
      </c>
      <c r="K268" s="43">
        <v>0</v>
      </c>
      <c r="L268" s="41">
        <v>-485</v>
      </c>
      <c r="M268" s="44">
        <v>485</v>
      </c>
      <c r="N268" s="45">
        <v>0</v>
      </c>
      <c r="O268" s="46">
        <v>-1.29864000616428</v>
      </c>
      <c r="P268" s="47">
        <v>1.29864000616428</v>
      </c>
      <c r="Q268" s="43">
        <v>0</v>
      </c>
      <c r="R268" s="41">
        <v>-985</v>
      </c>
      <c r="S268" s="44">
        <v>985</v>
      </c>
      <c r="T268" s="48">
        <v>0</v>
      </c>
      <c r="U268" s="46">
        <v>-1.25166840363483</v>
      </c>
      <c r="V268" s="47">
        <v>1.25166840363483</v>
      </c>
      <c r="W268" s="43">
        <v>0</v>
      </c>
      <c r="X268" s="44">
        <v>0</v>
      </c>
      <c r="Y268" s="49"/>
      <c r="AA268" s="15" t="s">
        <v>18</v>
      </c>
      <c r="AB268" s="15" t="str">
        <f t="shared" si="4"/>
        <v>Hudsonville - 524AL/MC</v>
      </c>
    </row>
    <row r="269" spans="1:28" ht="18" x14ac:dyDescent="0.25">
      <c r="A269" s="39" t="s">
        <v>134</v>
      </c>
      <c r="B269" s="39" t="s">
        <v>319</v>
      </c>
      <c r="C269" s="40" t="s">
        <v>320</v>
      </c>
      <c r="D269" s="39" t="s">
        <v>321</v>
      </c>
      <c r="E269" s="39" t="s">
        <v>322</v>
      </c>
      <c r="F269" s="41">
        <v>-789</v>
      </c>
      <c r="G269" s="41">
        <v>-789</v>
      </c>
      <c r="H269" s="41">
        <v>-789</v>
      </c>
      <c r="I269" s="41">
        <v>0</v>
      </c>
      <c r="J269" s="42">
        <v>0</v>
      </c>
      <c r="K269" s="43">
        <v>0</v>
      </c>
      <c r="L269" s="41">
        <v>0</v>
      </c>
      <c r="M269" s="44">
        <v>0</v>
      </c>
      <c r="N269" s="45">
        <v>0</v>
      </c>
      <c r="O269" s="46">
        <v>0</v>
      </c>
      <c r="P269" s="47">
        <v>0</v>
      </c>
      <c r="Q269" s="43">
        <v>0</v>
      </c>
      <c r="R269" s="41">
        <v>0</v>
      </c>
      <c r="S269" s="44">
        <v>0</v>
      </c>
      <c r="T269" s="48">
        <v>0</v>
      </c>
      <c r="U269" s="46">
        <v>0</v>
      </c>
      <c r="V269" s="47">
        <v>0</v>
      </c>
      <c r="W269" s="43">
        <v>-2378</v>
      </c>
      <c r="X269" s="44">
        <v>2378</v>
      </c>
      <c r="Y269" s="49"/>
      <c r="AA269" s="15" t="s">
        <v>18</v>
      </c>
      <c r="AB269" s="15" t="str">
        <f t="shared" si="4"/>
        <v>Indianapolis CL - 5161AL/MC</v>
      </c>
    </row>
    <row r="270" spans="1:28" ht="18" x14ac:dyDescent="0.25">
      <c r="A270" s="39" t="s">
        <v>136</v>
      </c>
      <c r="B270" s="39" t="s">
        <v>319</v>
      </c>
      <c r="C270" s="40" t="s">
        <v>320</v>
      </c>
      <c r="D270" s="39" t="s">
        <v>321</v>
      </c>
      <c r="E270" s="39" t="s">
        <v>322</v>
      </c>
      <c r="F270" s="41">
        <v>-3257.42</v>
      </c>
      <c r="G270" s="41">
        <v>-2970</v>
      </c>
      <c r="H270" s="41">
        <v>-792</v>
      </c>
      <c r="I270" s="41">
        <v>0</v>
      </c>
      <c r="J270" s="42">
        <v>0</v>
      </c>
      <c r="K270" s="43">
        <v>0</v>
      </c>
      <c r="L270" s="41">
        <v>0</v>
      </c>
      <c r="M270" s="44">
        <v>0</v>
      </c>
      <c r="N270" s="45">
        <v>0</v>
      </c>
      <c r="O270" s="46">
        <v>0</v>
      </c>
      <c r="P270" s="47">
        <v>0</v>
      </c>
      <c r="Q270" s="43">
        <v>0</v>
      </c>
      <c r="R270" s="41">
        <v>0</v>
      </c>
      <c r="S270" s="44">
        <v>0</v>
      </c>
      <c r="T270" s="48">
        <v>0</v>
      </c>
      <c r="U270" s="46">
        <v>0</v>
      </c>
      <c r="V270" s="47">
        <v>0</v>
      </c>
      <c r="W270" s="43">
        <v>0</v>
      </c>
      <c r="X270" s="44">
        <v>0</v>
      </c>
      <c r="Y270" s="49"/>
      <c r="AA270" s="15" t="s">
        <v>18</v>
      </c>
      <c r="AB270" s="15" t="str">
        <f t="shared" si="4"/>
        <v>Kalida - 406AL/MC</v>
      </c>
    </row>
    <row r="271" spans="1:28" ht="18" x14ac:dyDescent="0.25">
      <c r="A271" s="39" t="s">
        <v>137</v>
      </c>
      <c r="B271" s="39" t="s">
        <v>319</v>
      </c>
      <c r="C271" s="40" t="s">
        <v>320</v>
      </c>
      <c r="D271" s="39" t="s">
        <v>321</v>
      </c>
      <c r="E271" s="39" t="s">
        <v>322</v>
      </c>
      <c r="F271" s="41">
        <v>-2000</v>
      </c>
      <c r="G271" s="41">
        <v>0</v>
      </c>
      <c r="H271" s="41">
        <v>0</v>
      </c>
      <c r="I271" s="41">
        <v>-860.32</v>
      </c>
      <c r="J271" s="42">
        <v>-1270</v>
      </c>
      <c r="K271" s="43">
        <v>-1270</v>
      </c>
      <c r="L271" s="41">
        <v>0</v>
      </c>
      <c r="M271" s="44">
        <v>-1270</v>
      </c>
      <c r="N271" s="45">
        <v>-4.1233760000000004</v>
      </c>
      <c r="O271" s="46">
        <v>0</v>
      </c>
      <c r="P271" s="47">
        <v>-4.1233760000000004</v>
      </c>
      <c r="Q271" s="43">
        <v>-2540</v>
      </c>
      <c r="R271" s="41">
        <v>0</v>
      </c>
      <c r="S271" s="44">
        <v>-2540</v>
      </c>
      <c r="T271" s="48">
        <v>-3.913713</v>
      </c>
      <c r="U271" s="46">
        <v>0</v>
      </c>
      <c r="V271" s="47">
        <v>-3.913713</v>
      </c>
      <c r="W271" s="43">
        <v>0</v>
      </c>
      <c r="X271" s="44">
        <v>-2540</v>
      </c>
      <c r="Y271" s="49"/>
      <c r="AA271" s="15" t="s">
        <v>18</v>
      </c>
      <c r="AB271" s="15" t="str">
        <f t="shared" si="4"/>
        <v>Kendallville - 2185AL/MC</v>
      </c>
    </row>
    <row r="272" spans="1:28" ht="18" x14ac:dyDescent="0.25">
      <c r="A272" s="39" t="s">
        <v>139</v>
      </c>
      <c r="B272" s="39" t="s">
        <v>319</v>
      </c>
      <c r="C272" s="40" t="s">
        <v>320</v>
      </c>
      <c r="D272" s="39" t="s">
        <v>321</v>
      </c>
      <c r="E272" s="39" t="s">
        <v>322</v>
      </c>
      <c r="F272" s="41">
        <v>0</v>
      </c>
      <c r="G272" s="41">
        <v>-160</v>
      </c>
      <c r="H272" s="41">
        <v>0</v>
      </c>
      <c r="I272" s="41">
        <v>0</v>
      </c>
      <c r="J272" s="42">
        <v>0</v>
      </c>
      <c r="K272" s="43">
        <v>0</v>
      </c>
      <c r="L272" s="41">
        <v>0</v>
      </c>
      <c r="M272" s="44">
        <v>0</v>
      </c>
      <c r="N272" s="45">
        <v>0</v>
      </c>
      <c r="O272" s="46">
        <v>0</v>
      </c>
      <c r="P272" s="47">
        <v>0</v>
      </c>
      <c r="Q272" s="43">
        <v>0</v>
      </c>
      <c r="R272" s="41">
        <v>0</v>
      </c>
      <c r="S272" s="44">
        <v>0</v>
      </c>
      <c r="T272" s="48">
        <v>0</v>
      </c>
      <c r="U272" s="46">
        <v>0</v>
      </c>
      <c r="V272" s="47">
        <v>0</v>
      </c>
      <c r="W272" s="43">
        <v>0</v>
      </c>
      <c r="X272" s="44">
        <v>0</v>
      </c>
      <c r="Y272" s="49"/>
      <c r="AA272" s="15" t="s">
        <v>18</v>
      </c>
      <c r="AB272" s="15" t="str">
        <f t="shared" si="4"/>
        <v>Kokomo WP - 106AL/MC</v>
      </c>
    </row>
    <row r="273" spans="1:28" ht="18" x14ac:dyDescent="0.25">
      <c r="A273" s="39" t="s">
        <v>143</v>
      </c>
      <c r="B273" s="39" t="s">
        <v>319</v>
      </c>
      <c r="C273" s="40" t="s">
        <v>320</v>
      </c>
      <c r="D273" s="39" t="s">
        <v>321</v>
      </c>
      <c r="E273" s="39" t="s">
        <v>322</v>
      </c>
      <c r="F273" s="41">
        <v>0</v>
      </c>
      <c r="G273" s="41">
        <v>0</v>
      </c>
      <c r="H273" s="41">
        <v>0</v>
      </c>
      <c r="I273" s="41">
        <v>-3000</v>
      </c>
      <c r="J273" s="42">
        <v>0</v>
      </c>
      <c r="K273" s="43">
        <v>0</v>
      </c>
      <c r="L273" s="41">
        <v>-473.29425555559999</v>
      </c>
      <c r="M273" s="44">
        <v>473.29425555559999</v>
      </c>
      <c r="N273" s="45">
        <v>0</v>
      </c>
      <c r="O273" s="46">
        <v>-0.85489536913852504</v>
      </c>
      <c r="P273" s="47">
        <v>0.85489536913852504</v>
      </c>
      <c r="Q273" s="43">
        <v>0</v>
      </c>
      <c r="R273" s="41">
        <v>-961.22647777780003</v>
      </c>
      <c r="S273" s="44">
        <v>961.22647777780003</v>
      </c>
      <c r="T273" s="48">
        <v>0</v>
      </c>
      <c r="U273" s="46">
        <v>-0.82397393957151299</v>
      </c>
      <c r="V273" s="47">
        <v>0.82397393957151299</v>
      </c>
      <c r="W273" s="43">
        <v>0</v>
      </c>
      <c r="X273" s="44">
        <v>0</v>
      </c>
      <c r="Y273" s="49"/>
      <c r="AA273" s="15" t="s">
        <v>18</v>
      </c>
      <c r="AB273" s="15" t="str">
        <f t="shared" si="4"/>
        <v>Lafayette CS - 133AL/MC</v>
      </c>
    </row>
    <row r="274" spans="1:28" ht="18" x14ac:dyDescent="0.25">
      <c r="A274" s="39" t="s">
        <v>144</v>
      </c>
      <c r="B274" s="39" t="s">
        <v>319</v>
      </c>
      <c r="C274" s="40" t="s">
        <v>320</v>
      </c>
      <c r="D274" s="39" t="s">
        <v>321</v>
      </c>
      <c r="E274" s="39" t="s">
        <v>322</v>
      </c>
      <c r="F274" s="41">
        <v>0</v>
      </c>
      <c r="G274" s="41">
        <v>0</v>
      </c>
      <c r="H274" s="41">
        <v>0</v>
      </c>
      <c r="I274" s="41">
        <v>-956.8</v>
      </c>
      <c r="J274" s="42">
        <v>0</v>
      </c>
      <c r="K274" s="43">
        <v>0</v>
      </c>
      <c r="L274" s="41">
        <v>0</v>
      </c>
      <c r="M274" s="44">
        <v>0</v>
      </c>
      <c r="N274" s="45">
        <v>0</v>
      </c>
      <c r="O274" s="46">
        <v>0</v>
      </c>
      <c r="P274" s="47">
        <v>0</v>
      </c>
      <c r="Q274" s="43">
        <v>0</v>
      </c>
      <c r="R274" s="41">
        <v>0</v>
      </c>
      <c r="S274" s="44">
        <v>0</v>
      </c>
      <c r="T274" s="48">
        <v>0</v>
      </c>
      <c r="U274" s="46">
        <v>0</v>
      </c>
      <c r="V274" s="47">
        <v>0</v>
      </c>
      <c r="W274" s="43">
        <v>-983.87</v>
      </c>
      <c r="X274" s="44">
        <v>983.87</v>
      </c>
      <c r="Y274" s="49"/>
      <c r="AA274" s="15" t="s">
        <v>18</v>
      </c>
      <c r="AB274" s="15" t="str">
        <f t="shared" si="4"/>
        <v>Lafayette SL - 5162AL/MC</v>
      </c>
    </row>
    <row r="275" spans="1:28" ht="18" x14ac:dyDescent="0.25">
      <c r="A275" s="39" t="s">
        <v>149</v>
      </c>
      <c r="B275" s="39" t="s">
        <v>319</v>
      </c>
      <c r="C275" s="40" t="s">
        <v>320</v>
      </c>
      <c r="D275" s="39" t="s">
        <v>321</v>
      </c>
      <c r="E275" s="39" t="s">
        <v>322</v>
      </c>
      <c r="F275" s="41">
        <v>-4424.9799999999996</v>
      </c>
      <c r="G275" s="41">
        <v>-6918.61</v>
      </c>
      <c r="H275" s="41">
        <v>-5502.57</v>
      </c>
      <c r="I275" s="41">
        <v>-7091.15</v>
      </c>
      <c r="J275" s="42">
        <v>-3152.68</v>
      </c>
      <c r="K275" s="43">
        <v>-2512.58</v>
      </c>
      <c r="L275" s="41">
        <v>-1766.9196666667001</v>
      </c>
      <c r="M275" s="44">
        <v>-745.66033333329995</v>
      </c>
      <c r="N275" s="45">
        <v>-12.819285000000001</v>
      </c>
      <c r="O275" s="46">
        <v>-9.1005604487744201</v>
      </c>
      <c r="P275" s="47">
        <v>-3.7187245512255802</v>
      </c>
      <c r="Q275" s="43">
        <v>-5665.26</v>
      </c>
      <c r="R275" s="41">
        <v>-3588.4863333333001</v>
      </c>
      <c r="S275" s="44">
        <v>-2076.7736666667001</v>
      </c>
      <c r="T275" s="48">
        <v>-13.456674</v>
      </c>
      <c r="U275" s="46">
        <v>-8.7713946243995</v>
      </c>
      <c r="V275" s="47">
        <v>-4.6852793756004996</v>
      </c>
      <c r="W275" s="43">
        <v>0</v>
      </c>
      <c r="X275" s="44">
        <v>-5665.26</v>
      </c>
      <c r="Y275" s="49"/>
      <c r="AA275" s="15" t="s">
        <v>18</v>
      </c>
      <c r="AB275" s="15" t="str">
        <f t="shared" si="4"/>
        <v>Lapeer - 2506AL/MC</v>
      </c>
    </row>
    <row r="276" spans="1:28" ht="18" x14ac:dyDescent="0.25">
      <c r="A276" s="39" t="s">
        <v>151</v>
      </c>
      <c r="B276" s="39" t="s">
        <v>319</v>
      </c>
      <c r="C276" s="40" t="s">
        <v>320</v>
      </c>
      <c r="D276" s="39" t="s">
        <v>321</v>
      </c>
      <c r="E276" s="39" t="s">
        <v>322</v>
      </c>
      <c r="F276" s="41">
        <v>-7146.67</v>
      </c>
      <c r="G276" s="41">
        <v>-3854.27</v>
      </c>
      <c r="H276" s="41">
        <v>-4480</v>
      </c>
      <c r="I276" s="41">
        <v>-4480</v>
      </c>
      <c r="J276" s="42">
        <v>-4480</v>
      </c>
      <c r="K276" s="43">
        <v>-4480</v>
      </c>
      <c r="L276" s="41">
        <v>-4345.6000000000004</v>
      </c>
      <c r="M276" s="44">
        <v>-134.4</v>
      </c>
      <c r="N276" s="45">
        <v>-14.545453999999999</v>
      </c>
      <c r="O276" s="46">
        <v>-16.778378378378399</v>
      </c>
      <c r="P276" s="47">
        <v>2.2329243783783799</v>
      </c>
      <c r="Q276" s="43">
        <v>-8960</v>
      </c>
      <c r="R276" s="41">
        <v>-8825.6</v>
      </c>
      <c r="S276" s="44">
        <v>-134.4</v>
      </c>
      <c r="T276" s="48">
        <v>-14.428341</v>
      </c>
      <c r="U276" s="46">
        <v>-16.4044609665428</v>
      </c>
      <c r="V276" s="47">
        <v>1.97611996654275</v>
      </c>
      <c r="W276" s="43">
        <v>0</v>
      </c>
      <c r="X276" s="44">
        <v>-8960</v>
      </c>
      <c r="Y276" s="49"/>
      <c r="AA276" s="15" t="s">
        <v>18</v>
      </c>
      <c r="AB276" s="15" t="str">
        <f t="shared" si="4"/>
        <v>Lebanon - 104AL/MC</v>
      </c>
    </row>
    <row r="277" spans="1:28" ht="18" x14ac:dyDescent="0.25">
      <c r="A277" s="39" t="s">
        <v>159</v>
      </c>
      <c r="B277" s="39" t="s">
        <v>319</v>
      </c>
      <c r="C277" s="40" t="s">
        <v>320</v>
      </c>
      <c r="D277" s="39" t="s">
        <v>321</v>
      </c>
      <c r="E277" s="39" t="s">
        <v>322</v>
      </c>
      <c r="F277" s="41">
        <v>-3000</v>
      </c>
      <c r="G277" s="41">
        <v>0</v>
      </c>
      <c r="H277" s="41">
        <v>0</v>
      </c>
      <c r="I277" s="41">
        <v>0</v>
      </c>
      <c r="J277" s="42">
        <v>0</v>
      </c>
      <c r="K277" s="43">
        <v>0</v>
      </c>
      <c r="L277" s="41">
        <v>-261.89999999999998</v>
      </c>
      <c r="M277" s="44">
        <v>261.89999999999998</v>
      </c>
      <c r="N277" s="45">
        <v>0</v>
      </c>
      <c r="O277" s="46">
        <v>-0.47164615603530002</v>
      </c>
      <c r="P277" s="47">
        <v>0.47164615603530002</v>
      </c>
      <c r="Q277" s="43">
        <v>0</v>
      </c>
      <c r="R277" s="41">
        <v>-531.9</v>
      </c>
      <c r="S277" s="44">
        <v>531.9</v>
      </c>
      <c r="T277" s="48">
        <v>0</v>
      </c>
      <c r="U277" s="46">
        <v>-0.454586789566785</v>
      </c>
      <c r="V277" s="47">
        <v>0.454586789566785</v>
      </c>
      <c r="W277" s="43">
        <v>0</v>
      </c>
      <c r="X277" s="44">
        <v>0</v>
      </c>
      <c r="Y277" s="49"/>
      <c r="AA277" s="15" t="s">
        <v>18</v>
      </c>
      <c r="AB277" s="15" t="str">
        <f t="shared" si="4"/>
        <v>Lexington WH - 2146AL/MC</v>
      </c>
    </row>
    <row r="278" spans="1:28" ht="18" x14ac:dyDescent="0.25">
      <c r="A278" s="39" t="s">
        <v>161</v>
      </c>
      <c r="B278" s="39" t="s">
        <v>319</v>
      </c>
      <c r="C278" s="40" t="s">
        <v>320</v>
      </c>
      <c r="D278" s="39" t="s">
        <v>321</v>
      </c>
      <c r="E278" s="39" t="s">
        <v>322</v>
      </c>
      <c r="F278" s="41">
        <v>0</v>
      </c>
      <c r="G278" s="41">
        <v>0</v>
      </c>
      <c r="H278" s="41">
        <v>0</v>
      </c>
      <c r="I278" s="41">
        <v>0</v>
      </c>
      <c r="J278" s="42">
        <v>-592.26</v>
      </c>
      <c r="K278" s="43">
        <v>-180</v>
      </c>
      <c r="L278" s="41">
        <v>0</v>
      </c>
      <c r="M278" s="44">
        <v>-180</v>
      </c>
      <c r="N278" s="45">
        <v>-0.44664999999999999</v>
      </c>
      <c r="O278" s="46">
        <v>0</v>
      </c>
      <c r="P278" s="47">
        <v>-0.44664999999999999</v>
      </c>
      <c r="Q278" s="43">
        <v>-772.26</v>
      </c>
      <c r="R278" s="41">
        <v>0</v>
      </c>
      <c r="S278" s="44">
        <v>-772.26</v>
      </c>
      <c r="T278" s="48">
        <v>-0.92819700000000005</v>
      </c>
      <c r="U278" s="46">
        <v>0</v>
      </c>
      <c r="V278" s="47">
        <v>-0.92819700000000005</v>
      </c>
      <c r="W278" s="43">
        <v>0</v>
      </c>
      <c r="X278" s="44">
        <v>-772.26</v>
      </c>
      <c r="Y278" s="49"/>
      <c r="AA278" s="15" t="s">
        <v>18</v>
      </c>
      <c r="AB278" s="15" t="str">
        <f t="shared" si="4"/>
        <v>Liberty Township - 441AL/MC</v>
      </c>
    </row>
    <row r="279" spans="1:28" ht="18" x14ac:dyDescent="0.25">
      <c r="A279" s="39" t="s">
        <v>163</v>
      </c>
      <c r="B279" s="39" t="s">
        <v>319</v>
      </c>
      <c r="C279" s="40" t="s">
        <v>320</v>
      </c>
      <c r="D279" s="39" t="s">
        <v>321</v>
      </c>
      <c r="E279" s="39" t="s">
        <v>322</v>
      </c>
      <c r="F279" s="41">
        <v>900</v>
      </c>
      <c r="G279" s="41">
        <v>-3000</v>
      </c>
      <c r="H279" s="41">
        <v>0</v>
      </c>
      <c r="I279" s="41">
        <v>0</v>
      </c>
      <c r="J279" s="42">
        <v>0</v>
      </c>
      <c r="K279" s="43">
        <v>0</v>
      </c>
      <c r="L279" s="41">
        <v>0</v>
      </c>
      <c r="M279" s="44">
        <v>0</v>
      </c>
      <c r="N279" s="45">
        <v>0</v>
      </c>
      <c r="O279" s="46">
        <v>0</v>
      </c>
      <c r="P279" s="47">
        <v>0</v>
      </c>
      <c r="Q279" s="43">
        <v>0</v>
      </c>
      <c r="R279" s="41">
        <v>0</v>
      </c>
      <c r="S279" s="44">
        <v>0</v>
      </c>
      <c r="T279" s="48">
        <v>0</v>
      </c>
      <c r="U279" s="46">
        <v>0</v>
      </c>
      <c r="V279" s="47">
        <v>0</v>
      </c>
      <c r="W279" s="43">
        <v>0</v>
      </c>
      <c r="X279" s="44">
        <v>0</v>
      </c>
      <c r="Y279" s="49"/>
      <c r="AA279" s="15" t="s">
        <v>18</v>
      </c>
      <c r="AB279" s="15" t="str">
        <f t="shared" si="4"/>
        <v>Lima SL - 433AL/MC</v>
      </c>
    </row>
    <row r="280" spans="1:28" ht="18" x14ac:dyDescent="0.25">
      <c r="A280" s="39" t="s">
        <v>166</v>
      </c>
      <c r="B280" s="39" t="s">
        <v>319</v>
      </c>
      <c r="C280" s="40" t="s">
        <v>320</v>
      </c>
      <c r="D280" s="39" t="s">
        <v>321</v>
      </c>
      <c r="E280" s="39" t="s">
        <v>322</v>
      </c>
      <c r="F280" s="41">
        <v>-1500</v>
      </c>
      <c r="G280" s="41">
        <v>-1500</v>
      </c>
      <c r="H280" s="41">
        <v>0</v>
      </c>
      <c r="I280" s="41">
        <v>-555.48</v>
      </c>
      <c r="J280" s="42">
        <v>-968.7</v>
      </c>
      <c r="K280" s="43">
        <v>-630</v>
      </c>
      <c r="L280" s="41">
        <v>-3426.4053666667</v>
      </c>
      <c r="M280" s="44">
        <v>2796.4053666667</v>
      </c>
      <c r="N280" s="45">
        <v>-0.36885200000000001</v>
      </c>
      <c r="O280" s="46">
        <v>-2.1468705304929201</v>
      </c>
      <c r="P280" s="47">
        <v>1.7780185304929199</v>
      </c>
      <c r="Q280" s="43">
        <v>-1598.7</v>
      </c>
      <c r="R280" s="41">
        <v>-6958.7820333333002</v>
      </c>
      <c r="S280" s="44">
        <v>5360.0820333333004</v>
      </c>
      <c r="T280" s="48">
        <v>-0.45546999999999999</v>
      </c>
      <c r="U280" s="46">
        <v>-2.06921856477351</v>
      </c>
      <c r="V280" s="47">
        <v>1.6137485647735099</v>
      </c>
      <c r="W280" s="43">
        <v>132.38999999999999</v>
      </c>
      <c r="X280" s="44">
        <v>-1731.09</v>
      </c>
      <c r="Y280" s="49"/>
      <c r="AA280" s="15" t="s">
        <v>18</v>
      </c>
      <c r="AB280" s="15" t="str">
        <f t="shared" si="4"/>
        <v>Louisville ES - 210AL/MC</v>
      </c>
    </row>
    <row r="281" spans="1:28" ht="18" x14ac:dyDescent="0.25">
      <c r="A281" s="39" t="s">
        <v>176</v>
      </c>
      <c r="B281" s="39" t="s">
        <v>319</v>
      </c>
      <c r="C281" s="40" t="s">
        <v>320</v>
      </c>
      <c r="D281" s="39" t="s">
        <v>321</v>
      </c>
      <c r="E281" s="39" t="s">
        <v>322</v>
      </c>
      <c r="F281" s="41">
        <v>-333.33</v>
      </c>
      <c r="G281" s="41">
        <v>-698.93</v>
      </c>
      <c r="H281" s="41">
        <v>0</v>
      </c>
      <c r="I281" s="41">
        <v>0</v>
      </c>
      <c r="J281" s="42">
        <v>0</v>
      </c>
      <c r="K281" s="43">
        <v>0</v>
      </c>
      <c r="L281" s="41">
        <v>-248.00421111110001</v>
      </c>
      <c r="M281" s="44">
        <v>248.00421111110001</v>
      </c>
      <c r="N281" s="45">
        <v>0</v>
      </c>
      <c r="O281" s="46">
        <v>-0.63315923361510795</v>
      </c>
      <c r="P281" s="47">
        <v>0.63315923361510795</v>
      </c>
      <c r="Q281" s="43">
        <v>0</v>
      </c>
      <c r="R281" s="41">
        <v>-503.67865555560002</v>
      </c>
      <c r="S281" s="44">
        <v>503.67865555560002</v>
      </c>
      <c r="T281" s="48">
        <v>0</v>
      </c>
      <c r="U281" s="46">
        <v>-0.61025796481240602</v>
      </c>
      <c r="V281" s="47">
        <v>0.61025796481240602</v>
      </c>
      <c r="W281" s="43">
        <v>0</v>
      </c>
      <c r="X281" s="44">
        <v>0</v>
      </c>
      <c r="Y281" s="49"/>
      <c r="AA281" s="15" t="s">
        <v>18</v>
      </c>
      <c r="AB281" s="15" t="str">
        <f t="shared" si="4"/>
        <v>Louisville WS - 190AL/MC</v>
      </c>
    </row>
    <row r="282" spans="1:28" ht="18" x14ac:dyDescent="0.25">
      <c r="A282" s="39" t="s">
        <v>181</v>
      </c>
      <c r="B282" s="39" t="s">
        <v>319</v>
      </c>
      <c r="C282" s="40" t="s">
        <v>320</v>
      </c>
      <c r="D282" s="39" t="s">
        <v>321</v>
      </c>
      <c r="E282" s="39" t="s">
        <v>322</v>
      </c>
      <c r="F282" s="41">
        <v>0</v>
      </c>
      <c r="G282" s="41">
        <v>0</v>
      </c>
      <c r="H282" s="41">
        <v>0</v>
      </c>
      <c r="I282" s="41">
        <v>0</v>
      </c>
      <c r="J282" s="42">
        <v>0</v>
      </c>
      <c r="K282" s="43">
        <v>-3000</v>
      </c>
      <c r="L282" s="41">
        <v>-296.67773333330001</v>
      </c>
      <c r="M282" s="44">
        <v>-2703.3222666667002</v>
      </c>
      <c r="N282" s="45">
        <v>-8.5959880000000002</v>
      </c>
      <c r="O282" s="46">
        <v>-1.01393620414662</v>
      </c>
      <c r="P282" s="47">
        <v>-7.5820517958533804</v>
      </c>
      <c r="Q282" s="43">
        <v>-3000</v>
      </c>
      <c r="R282" s="41">
        <v>-602.53106666669999</v>
      </c>
      <c r="S282" s="44">
        <v>-2397.4689333332999</v>
      </c>
      <c r="T282" s="48">
        <v>-4.1039669999999999</v>
      </c>
      <c r="U282" s="46">
        <v>-0.97726229286627198</v>
      </c>
      <c r="V282" s="47">
        <v>-3.1267047071337299</v>
      </c>
      <c r="W282" s="43">
        <v>0</v>
      </c>
      <c r="X282" s="44">
        <v>-3000</v>
      </c>
      <c r="Y282" s="49"/>
      <c r="AA282" s="15" t="s">
        <v>18</v>
      </c>
      <c r="AB282" s="15" t="str">
        <f t="shared" si="4"/>
        <v>Lowell - 156AL/MC</v>
      </c>
    </row>
    <row r="283" spans="1:28" ht="18" x14ac:dyDescent="0.25">
      <c r="A283" s="39" t="s">
        <v>182</v>
      </c>
      <c r="B283" s="39" t="s">
        <v>319</v>
      </c>
      <c r="C283" s="40" t="s">
        <v>320</v>
      </c>
      <c r="D283" s="39" t="s">
        <v>321</v>
      </c>
      <c r="E283" s="39" t="s">
        <v>322</v>
      </c>
      <c r="F283" s="41">
        <v>-41.66</v>
      </c>
      <c r="G283" s="41">
        <v>-41.66</v>
      </c>
      <c r="H283" s="41">
        <v>-41.66</v>
      </c>
      <c r="I283" s="41">
        <v>-41.66</v>
      </c>
      <c r="J283" s="42">
        <v>-293.92</v>
      </c>
      <c r="K283" s="43">
        <v>-359.34</v>
      </c>
      <c r="L283" s="41">
        <v>-40.410200000000003</v>
      </c>
      <c r="M283" s="44">
        <v>-318.9298</v>
      </c>
      <c r="N283" s="45">
        <v>-0.47095599999999999</v>
      </c>
      <c r="O283" s="46">
        <v>-5.2731597423753801E-2</v>
      </c>
      <c r="P283" s="47">
        <v>-0.41822440257624599</v>
      </c>
      <c r="Q283" s="43">
        <v>-653.26</v>
      </c>
      <c r="R283" s="41">
        <v>-82.0702</v>
      </c>
      <c r="S283" s="44">
        <v>-571.18979999999999</v>
      </c>
      <c r="T283" s="48">
        <v>-0.40077299999999999</v>
      </c>
      <c r="U283" s="46">
        <v>-5.0824303929656797E-2</v>
      </c>
      <c r="V283" s="47">
        <v>-0.34994869607034301</v>
      </c>
      <c r="W283" s="43">
        <v>-41.66</v>
      </c>
      <c r="X283" s="44">
        <v>-611.6</v>
      </c>
      <c r="Y283" s="49"/>
      <c r="AA283" s="15" t="s">
        <v>18</v>
      </c>
      <c r="AB283" s="15" t="str">
        <f t="shared" si="4"/>
        <v>Macomb - 2508AL/MC</v>
      </c>
    </row>
    <row r="284" spans="1:28" ht="18" x14ac:dyDescent="0.25">
      <c r="A284" s="39" t="s">
        <v>184</v>
      </c>
      <c r="B284" s="39" t="s">
        <v>319</v>
      </c>
      <c r="C284" s="40" t="s">
        <v>320</v>
      </c>
      <c r="D284" s="39" t="s">
        <v>321</v>
      </c>
      <c r="E284" s="39" t="s">
        <v>322</v>
      </c>
      <c r="F284" s="41">
        <v>-1320</v>
      </c>
      <c r="G284" s="41">
        <v>-42.58</v>
      </c>
      <c r="H284" s="41">
        <v>-1320</v>
      </c>
      <c r="I284" s="41">
        <v>0</v>
      </c>
      <c r="J284" s="42">
        <v>0</v>
      </c>
      <c r="K284" s="43">
        <v>0</v>
      </c>
      <c r="L284" s="41">
        <v>0</v>
      </c>
      <c r="M284" s="44">
        <v>0</v>
      </c>
      <c r="N284" s="45">
        <v>0</v>
      </c>
      <c r="O284" s="46">
        <v>0</v>
      </c>
      <c r="P284" s="47">
        <v>0</v>
      </c>
      <c r="Q284" s="43">
        <v>0</v>
      </c>
      <c r="R284" s="41">
        <v>0</v>
      </c>
      <c r="S284" s="44">
        <v>0</v>
      </c>
      <c r="T284" s="48">
        <v>0</v>
      </c>
      <c r="U284" s="46">
        <v>0</v>
      </c>
      <c r="V284" s="47">
        <v>0</v>
      </c>
      <c r="W284" s="43">
        <v>0</v>
      </c>
      <c r="X284" s="44">
        <v>0</v>
      </c>
      <c r="Y284" s="49"/>
      <c r="AA284" s="15" t="s">
        <v>18</v>
      </c>
      <c r="AB284" s="15" t="str">
        <f t="shared" si="4"/>
        <v>Miami Township - 440AL/MC</v>
      </c>
    </row>
    <row r="285" spans="1:28" ht="18" x14ac:dyDescent="0.25">
      <c r="A285" s="39" t="s">
        <v>185</v>
      </c>
      <c r="B285" s="39" t="s">
        <v>319</v>
      </c>
      <c r="C285" s="40" t="s">
        <v>320</v>
      </c>
      <c r="D285" s="39" t="s">
        <v>321</v>
      </c>
      <c r="E285" s="39" t="s">
        <v>322</v>
      </c>
      <c r="F285" s="41">
        <v>-5320.2</v>
      </c>
      <c r="G285" s="41">
        <v>-1450</v>
      </c>
      <c r="H285" s="41">
        <v>-1390</v>
      </c>
      <c r="I285" s="41">
        <v>-1570</v>
      </c>
      <c r="J285" s="42">
        <v>-2664</v>
      </c>
      <c r="K285" s="43">
        <v>-1604.57</v>
      </c>
      <c r="L285" s="41">
        <v>-1522.9</v>
      </c>
      <c r="M285" s="44">
        <v>-81.669999999999803</v>
      </c>
      <c r="N285" s="45">
        <v>-2.1920350000000002</v>
      </c>
      <c r="O285" s="46">
        <v>-2.0387401041719801</v>
      </c>
      <c r="P285" s="47">
        <v>-0.153294895828019</v>
      </c>
      <c r="Q285" s="43">
        <v>-4268.57</v>
      </c>
      <c r="R285" s="41">
        <v>-3092.9</v>
      </c>
      <c r="S285" s="44">
        <v>-1175.67</v>
      </c>
      <c r="T285" s="48">
        <v>-2.7171029999999998</v>
      </c>
      <c r="U285" s="46">
        <v>-1.96499919877908</v>
      </c>
      <c r="V285" s="47">
        <v>-0.75210380122092402</v>
      </c>
      <c r="W285" s="43">
        <v>-1000</v>
      </c>
      <c r="X285" s="44">
        <v>-3268.57</v>
      </c>
      <c r="Y285" s="49"/>
      <c r="AA285" s="15" t="s">
        <v>18</v>
      </c>
      <c r="AB285" s="15" t="str">
        <f t="shared" si="4"/>
        <v>Monclova - 2422AL/MC</v>
      </c>
    </row>
    <row r="286" spans="1:28" ht="18" x14ac:dyDescent="0.25">
      <c r="A286" s="39" t="s">
        <v>186</v>
      </c>
      <c r="B286" s="39" t="s">
        <v>319</v>
      </c>
      <c r="C286" s="40" t="s">
        <v>320</v>
      </c>
      <c r="D286" s="39" t="s">
        <v>321</v>
      </c>
      <c r="E286" s="39" t="s">
        <v>322</v>
      </c>
      <c r="F286" s="41">
        <v>-5284</v>
      </c>
      <c r="G286" s="41">
        <v>-13251.09</v>
      </c>
      <c r="H286" s="41">
        <v>-9464</v>
      </c>
      <c r="I286" s="41">
        <v>-5464</v>
      </c>
      <c r="J286" s="42">
        <v>-8653.68</v>
      </c>
      <c r="K286" s="43">
        <v>-7665.86</v>
      </c>
      <c r="L286" s="41">
        <v>-5979.9282111110997</v>
      </c>
      <c r="M286" s="44">
        <v>-1685.9317888889</v>
      </c>
      <c r="N286" s="45">
        <v>-10.935606</v>
      </c>
      <c r="O286" s="46">
        <v>-7.9684764501358396</v>
      </c>
      <c r="P286" s="47">
        <v>-2.9671295498641599</v>
      </c>
      <c r="Q286" s="43">
        <v>-16319.54</v>
      </c>
      <c r="R286" s="41">
        <v>-12144.802655555501</v>
      </c>
      <c r="S286" s="44">
        <v>-4174.7373444445002</v>
      </c>
      <c r="T286" s="48">
        <v>-10.569649999999999</v>
      </c>
      <c r="U286" s="46">
        <v>-7.6802579239820403</v>
      </c>
      <c r="V286" s="47">
        <v>-2.8893920760179599</v>
      </c>
      <c r="W286" s="43">
        <v>-9006.52</v>
      </c>
      <c r="X286" s="44">
        <v>-7313.02</v>
      </c>
      <c r="Y286" s="49"/>
      <c r="AA286" s="15" t="s">
        <v>18</v>
      </c>
      <c r="AB286" s="15" t="str">
        <f t="shared" si="4"/>
        <v>Monticello - 140AL/MC</v>
      </c>
    </row>
    <row r="287" spans="1:28" ht="18" x14ac:dyDescent="0.25">
      <c r="A287" s="39" t="s">
        <v>189</v>
      </c>
      <c r="B287" s="39" t="s">
        <v>319</v>
      </c>
      <c r="C287" s="40" t="s">
        <v>320</v>
      </c>
      <c r="D287" s="39" t="s">
        <v>321</v>
      </c>
      <c r="E287" s="39" t="s">
        <v>322</v>
      </c>
      <c r="F287" s="41">
        <v>-300</v>
      </c>
      <c r="G287" s="41">
        <v>-300</v>
      </c>
      <c r="H287" s="41">
        <v>0</v>
      </c>
      <c r="I287" s="41">
        <v>-1140</v>
      </c>
      <c r="J287" s="42">
        <v>0</v>
      </c>
      <c r="K287" s="43">
        <v>0</v>
      </c>
      <c r="L287" s="41">
        <v>-482.91342222219998</v>
      </c>
      <c r="M287" s="44">
        <v>482.91342222219998</v>
      </c>
      <c r="N287" s="45">
        <v>0</v>
      </c>
      <c r="O287" s="46">
        <v>-1.5413432806621901</v>
      </c>
      <c r="P287" s="47">
        <v>1.5413432806621901</v>
      </c>
      <c r="Q287" s="43">
        <v>0</v>
      </c>
      <c r="R287" s="41">
        <v>-980.76231111109996</v>
      </c>
      <c r="S287" s="44">
        <v>980.76231111109996</v>
      </c>
      <c r="T287" s="48">
        <v>0</v>
      </c>
      <c r="U287" s="46">
        <v>-1.4855931392858499</v>
      </c>
      <c r="V287" s="47">
        <v>1.4855931392858499</v>
      </c>
      <c r="W287" s="43">
        <v>0</v>
      </c>
      <c r="X287" s="44">
        <v>0</v>
      </c>
      <c r="Y287" s="49"/>
      <c r="AA287" s="15" t="s">
        <v>18</v>
      </c>
      <c r="AB287" s="15" t="str">
        <f t="shared" si="4"/>
        <v>Mount Washington - 176AL/MC</v>
      </c>
    </row>
    <row r="288" spans="1:28" ht="18" x14ac:dyDescent="0.25">
      <c r="A288" s="39" t="s">
        <v>190</v>
      </c>
      <c r="B288" s="39" t="s">
        <v>319</v>
      </c>
      <c r="C288" s="40" t="s">
        <v>320</v>
      </c>
      <c r="D288" s="39" t="s">
        <v>321</v>
      </c>
      <c r="E288" s="39" t="s">
        <v>322</v>
      </c>
      <c r="F288" s="41">
        <v>-60</v>
      </c>
      <c r="G288" s="41">
        <v>-290</v>
      </c>
      <c r="H288" s="41">
        <v>0</v>
      </c>
      <c r="I288" s="41">
        <v>-344.67</v>
      </c>
      <c r="J288" s="42">
        <v>-380</v>
      </c>
      <c r="K288" s="43">
        <v>-380</v>
      </c>
      <c r="L288" s="41">
        <v>0</v>
      </c>
      <c r="M288" s="44">
        <v>-380</v>
      </c>
      <c r="N288" s="45">
        <v>-0.48531200000000002</v>
      </c>
      <c r="O288" s="46">
        <v>0</v>
      </c>
      <c r="P288" s="47">
        <v>-0.48531200000000002</v>
      </c>
      <c r="Q288" s="43">
        <v>-760</v>
      </c>
      <c r="R288" s="41">
        <v>0</v>
      </c>
      <c r="S288" s="44">
        <v>-760</v>
      </c>
      <c r="T288" s="48">
        <v>-0.45618199999999998</v>
      </c>
      <c r="U288" s="46">
        <v>0</v>
      </c>
      <c r="V288" s="47">
        <v>-0.45618199999999998</v>
      </c>
      <c r="W288" s="43">
        <v>0</v>
      </c>
      <c r="X288" s="44">
        <v>-760</v>
      </c>
      <c r="Y288" s="49"/>
      <c r="AA288" s="15" t="s">
        <v>18</v>
      </c>
      <c r="AB288" s="15" t="str">
        <f t="shared" si="4"/>
        <v>Muncie - 128AL/MC</v>
      </c>
    </row>
    <row r="289" spans="1:28" ht="18" x14ac:dyDescent="0.25">
      <c r="A289" s="39" t="s">
        <v>193</v>
      </c>
      <c r="B289" s="39" t="s">
        <v>319</v>
      </c>
      <c r="C289" s="40" t="s">
        <v>320</v>
      </c>
      <c r="D289" s="39" t="s">
        <v>321</v>
      </c>
      <c r="E289" s="39" t="s">
        <v>322</v>
      </c>
      <c r="F289" s="41">
        <v>-262.66000000000003</v>
      </c>
      <c r="G289" s="41">
        <v>-2061</v>
      </c>
      <c r="H289" s="41">
        <v>-870</v>
      </c>
      <c r="I289" s="41">
        <v>-1615.9</v>
      </c>
      <c r="J289" s="42">
        <v>-1191.58</v>
      </c>
      <c r="K289" s="43">
        <v>-549</v>
      </c>
      <c r="L289" s="41">
        <v>-1024.1755777778001</v>
      </c>
      <c r="M289" s="44">
        <v>475.17557777780002</v>
      </c>
      <c r="N289" s="45">
        <v>-1.4149480000000001</v>
      </c>
      <c r="O289" s="46">
        <v>-3.9914569643667801</v>
      </c>
      <c r="P289" s="47">
        <v>2.5765089643667798</v>
      </c>
      <c r="Q289" s="43">
        <v>-1740.58</v>
      </c>
      <c r="R289" s="41">
        <v>-2080.0266888889</v>
      </c>
      <c r="S289" s="44">
        <v>339.44668888889998</v>
      </c>
      <c r="T289" s="48">
        <v>-2.2088570000000001</v>
      </c>
      <c r="U289" s="46">
        <v>-3.84708660063722</v>
      </c>
      <c r="V289" s="47">
        <v>1.6382296006372199</v>
      </c>
      <c r="W289" s="43">
        <v>-560</v>
      </c>
      <c r="X289" s="44">
        <v>-1180.58</v>
      </c>
      <c r="Y289" s="49"/>
      <c r="AA289" s="15" t="s">
        <v>18</v>
      </c>
      <c r="AB289" s="15" t="str">
        <f t="shared" si="4"/>
        <v>Muskegon - 525AL/MC</v>
      </c>
    </row>
    <row r="290" spans="1:28" ht="18" x14ac:dyDescent="0.25">
      <c r="A290" s="39" t="s">
        <v>195</v>
      </c>
      <c r="B290" s="39" t="s">
        <v>319</v>
      </c>
      <c r="C290" s="40" t="s">
        <v>320</v>
      </c>
      <c r="D290" s="39" t="s">
        <v>321</v>
      </c>
      <c r="E290" s="39" t="s">
        <v>322</v>
      </c>
      <c r="F290" s="41">
        <v>-1383.33</v>
      </c>
      <c r="G290" s="41">
        <v>0</v>
      </c>
      <c r="H290" s="41">
        <v>-16900</v>
      </c>
      <c r="I290" s="41">
        <v>0</v>
      </c>
      <c r="J290" s="42">
        <v>-578.70000000000005</v>
      </c>
      <c r="K290" s="43">
        <v>-578.70000000000005</v>
      </c>
      <c r="L290" s="41">
        <v>0</v>
      </c>
      <c r="M290" s="44">
        <v>-578.70000000000005</v>
      </c>
      <c r="N290" s="45">
        <v>-0.93038500000000002</v>
      </c>
      <c r="O290" s="46">
        <v>0</v>
      </c>
      <c r="P290" s="47">
        <v>-0.93038500000000002</v>
      </c>
      <c r="Q290" s="43">
        <v>-1157.4000000000001</v>
      </c>
      <c r="R290" s="41">
        <v>0</v>
      </c>
      <c r="S290" s="44">
        <v>-1157.4000000000001</v>
      </c>
      <c r="T290" s="48">
        <v>-0.90990499999999996</v>
      </c>
      <c r="U290" s="46">
        <v>0</v>
      </c>
      <c r="V290" s="47">
        <v>-0.90990499999999996</v>
      </c>
      <c r="W290" s="43">
        <v>0</v>
      </c>
      <c r="X290" s="44">
        <v>-1157.4000000000001</v>
      </c>
      <c r="Y290" s="49"/>
      <c r="AA290" s="15" t="s">
        <v>18</v>
      </c>
      <c r="AB290" s="15" t="str">
        <f t="shared" si="4"/>
        <v>New Albany RC - 236AL/MC</v>
      </c>
    </row>
    <row r="291" spans="1:28" ht="18" x14ac:dyDescent="0.25">
      <c r="A291" s="39" t="s">
        <v>198</v>
      </c>
      <c r="B291" s="39" t="s">
        <v>319</v>
      </c>
      <c r="C291" s="40" t="s">
        <v>320</v>
      </c>
      <c r="D291" s="39" t="s">
        <v>321</v>
      </c>
      <c r="E291" s="39" t="s">
        <v>322</v>
      </c>
      <c r="F291" s="41">
        <v>-190</v>
      </c>
      <c r="G291" s="41">
        <v>-190</v>
      </c>
      <c r="H291" s="41">
        <v>-190</v>
      </c>
      <c r="I291" s="41">
        <v>-190</v>
      </c>
      <c r="J291" s="42">
        <v>0</v>
      </c>
      <c r="K291" s="43">
        <v>0</v>
      </c>
      <c r="L291" s="41">
        <v>0</v>
      </c>
      <c r="M291" s="44">
        <v>0</v>
      </c>
      <c r="N291" s="45">
        <v>0</v>
      </c>
      <c r="O291" s="46">
        <v>0</v>
      </c>
      <c r="P291" s="47">
        <v>0</v>
      </c>
      <c r="Q291" s="43">
        <v>0</v>
      </c>
      <c r="R291" s="41">
        <v>0</v>
      </c>
      <c r="S291" s="44">
        <v>0</v>
      </c>
      <c r="T291" s="48">
        <v>0</v>
      </c>
      <c r="U291" s="46">
        <v>0</v>
      </c>
      <c r="V291" s="47">
        <v>0</v>
      </c>
      <c r="W291" s="43">
        <v>0</v>
      </c>
      <c r="X291" s="44">
        <v>0</v>
      </c>
      <c r="Y291" s="49"/>
      <c r="AA291" s="15" t="s">
        <v>18</v>
      </c>
      <c r="AB291" s="15" t="str">
        <f t="shared" si="4"/>
        <v>New Albany SM - 438AL/MC</v>
      </c>
    </row>
    <row r="292" spans="1:28" ht="18" x14ac:dyDescent="0.25">
      <c r="A292" s="39" t="s">
        <v>201</v>
      </c>
      <c r="B292" s="39" t="s">
        <v>319</v>
      </c>
      <c r="C292" s="40" t="s">
        <v>320</v>
      </c>
      <c r="D292" s="39" t="s">
        <v>321</v>
      </c>
      <c r="E292" s="39" t="s">
        <v>322</v>
      </c>
      <c r="F292" s="41">
        <v>0</v>
      </c>
      <c r="G292" s="41">
        <v>-205.16</v>
      </c>
      <c r="H292" s="41">
        <v>-330</v>
      </c>
      <c r="I292" s="41">
        <v>-269.02999999999997</v>
      </c>
      <c r="J292" s="42">
        <v>0</v>
      </c>
      <c r="K292" s="43">
        <v>0</v>
      </c>
      <c r="L292" s="41">
        <v>-80.5832888889</v>
      </c>
      <c r="M292" s="44">
        <v>80.5832888889</v>
      </c>
      <c r="N292" s="45">
        <v>0</v>
      </c>
      <c r="O292" s="46">
        <v>-0.106869158325627</v>
      </c>
      <c r="P292" s="47">
        <v>0.106869158325627</v>
      </c>
      <c r="Q292" s="43">
        <v>0</v>
      </c>
      <c r="R292" s="41">
        <v>-163.65884444439999</v>
      </c>
      <c r="S292" s="44">
        <v>163.65884444439999</v>
      </c>
      <c r="T292" s="48">
        <v>0</v>
      </c>
      <c r="U292" s="46">
        <v>-0.103003717861946</v>
      </c>
      <c r="V292" s="47">
        <v>0.103003717861946</v>
      </c>
      <c r="W292" s="43">
        <v>0</v>
      </c>
      <c r="X292" s="44">
        <v>0</v>
      </c>
      <c r="Y292" s="49"/>
      <c r="AA292" s="15" t="s">
        <v>18</v>
      </c>
      <c r="AB292" s="15" t="str">
        <f t="shared" si="4"/>
        <v>Noblesville - 141AL/MC</v>
      </c>
    </row>
    <row r="293" spans="1:28" ht="18" x14ac:dyDescent="0.25">
      <c r="A293" s="39" t="s">
        <v>287</v>
      </c>
      <c r="B293" s="39" t="s">
        <v>319</v>
      </c>
      <c r="C293" s="40" t="s">
        <v>320</v>
      </c>
      <c r="D293" s="39" t="s">
        <v>321</v>
      </c>
      <c r="E293" s="39" t="s">
        <v>322</v>
      </c>
      <c r="F293" s="41">
        <v>0</v>
      </c>
      <c r="G293" s="41">
        <v>0</v>
      </c>
      <c r="H293" s="41">
        <v>0</v>
      </c>
      <c r="I293" s="41">
        <v>0</v>
      </c>
      <c r="J293" s="42">
        <v>0</v>
      </c>
      <c r="K293" s="43">
        <v>-3403.23</v>
      </c>
      <c r="L293" s="41">
        <v>0</v>
      </c>
      <c r="M293" s="44">
        <v>-3403.23</v>
      </c>
      <c r="N293" s="45">
        <v>-4.2807919999999999</v>
      </c>
      <c r="O293" s="46">
        <v>0</v>
      </c>
      <c r="P293" s="47">
        <v>-4.2807919999999999</v>
      </c>
      <c r="Q293" s="43">
        <v>-3403.23</v>
      </c>
      <c r="R293" s="41">
        <v>0</v>
      </c>
      <c r="S293" s="44">
        <v>-3403.23</v>
      </c>
      <c r="T293" s="48">
        <v>-2.0538500000000002</v>
      </c>
      <c r="U293" s="46">
        <v>0</v>
      </c>
      <c r="V293" s="47">
        <v>-2.0538500000000002</v>
      </c>
      <c r="W293" s="43">
        <v>0</v>
      </c>
      <c r="X293" s="44">
        <v>-3403.23</v>
      </c>
      <c r="Y293" s="49"/>
      <c r="AA293" s="15" t="s">
        <v>18</v>
      </c>
      <c r="AB293" s="15" t="str">
        <f t="shared" si="4"/>
        <v>Perrysburg KSL-0558AL/MC</v>
      </c>
    </row>
    <row r="294" spans="1:28" ht="18" x14ac:dyDescent="0.25">
      <c r="A294" s="39" t="s">
        <v>211</v>
      </c>
      <c r="B294" s="39" t="s">
        <v>319</v>
      </c>
      <c r="C294" s="40" t="s">
        <v>320</v>
      </c>
      <c r="D294" s="39" t="s">
        <v>321</v>
      </c>
      <c r="E294" s="39" t="s">
        <v>322</v>
      </c>
      <c r="F294" s="41">
        <v>0</v>
      </c>
      <c r="G294" s="41">
        <v>0</v>
      </c>
      <c r="H294" s="41">
        <v>500</v>
      </c>
      <c r="I294" s="41">
        <v>-1000</v>
      </c>
      <c r="J294" s="42">
        <v>0</v>
      </c>
      <c r="K294" s="43">
        <v>0</v>
      </c>
      <c r="L294" s="41">
        <v>0</v>
      </c>
      <c r="M294" s="44">
        <v>0</v>
      </c>
      <c r="N294" s="45">
        <v>0</v>
      </c>
      <c r="O294" s="46">
        <v>0</v>
      </c>
      <c r="P294" s="47">
        <v>0</v>
      </c>
      <c r="Q294" s="43">
        <v>0</v>
      </c>
      <c r="R294" s="41">
        <v>0</v>
      </c>
      <c r="S294" s="44">
        <v>0</v>
      </c>
      <c r="T294" s="48">
        <v>0</v>
      </c>
      <c r="U294" s="46">
        <v>0</v>
      </c>
      <c r="V294" s="47">
        <v>0</v>
      </c>
      <c r="W294" s="43">
        <v>0</v>
      </c>
      <c r="X294" s="44">
        <v>0</v>
      </c>
      <c r="Y294" s="49"/>
      <c r="AA294" s="15" t="s">
        <v>18</v>
      </c>
      <c r="AB294" s="15" t="str">
        <f t="shared" si="4"/>
        <v>Pickerington - 421AL/MC</v>
      </c>
    </row>
    <row r="295" spans="1:28" ht="18" x14ac:dyDescent="0.25">
      <c r="A295" s="39" t="s">
        <v>213</v>
      </c>
      <c r="B295" s="39" t="s">
        <v>319</v>
      </c>
      <c r="C295" s="40" t="s">
        <v>320</v>
      </c>
      <c r="D295" s="39" t="s">
        <v>321</v>
      </c>
      <c r="E295" s="39" t="s">
        <v>322</v>
      </c>
      <c r="F295" s="41">
        <v>0</v>
      </c>
      <c r="G295" s="41">
        <v>-8755.5</v>
      </c>
      <c r="H295" s="41">
        <v>-2020</v>
      </c>
      <c r="I295" s="41">
        <v>-2020</v>
      </c>
      <c r="J295" s="42">
        <v>0</v>
      </c>
      <c r="K295" s="43">
        <v>0</v>
      </c>
      <c r="L295" s="41">
        <v>0</v>
      </c>
      <c r="M295" s="44">
        <v>0</v>
      </c>
      <c r="N295" s="45">
        <v>0</v>
      </c>
      <c r="O295" s="46">
        <v>0</v>
      </c>
      <c r="P295" s="47">
        <v>0</v>
      </c>
      <c r="Q295" s="43">
        <v>0</v>
      </c>
      <c r="R295" s="41">
        <v>0</v>
      </c>
      <c r="S295" s="44">
        <v>0</v>
      </c>
      <c r="T295" s="48">
        <v>0</v>
      </c>
      <c r="U295" s="46">
        <v>0</v>
      </c>
      <c r="V295" s="47">
        <v>0</v>
      </c>
      <c r="W295" s="43">
        <v>0</v>
      </c>
      <c r="X295" s="44">
        <v>0</v>
      </c>
      <c r="Y295" s="49"/>
      <c r="AA295" s="15" t="s">
        <v>18</v>
      </c>
      <c r="AB295" s="15" t="str">
        <f t="shared" si="4"/>
        <v>Richmond FP - 123AL/MC</v>
      </c>
    </row>
    <row r="296" spans="1:28" ht="18" x14ac:dyDescent="0.25">
      <c r="A296" s="39" t="s">
        <v>215</v>
      </c>
      <c r="B296" s="39" t="s">
        <v>319</v>
      </c>
      <c r="C296" s="40" t="s">
        <v>320</v>
      </c>
      <c r="D296" s="39" t="s">
        <v>321</v>
      </c>
      <c r="E296" s="39" t="s">
        <v>322</v>
      </c>
      <c r="F296" s="41">
        <v>0</v>
      </c>
      <c r="G296" s="41">
        <v>-1500</v>
      </c>
      <c r="H296" s="41">
        <v>0</v>
      </c>
      <c r="I296" s="41">
        <v>0</v>
      </c>
      <c r="J296" s="42">
        <v>0</v>
      </c>
      <c r="K296" s="43">
        <v>-330.97</v>
      </c>
      <c r="L296" s="41">
        <v>0</v>
      </c>
      <c r="M296" s="44">
        <v>-330.97</v>
      </c>
      <c r="N296" s="45">
        <v>-0.41948000000000002</v>
      </c>
      <c r="O296" s="46">
        <v>0</v>
      </c>
      <c r="P296" s="47">
        <v>-0.41948000000000002</v>
      </c>
      <c r="Q296" s="43">
        <v>-330.97</v>
      </c>
      <c r="R296" s="41">
        <v>0</v>
      </c>
      <c r="S296" s="44">
        <v>-330.97</v>
      </c>
      <c r="T296" s="48">
        <v>-0.19700500000000001</v>
      </c>
      <c r="U296" s="46">
        <v>0</v>
      </c>
      <c r="V296" s="47">
        <v>-0.19700500000000001</v>
      </c>
      <c r="W296" s="43">
        <v>0</v>
      </c>
      <c r="X296" s="44">
        <v>-330.97</v>
      </c>
      <c r="Y296" s="49"/>
      <c r="AA296" s="15" t="s">
        <v>18</v>
      </c>
      <c r="AB296" s="15" t="str">
        <f t="shared" si="4"/>
        <v>Romeo - 2512AL/MC</v>
      </c>
    </row>
    <row r="297" spans="1:28" ht="18" x14ac:dyDescent="0.25">
      <c r="A297" s="39" t="s">
        <v>283</v>
      </c>
      <c r="B297" s="39" t="s">
        <v>319</v>
      </c>
      <c r="C297" s="40" t="s">
        <v>320</v>
      </c>
      <c r="D297" s="39" t="s">
        <v>321</v>
      </c>
      <c r="E297" s="39" t="s">
        <v>322</v>
      </c>
      <c r="F297" s="41">
        <v>0</v>
      </c>
      <c r="G297" s="41">
        <v>0</v>
      </c>
      <c r="H297" s="41">
        <v>0</v>
      </c>
      <c r="I297" s="41">
        <v>-58.06</v>
      </c>
      <c r="J297" s="42">
        <v>0</v>
      </c>
      <c r="K297" s="43">
        <v>0</v>
      </c>
      <c r="L297" s="41">
        <v>0</v>
      </c>
      <c r="M297" s="44">
        <v>0</v>
      </c>
      <c r="N297" s="45">
        <v>0</v>
      </c>
      <c r="O297" s="46">
        <v>0</v>
      </c>
      <c r="P297" s="47">
        <v>0</v>
      </c>
      <c r="Q297" s="43">
        <v>0</v>
      </c>
      <c r="R297" s="41">
        <v>0</v>
      </c>
      <c r="S297" s="44">
        <v>0</v>
      </c>
      <c r="T297" s="48">
        <v>0</v>
      </c>
      <c r="U297" s="46">
        <v>0</v>
      </c>
      <c r="V297" s="47">
        <v>0</v>
      </c>
      <c r="W297" s="43">
        <v>0</v>
      </c>
      <c r="X297" s="44">
        <v>0</v>
      </c>
      <c r="Y297" s="49"/>
      <c r="AA297" s="15" t="s">
        <v>18</v>
      </c>
      <c r="AB297" s="15" t="str">
        <f t="shared" si="4"/>
        <v>Santa Fe KRS-0564AL/MC</v>
      </c>
    </row>
    <row r="298" spans="1:28" ht="18" x14ac:dyDescent="0.25">
      <c r="A298" s="39" t="s">
        <v>219</v>
      </c>
      <c r="B298" s="39" t="s">
        <v>319</v>
      </c>
      <c r="C298" s="40" t="s">
        <v>320</v>
      </c>
      <c r="D298" s="39" t="s">
        <v>321</v>
      </c>
      <c r="E298" s="39" t="s">
        <v>322</v>
      </c>
      <c r="F298" s="41">
        <v>-1690</v>
      </c>
      <c r="G298" s="41">
        <v>-1690</v>
      </c>
      <c r="H298" s="41">
        <v>-1690</v>
      </c>
      <c r="I298" s="41">
        <v>-1690</v>
      </c>
      <c r="J298" s="42">
        <v>0</v>
      </c>
      <c r="K298" s="43">
        <v>0</v>
      </c>
      <c r="L298" s="41">
        <v>-1639.3</v>
      </c>
      <c r="M298" s="44">
        <v>1639.3</v>
      </c>
      <c r="N298" s="45">
        <v>0</v>
      </c>
      <c r="O298" s="46">
        <v>-5.6025290498974698</v>
      </c>
      <c r="P298" s="47">
        <v>5.6025290498974698</v>
      </c>
      <c r="Q298" s="43">
        <v>0</v>
      </c>
      <c r="R298" s="41">
        <v>-3329.3</v>
      </c>
      <c r="S298" s="44">
        <v>3329.3</v>
      </c>
      <c r="T298" s="48">
        <v>0</v>
      </c>
      <c r="U298" s="46">
        <v>-5.3998864650068903</v>
      </c>
      <c r="V298" s="47">
        <v>5.3998864650068903</v>
      </c>
      <c r="W298" s="43">
        <v>-4285.3599999999997</v>
      </c>
      <c r="X298" s="44">
        <v>4285.3599999999997</v>
      </c>
      <c r="Y298" s="49"/>
      <c r="AA298" s="15" t="s">
        <v>18</v>
      </c>
      <c r="AB298" s="15" t="str">
        <f t="shared" si="4"/>
        <v>Shelbyville - 118AL/MC</v>
      </c>
    </row>
    <row r="299" spans="1:28" ht="18" x14ac:dyDescent="0.25">
      <c r="A299" s="39" t="s">
        <v>220</v>
      </c>
      <c r="B299" s="39" t="s">
        <v>319</v>
      </c>
      <c r="C299" s="40" t="s">
        <v>320</v>
      </c>
      <c r="D299" s="39" t="s">
        <v>321</v>
      </c>
      <c r="E299" s="39" t="s">
        <v>322</v>
      </c>
      <c r="F299" s="41">
        <v>-12</v>
      </c>
      <c r="G299" s="41">
        <v>-483.87</v>
      </c>
      <c r="H299" s="41">
        <v>0</v>
      </c>
      <c r="I299" s="41">
        <v>0</v>
      </c>
      <c r="J299" s="42">
        <v>0</v>
      </c>
      <c r="K299" s="43">
        <v>0</v>
      </c>
      <c r="L299" s="41">
        <v>0</v>
      </c>
      <c r="M299" s="44">
        <v>0</v>
      </c>
      <c r="N299" s="45">
        <v>0</v>
      </c>
      <c r="O299" s="46">
        <v>0</v>
      </c>
      <c r="P299" s="47">
        <v>0</v>
      </c>
      <c r="Q299" s="43">
        <v>0</v>
      </c>
      <c r="R299" s="41">
        <v>0</v>
      </c>
      <c r="S299" s="44">
        <v>0</v>
      </c>
      <c r="T299" s="48">
        <v>0</v>
      </c>
      <c r="U299" s="46">
        <v>0</v>
      </c>
      <c r="V299" s="47">
        <v>0</v>
      </c>
      <c r="W299" s="43">
        <v>0</v>
      </c>
      <c r="X299" s="44">
        <v>0</v>
      </c>
      <c r="Y299" s="49"/>
      <c r="AA299" s="15" t="s">
        <v>18</v>
      </c>
      <c r="AB299" s="15" t="str">
        <f t="shared" si="4"/>
        <v>Shelbyville SF - 234AL/MC</v>
      </c>
    </row>
    <row r="300" spans="1:28" ht="18" x14ac:dyDescent="0.25">
      <c r="A300" s="39" t="s">
        <v>288</v>
      </c>
      <c r="B300" s="39" t="s">
        <v>319</v>
      </c>
      <c r="C300" s="40" t="s">
        <v>320</v>
      </c>
      <c r="D300" s="39" t="s">
        <v>321</v>
      </c>
      <c r="E300" s="39" t="s">
        <v>322</v>
      </c>
      <c r="F300" s="41">
        <v>0</v>
      </c>
      <c r="G300" s="41">
        <v>0</v>
      </c>
      <c r="H300" s="41">
        <v>0</v>
      </c>
      <c r="I300" s="41">
        <v>-154.84</v>
      </c>
      <c r="J300" s="42">
        <v>-300</v>
      </c>
      <c r="K300" s="43">
        <v>-300</v>
      </c>
      <c r="L300" s="41">
        <v>0</v>
      </c>
      <c r="M300" s="44">
        <v>-300</v>
      </c>
      <c r="N300" s="45">
        <v>-0.38119399999999998</v>
      </c>
      <c r="O300" s="46">
        <v>0</v>
      </c>
      <c r="P300" s="47">
        <v>-0.38119399999999998</v>
      </c>
      <c r="Q300" s="43">
        <v>-600</v>
      </c>
      <c r="R300" s="41">
        <v>0</v>
      </c>
      <c r="S300" s="44">
        <v>-600</v>
      </c>
      <c r="T300" s="48">
        <v>-0.35949599999999998</v>
      </c>
      <c r="U300" s="46">
        <v>0</v>
      </c>
      <c r="V300" s="47">
        <v>-0.35949599999999998</v>
      </c>
      <c r="W300" s="43">
        <v>0</v>
      </c>
      <c r="X300" s="44">
        <v>-600</v>
      </c>
      <c r="Y300" s="49"/>
      <c r="AA300" s="15" t="s">
        <v>18</v>
      </c>
      <c r="AB300" s="15" t="str">
        <f t="shared" si="4"/>
        <v>Sylvania KSL-0560AL/MC</v>
      </c>
    </row>
    <row r="301" spans="1:28" ht="18" x14ac:dyDescent="0.25">
      <c r="A301" s="39" t="s">
        <v>229</v>
      </c>
      <c r="B301" s="39" t="s">
        <v>319</v>
      </c>
      <c r="C301" s="40" t="s">
        <v>320</v>
      </c>
      <c r="D301" s="39" t="s">
        <v>321</v>
      </c>
      <c r="E301" s="39" t="s">
        <v>322</v>
      </c>
      <c r="F301" s="41">
        <v>0</v>
      </c>
      <c r="G301" s="41">
        <v>0</v>
      </c>
      <c r="H301" s="41">
        <v>-3000</v>
      </c>
      <c r="I301" s="41">
        <v>0</v>
      </c>
      <c r="J301" s="42">
        <v>0</v>
      </c>
      <c r="K301" s="43">
        <v>0</v>
      </c>
      <c r="L301" s="41">
        <v>0</v>
      </c>
      <c r="M301" s="44">
        <v>0</v>
      </c>
      <c r="N301" s="45">
        <v>0</v>
      </c>
      <c r="O301" s="46">
        <v>0</v>
      </c>
      <c r="P301" s="47">
        <v>0</v>
      </c>
      <c r="Q301" s="43">
        <v>0</v>
      </c>
      <c r="R301" s="41">
        <v>0</v>
      </c>
      <c r="S301" s="44">
        <v>0</v>
      </c>
      <c r="T301" s="48">
        <v>0</v>
      </c>
      <c r="U301" s="46">
        <v>0</v>
      </c>
      <c r="V301" s="47">
        <v>0</v>
      </c>
      <c r="W301" s="43">
        <v>-48.39</v>
      </c>
      <c r="X301" s="44">
        <v>48.39</v>
      </c>
      <c r="Y301" s="49"/>
      <c r="AA301" s="15" t="s">
        <v>18</v>
      </c>
      <c r="AB301" s="15" t="str">
        <f t="shared" si="4"/>
        <v>Terre Haute CC - 129AL/MC</v>
      </c>
    </row>
    <row r="302" spans="1:28" ht="18" x14ac:dyDescent="0.25">
      <c r="A302" s="39" t="s">
        <v>235</v>
      </c>
      <c r="B302" s="39" t="s">
        <v>319</v>
      </c>
      <c r="C302" s="40" t="s">
        <v>320</v>
      </c>
      <c r="D302" s="39" t="s">
        <v>321</v>
      </c>
      <c r="E302" s="39" t="s">
        <v>322</v>
      </c>
      <c r="F302" s="41">
        <v>-9324</v>
      </c>
      <c r="G302" s="41">
        <v>-9916.3799999999992</v>
      </c>
      <c r="H302" s="41">
        <v>-9003.33</v>
      </c>
      <c r="I302" s="41">
        <v>-7673.22</v>
      </c>
      <c r="J302" s="42">
        <v>-13822.55</v>
      </c>
      <c r="K302" s="43">
        <v>-14229</v>
      </c>
      <c r="L302" s="41">
        <v>-8503.0922111110995</v>
      </c>
      <c r="M302" s="44">
        <v>-5725.9077888888996</v>
      </c>
      <c r="N302" s="45">
        <v>-18.946736999999999</v>
      </c>
      <c r="O302" s="46">
        <v>-11.0720862162008</v>
      </c>
      <c r="P302" s="47">
        <v>-7.8746507837991899</v>
      </c>
      <c r="Q302" s="43">
        <v>-28051.55</v>
      </c>
      <c r="R302" s="41">
        <v>-17269.166655555498</v>
      </c>
      <c r="S302" s="44">
        <v>-10782.383344444501</v>
      </c>
      <c r="T302" s="48">
        <v>-17.554161000000001</v>
      </c>
      <c r="U302" s="46">
        <v>-10.671610618305699</v>
      </c>
      <c r="V302" s="47">
        <v>-6.8825503816943003</v>
      </c>
      <c r="W302" s="43">
        <v>-5615.54</v>
      </c>
      <c r="X302" s="44">
        <v>-22436.01</v>
      </c>
      <c r="Y302" s="49"/>
      <c r="AA302" s="15" t="s">
        <v>18</v>
      </c>
      <c r="AB302" s="15" t="str">
        <f t="shared" si="4"/>
        <v>Valparaiso - 139AL/MC</v>
      </c>
    </row>
    <row r="303" spans="1:28" ht="18" x14ac:dyDescent="0.25">
      <c r="A303" s="39" t="s">
        <v>240</v>
      </c>
      <c r="B303" s="39" t="s">
        <v>319</v>
      </c>
      <c r="C303" s="40" t="s">
        <v>320</v>
      </c>
      <c r="D303" s="39" t="s">
        <v>321</v>
      </c>
      <c r="E303" s="39" t="s">
        <v>322</v>
      </c>
      <c r="F303" s="41">
        <v>-2689</v>
      </c>
      <c r="G303" s="41">
        <v>-2689</v>
      </c>
      <c r="H303" s="41">
        <v>-2689</v>
      </c>
      <c r="I303" s="41">
        <v>-2689</v>
      </c>
      <c r="J303" s="42">
        <v>-1500</v>
      </c>
      <c r="K303" s="43">
        <v>-1500</v>
      </c>
      <c r="L303" s="41">
        <v>-2150.8758444444002</v>
      </c>
      <c r="M303" s="44">
        <v>650.87584444439995</v>
      </c>
      <c r="N303" s="45">
        <v>-3.571428</v>
      </c>
      <c r="O303" s="46">
        <v>-5.3906662768030102</v>
      </c>
      <c r="P303" s="47">
        <v>1.81923827680301</v>
      </c>
      <c r="Q303" s="43">
        <v>-3000</v>
      </c>
      <c r="R303" s="41">
        <v>-4368.2736222222002</v>
      </c>
      <c r="S303" s="44">
        <v>1368.2736222221999</v>
      </c>
      <c r="T303" s="48">
        <v>-2.34375</v>
      </c>
      <c r="U303" s="46">
        <v>-5.1956867347275697</v>
      </c>
      <c r="V303" s="47">
        <v>2.8519367347275701</v>
      </c>
      <c r="W303" s="43">
        <v>-2322.58</v>
      </c>
      <c r="X303" s="44">
        <v>-677.42</v>
      </c>
      <c r="Y303" s="49"/>
      <c r="AA303" s="15" t="s">
        <v>18</v>
      </c>
      <c r="AB303" s="15" t="str">
        <f t="shared" si="4"/>
        <v>Warsaw - 302AL/MC</v>
      </c>
    </row>
    <row r="304" spans="1:28" ht="18" x14ac:dyDescent="0.25">
      <c r="A304" s="39" t="s">
        <v>242</v>
      </c>
      <c r="B304" s="39" t="s">
        <v>319</v>
      </c>
      <c r="C304" s="40" t="s">
        <v>320</v>
      </c>
      <c r="D304" s="39" t="s">
        <v>321</v>
      </c>
      <c r="E304" s="39" t="s">
        <v>322</v>
      </c>
      <c r="F304" s="41">
        <v>-1280</v>
      </c>
      <c r="G304" s="41">
        <v>-1280</v>
      </c>
      <c r="H304" s="41">
        <v>-1280</v>
      </c>
      <c r="I304" s="41">
        <v>-1280</v>
      </c>
      <c r="J304" s="42">
        <v>0</v>
      </c>
      <c r="K304" s="43">
        <v>0</v>
      </c>
      <c r="L304" s="41">
        <v>-1241.5999999999999</v>
      </c>
      <c r="M304" s="44">
        <v>1241.5999999999999</v>
      </c>
      <c r="N304" s="45">
        <v>0</v>
      </c>
      <c r="O304" s="46">
        <v>-4.6676691729323299</v>
      </c>
      <c r="P304" s="47">
        <v>4.6676691729323299</v>
      </c>
      <c r="Q304" s="43">
        <v>0</v>
      </c>
      <c r="R304" s="41">
        <v>-2521.6</v>
      </c>
      <c r="S304" s="44">
        <v>2521.6</v>
      </c>
      <c r="T304" s="48">
        <v>0</v>
      </c>
      <c r="U304" s="46">
        <v>-4.2969725765676898</v>
      </c>
      <c r="V304" s="47">
        <v>4.2969725765676898</v>
      </c>
      <c r="W304" s="43">
        <v>0</v>
      </c>
      <c r="X304" s="44">
        <v>0</v>
      </c>
      <c r="Y304" s="49"/>
      <c r="AA304" s="15" t="s">
        <v>18</v>
      </c>
      <c r="AB304" s="15" t="str">
        <f t="shared" si="4"/>
        <v>Washington - 305AL/MC</v>
      </c>
    </row>
    <row r="305" spans="1:28" ht="18" x14ac:dyDescent="0.25">
      <c r="A305" s="39" t="s">
        <v>243</v>
      </c>
      <c r="B305" s="39" t="s">
        <v>319</v>
      </c>
      <c r="C305" s="40" t="s">
        <v>320</v>
      </c>
      <c r="D305" s="39" t="s">
        <v>321</v>
      </c>
      <c r="E305" s="39" t="s">
        <v>322</v>
      </c>
      <c r="F305" s="41">
        <v>13519.03</v>
      </c>
      <c r="G305" s="41">
        <v>-5099.68</v>
      </c>
      <c r="H305" s="41">
        <v>1179.68</v>
      </c>
      <c r="I305" s="41">
        <v>-3110.96</v>
      </c>
      <c r="J305" s="42">
        <v>-11729.03</v>
      </c>
      <c r="K305" s="43">
        <v>-8346.43</v>
      </c>
      <c r="L305" s="41">
        <v>-776</v>
      </c>
      <c r="M305" s="44">
        <v>-7570.43</v>
      </c>
      <c r="N305" s="45">
        <v>-19.365265999999998</v>
      </c>
      <c r="O305" s="46">
        <v>-2.1044545289526302</v>
      </c>
      <c r="P305" s="47">
        <v>-17.260811471047401</v>
      </c>
      <c r="Q305" s="43">
        <v>-20075.46</v>
      </c>
      <c r="R305" s="41">
        <v>-1576</v>
      </c>
      <c r="S305" s="44">
        <v>-18499.46</v>
      </c>
      <c r="T305" s="48">
        <v>-22.917190999999999</v>
      </c>
      <c r="U305" s="46">
        <v>-2.0283367432644899</v>
      </c>
      <c r="V305" s="47">
        <v>-20.888854256735499</v>
      </c>
      <c r="W305" s="43">
        <v>-1748.57</v>
      </c>
      <c r="X305" s="44">
        <v>-18326.89</v>
      </c>
      <c r="Y305" s="49"/>
      <c r="AA305" s="15" t="s">
        <v>18</v>
      </c>
      <c r="AB305" s="15" t="str">
        <f t="shared" si="4"/>
        <v>Waunakee - 571AL/MC</v>
      </c>
    </row>
    <row r="306" spans="1:28" ht="18" x14ac:dyDescent="0.25">
      <c r="A306" s="39" t="s">
        <v>249</v>
      </c>
      <c r="B306" s="39" t="s">
        <v>319</v>
      </c>
      <c r="C306" s="40" t="s">
        <v>320</v>
      </c>
      <c r="D306" s="39" t="s">
        <v>321</v>
      </c>
      <c r="E306" s="39" t="s">
        <v>322</v>
      </c>
      <c r="F306" s="41">
        <v>-300</v>
      </c>
      <c r="G306" s="41">
        <v>-330</v>
      </c>
      <c r="H306" s="41">
        <v>-300</v>
      </c>
      <c r="I306" s="41">
        <v>-300</v>
      </c>
      <c r="J306" s="42">
        <v>0</v>
      </c>
      <c r="K306" s="43">
        <v>0</v>
      </c>
      <c r="L306" s="41">
        <v>-291</v>
      </c>
      <c r="M306" s="44">
        <v>291</v>
      </c>
      <c r="N306" s="45">
        <v>0</v>
      </c>
      <c r="O306" s="46">
        <v>-0.47589358316275798</v>
      </c>
      <c r="P306" s="47">
        <v>0.47589358316275798</v>
      </c>
      <c r="Q306" s="43">
        <v>0</v>
      </c>
      <c r="R306" s="41">
        <v>-591</v>
      </c>
      <c r="S306" s="44">
        <v>591</v>
      </c>
      <c r="T306" s="48">
        <v>0</v>
      </c>
      <c r="U306" s="46">
        <v>-0.45868058793041599</v>
      </c>
      <c r="V306" s="47">
        <v>0.45868058793041599</v>
      </c>
      <c r="W306" s="43">
        <v>-850</v>
      </c>
      <c r="X306" s="44">
        <v>850</v>
      </c>
      <c r="Y306" s="49"/>
      <c r="AA306" s="15" t="s">
        <v>18</v>
      </c>
      <c r="AB306" s="15" t="str">
        <f t="shared" si="4"/>
        <v>Winchester - 232AL/MC</v>
      </c>
    </row>
    <row r="307" spans="1:28" ht="18" x14ac:dyDescent="0.25">
      <c r="A307" s="39" t="s">
        <v>316</v>
      </c>
      <c r="B307" s="39" t="s">
        <v>319</v>
      </c>
      <c r="C307" s="40" t="s">
        <v>320</v>
      </c>
      <c r="D307" s="39" t="s">
        <v>321</v>
      </c>
      <c r="E307" s="39" t="s">
        <v>322</v>
      </c>
      <c r="F307" s="41">
        <v>-63056.53</v>
      </c>
      <c r="G307" s="41">
        <v>-103768.25</v>
      </c>
      <c r="H307" s="41">
        <v>-89385.03</v>
      </c>
      <c r="I307" s="41">
        <v>-83785.259999999995</v>
      </c>
      <c r="J307" s="42">
        <v>-67603.69</v>
      </c>
      <c r="K307" s="43">
        <v>-60324.79</v>
      </c>
      <c r="L307" s="41">
        <v>-47923.606599999999</v>
      </c>
      <c r="M307" s="44">
        <v>-24802.3668</v>
      </c>
      <c r="N307" s="45">
        <v>-1.4890589999999999</v>
      </c>
      <c r="O307" s="46">
        <v>-1.16689343705107</v>
      </c>
      <c r="P307" s="47">
        <v>-0.64433112589785901</v>
      </c>
      <c r="Q307" s="43">
        <v>-127928.48</v>
      </c>
      <c r="R307" s="41">
        <v>-97329.386599999998</v>
      </c>
      <c r="S307" s="44">
        <v>-61198.186800000003</v>
      </c>
      <c r="T307" s="48">
        <v>-1.4979739999999999</v>
      </c>
      <c r="U307" s="46">
        <v>-1.12475502533484</v>
      </c>
      <c r="V307" s="47">
        <v>-0.74643794933031804</v>
      </c>
      <c r="W307" s="43">
        <v>-47492.09</v>
      </c>
      <c r="X307" s="44">
        <v>-160872.78</v>
      </c>
      <c r="Y307" s="49"/>
      <c r="AA307" s="15" t="s">
        <v>18</v>
      </c>
      <c r="AB307" s="15" t="str">
        <f t="shared" si="4"/>
        <v>Total CompanyAL/MC</v>
      </c>
    </row>
    <row r="308" spans="1:28" x14ac:dyDescent="0.25">
      <c r="A308" s="39" t="s">
        <v>9</v>
      </c>
      <c r="B308" s="39" t="s">
        <v>324</v>
      </c>
      <c r="C308" s="40" t="s">
        <v>325</v>
      </c>
      <c r="D308" s="39" t="s">
        <v>313</v>
      </c>
      <c r="E308" s="39" t="s">
        <v>314</v>
      </c>
      <c r="F308" s="41">
        <v>0</v>
      </c>
      <c r="G308" s="41">
        <v>-250</v>
      </c>
      <c r="H308" s="41">
        <v>0</v>
      </c>
      <c r="I308" s="41">
        <v>-2000</v>
      </c>
      <c r="J308" s="42">
        <v>-1500</v>
      </c>
      <c r="K308" s="43">
        <v>0</v>
      </c>
      <c r="L308" s="41">
        <v>0</v>
      </c>
      <c r="M308" s="44">
        <v>0</v>
      </c>
      <c r="N308" s="45">
        <v>0</v>
      </c>
      <c r="O308" s="46">
        <v>0</v>
      </c>
      <c r="P308" s="47">
        <v>0</v>
      </c>
      <c r="Q308" s="43">
        <v>-1500</v>
      </c>
      <c r="R308" s="41">
        <v>0</v>
      </c>
      <c r="S308" s="44">
        <v>-1500</v>
      </c>
      <c r="T308" s="48">
        <v>-0.98039200000000004</v>
      </c>
      <c r="U308" s="46">
        <v>0</v>
      </c>
      <c r="V308" s="47">
        <v>-0.98039200000000004</v>
      </c>
      <c r="W308" s="43">
        <v>-578</v>
      </c>
      <c r="X308" s="44">
        <v>-922</v>
      </c>
      <c r="Y308" s="49"/>
      <c r="AA308" s="15" t="s">
        <v>21</v>
      </c>
      <c r="AB308" s="15" t="str">
        <f t="shared" si="4"/>
        <v>Anderson - 112VIL</v>
      </c>
    </row>
    <row r="309" spans="1:28" x14ac:dyDescent="0.25">
      <c r="A309" s="39" t="s">
        <v>42</v>
      </c>
      <c r="B309" s="39" t="s">
        <v>324</v>
      </c>
      <c r="C309" s="40" t="s">
        <v>325</v>
      </c>
      <c r="D309" s="39" t="s">
        <v>313</v>
      </c>
      <c r="E309" s="39" t="s">
        <v>314</v>
      </c>
      <c r="F309" s="41">
        <v>0</v>
      </c>
      <c r="G309" s="41">
        <v>-500</v>
      </c>
      <c r="H309" s="41">
        <v>-10000</v>
      </c>
      <c r="I309" s="41">
        <v>-5000</v>
      </c>
      <c r="J309" s="42">
        <v>0</v>
      </c>
      <c r="K309" s="43">
        <v>0</v>
      </c>
      <c r="L309" s="41">
        <v>-335.56611111109999</v>
      </c>
      <c r="M309" s="44">
        <v>335.56611111109999</v>
      </c>
      <c r="N309" s="45">
        <v>0</v>
      </c>
      <c r="O309" s="46">
        <v>-0.50355058690141097</v>
      </c>
      <c r="P309" s="47">
        <v>0.50355058690141097</v>
      </c>
      <c r="Q309" s="43">
        <v>0</v>
      </c>
      <c r="R309" s="41">
        <v>-681.51055555560004</v>
      </c>
      <c r="S309" s="44">
        <v>681.51055555560004</v>
      </c>
      <c r="T309" s="48">
        <v>0</v>
      </c>
      <c r="U309" s="46">
        <v>-0.485337242241561</v>
      </c>
      <c r="V309" s="47">
        <v>0.485337242241561</v>
      </c>
      <c r="W309" s="43">
        <v>-1000</v>
      </c>
      <c r="X309" s="44">
        <v>1000</v>
      </c>
      <c r="Y309" s="49"/>
      <c r="AA309" s="15" t="s">
        <v>21</v>
      </c>
      <c r="AB309" s="15" t="str">
        <f t="shared" si="4"/>
        <v>Bellevue - 414VIL</v>
      </c>
    </row>
    <row r="310" spans="1:28" x14ac:dyDescent="0.25">
      <c r="A310" s="39" t="s">
        <v>66</v>
      </c>
      <c r="B310" s="39" t="s">
        <v>324</v>
      </c>
      <c r="C310" s="40" t="s">
        <v>325</v>
      </c>
      <c r="D310" s="39" t="s">
        <v>313</v>
      </c>
      <c r="E310" s="39" t="s">
        <v>314</v>
      </c>
      <c r="F310" s="41">
        <v>-1112.8499999999999</v>
      </c>
      <c r="G310" s="41">
        <v>-366</v>
      </c>
      <c r="H310" s="41">
        <v>-366</v>
      </c>
      <c r="I310" s="41">
        <v>-366</v>
      </c>
      <c r="J310" s="42">
        <v>-366</v>
      </c>
      <c r="K310" s="43">
        <v>-366</v>
      </c>
      <c r="L310" s="41">
        <v>-355.02</v>
      </c>
      <c r="M310" s="44">
        <v>-10.98</v>
      </c>
      <c r="N310" s="45">
        <v>-0.52285700000000002</v>
      </c>
      <c r="O310" s="46">
        <v>-0.46960317460317502</v>
      </c>
      <c r="P310" s="47">
        <v>-5.3253825396825397E-2</v>
      </c>
      <c r="Q310" s="43">
        <v>-732</v>
      </c>
      <c r="R310" s="41">
        <v>-721.02</v>
      </c>
      <c r="S310" s="44">
        <v>-10.98</v>
      </c>
      <c r="T310" s="48">
        <v>-0.49627100000000002</v>
      </c>
      <c r="U310" s="46">
        <v>-0.45261770244821098</v>
      </c>
      <c r="V310" s="47">
        <v>-4.3653297551789101E-2</v>
      </c>
      <c r="W310" s="43">
        <v>-753.68</v>
      </c>
      <c r="X310" s="44">
        <v>21.6799999999999</v>
      </c>
      <c r="Y310" s="49"/>
      <c r="AA310" s="15" t="s">
        <v>21</v>
      </c>
      <c r="AB310" s="15" t="str">
        <f t="shared" si="4"/>
        <v>Colerain - 412VIL</v>
      </c>
    </row>
    <row r="311" spans="1:28" x14ac:dyDescent="0.25">
      <c r="A311" s="39" t="s">
        <v>73</v>
      </c>
      <c r="B311" s="39" t="s">
        <v>324</v>
      </c>
      <c r="C311" s="40" t="s">
        <v>325</v>
      </c>
      <c r="D311" s="39" t="s">
        <v>313</v>
      </c>
      <c r="E311" s="39" t="s">
        <v>314</v>
      </c>
      <c r="F311" s="41">
        <v>-250</v>
      </c>
      <c r="G311" s="41">
        <v>-510.94</v>
      </c>
      <c r="H311" s="41">
        <v>-1835.31</v>
      </c>
      <c r="I311" s="41">
        <v>-110</v>
      </c>
      <c r="J311" s="42">
        <v>-4479</v>
      </c>
      <c r="K311" s="43">
        <v>-237.14</v>
      </c>
      <c r="L311" s="41">
        <v>-188.6111111111</v>
      </c>
      <c r="M311" s="44">
        <v>-48.528888888899999</v>
      </c>
      <c r="N311" s="45">
        <v>-0.25916899999999998</v>
      </c>
      <c r="O311" s="46">
        <v>-0.19958847736624299</v>
      </c>
      <c r="P311" s="47">
        <v>-5.95805226337566E-2</v>
      </c>
      <c r="Q311" s="43">
        <v>-4716.1400000000003</v>
      </c>
      <c r="R311" s="41">
        <v>-383.05555555559999</v>
      </c>
      <c r="S311" s="44">
        <v>-4333.0844444444001</v>
      </c>
      <c r="T311" s="48">
        <v>-2.418533</v>
      </c>
      <c r="U311" s="46">
        <v>-0.19236939387600799</v>
      </c>
      <c r="V311" s="47">
        <v>-2.2261636061239898</v>
      </c>
      <c r="W311" s="43">
        <v>-250</v>
      </c>
      <c r="X311" s="44">
        <v>-4466.1400000000003</v>
      </c>
      <c r="Y311" s="49"/>
      <c r="AA311" s="15" t="s">
        <v>21</v>
      </c>
      <c r="AB311" s="15" t="str">
        <f t="shared" si="4"/>
        <v>Commerce - 503VIL</v>
      </c>
    </row>
    <row r="312" spans="1:28" x14ac:dyDescent="0.25">
      <c r="A312" s="39" t="s">
        <v>77</v>
      </c>
      <c r="B312" s="39" t="s">
        <v>324</v>
      </c>
      <c r="C312" s="40" t="s">
        <v>325</v>
      </c>
      <c r="D312" s="39" t="s">
        <v>313</v>
      </c>
      <c r="E312" s="39" t="s">
        <v>314</v>
      </c>
      <c r="F312" s="41">
        <v>-1978</v>
      </c>
      <c r="G312" s="41">
        <v>-6478</v>
      </c>
      <c r="H312" s="41">
        <v>-1978</v>
      </c>
      <c r="I312" s="41">
        <v>-1978</v>
      </c>
      <c r="J312" s="42">
        <v>-2173.5</v>
      </c>
      <c r="K312" s="43">
        <v>-2327.5</v>
      </c>
      <c r="L312" s="41">
        <v>-1918.66</v>
      </c>
      <c r="M312" s="44">
        <v>-408.84</v>
      </c>
      <c r="N312" s="45">
        <v>-1.979166</v>
      </c>
      <c r="O312" s="46">
        <v>-1.71738274257071</v>
      </c>
      <c r="P312" s="47">
        <v>-0.26178325742928799</v>
      </c>
      <c r="Q312" s="43">
        <v>-4501</v>
      </c>
      <c r="R312" s="41">
        <v>-3896.66</v>
      </c>
      <c r="S312" s="44">
        <v>-604.34</v>
      </c>
      <c r="T312" s="48">
        <v>-1.8040080000000001</v>
      </c>
      <c r="U312" s="46">
        <v>-1.6552652818486899</v>
      </c>
      <c r="V312" s="47">
        <v>-0.14874271815131099</v>
      </c>
      <c r="W312" s="43">
        <v>-4649.43</v>
      </c>
      <c r="X312" s="44">
        <v>148.43</v>
      </c>
      <c r="Y312" s="49"/>
      <c r="AA312" s="15" t="s">
        <v>21</v>
      </c>
      <c r="AB312" s="15" t="str">
        <f t="shared" si="4"/>
        <v>Corydon - 2180VIL</v>
      </c>
    </row>
    <row r="313" spans="1:28" x14ac:dyDescent="0.25">
      <c r="A313" s="39" t="s">
        <v>94</v>
      </c>
      <c r="B313" s="39" t="s">
        <v>324</v>
      </c>
      <c r="C313" s="40" t="s">
        <v>325</v>
      </c>
      <c r="D313" s="39" t="s">
        <v>313</v>
      </c>
      <c r="E313" s="39" t="s">
        <v>314</v>
      </c>
      <c r="F313" s="41">
        <v>-750</v>
      </c>
      <c r="G313" s="41">
        <v>-500</v>
      </c>
      <c r="H313" s="41">
        <v>-500</v>
      </c>
      <c r="I313" s="41">
        <v>-500</v>
      </c>
      <c r="J313" s="42">
        <v>-614</v>
      </c>
      <c r="K313" s="43">
        <v>-614</v>
      </c>
      <c r="L313" s="41">
        <v>-485</v>
      </c>
      <c r="M313" s="44">
        <v>-129</v>
      </c>
      <c r="N313" s="45">
        <v>-0.68756899999999999</v>
      </c>
      <c r="O313" s="46">
        <v>-0.56791569086651095</v>
      </c>
      <c r="P313" s="47">
        <v>-0.119653309133489</v>
      </c>
      <c r="Q313" s="43">
        <v>-1228</v>
      </c>
      <c r="R313" s="41">
        <v>-985</v>
      </c>
      <c r="S313" s="44">
        <v>-243</v>
      </c>
      <c r="T313" s="48">
        <v>-0.65145799999999998</v>
      </c>
      <c r="U313" s="46">
        <v>-0.54737427063073096</v>
      </c>
      <c r="V313" s="47">
        <v>-0.104083729369269</v>
      </c>
      <c r="W313" s="43">
        <v>-1000</v>
      </c>
      <c r="X313" s="44">
        <v>-228</v>
      </c>
      <c r="Y313" s="49"/>
      <c r="AA313" s="15" t="s">
        <v>21</v>
      </c>
      <c r="AB313" s="15" t="str">
        <f t="shared" si="4"/>
        <v>Englewood - 416VIL</v>
      </c>
    </row>
    <row r="314" spans="1:28" x14ac:dyDescent="0.25">
      <c r="A314" s="39" t="s">
        <v>96</v>
      </c>
      <c r="B314" s="39" t="s">
        <v>324</v>
      </c>
      <c r="C314" s="40" t="s">
        <v>325</v>
      </c>
      <c r="D314" s="39" t="s">
        <v>313</v>
      </c>
      <c r="E314" s="39" t="s">
        <v>314</v>
      </c>
      <c r="F314" s="41">
        <v>-3000</v>
      </c>
      <c r="G314" s="41">
        <v>-250</v>
      </c>
      <c r="H314" s="41">
        <v>-500</v>
      </c>
      <c r="I314" s="41">
        <v>0</v>
      </c>
      <c r="J314" s="42">
        <v>-1500</v>
      </c>
      <c r="K314" s="43">
        <v>0</v>
      </c>
      <c r="L314" s="41">
        <v>0</v>
      </c>
      <c r="M314" s="44">
        <v>0</v>
      </c>
      <c r="N314" s="45">
        <v>0</v>
      </c>
      <c r="O314" s="46">
        <v>0</v>
      </c>
      <c r="P314" s="47">
        <v>0</v>
      </c>
      <c r="Q314" s="43">
        <v>-1500</v>
      </c>
      <c r="R314" s="41">
        <v>0</v>
      </c>
      <c r="S314" s="44">
        <v>-1500</v>
      </c>
      <c r="T314" s="48">
        <v>-0.73457300000000003</v>
      </c>
      <c r="U314" s="46">
        <v>0</v>
      </c>
      <c r="V314" s="47">
        <v>-0.73457300000000003</v>
      </c>
      <c r="W314" s="43">
        <v>0</v>
      </c>
      <c r="X314" s="44">
        <v>-1500</v>
      </c>
      <c r="Y314" s="49"/>
      <c r="AA314" s="15" t="s">
        <v>21</v>
      </c>
      <c r="AB314" s="15" t="str">
        <f t="shared" si="4"/>
        <v>Evansville NR - 2186VIL</v>
      </c>
    </row>
    <row r="315" spans="1:28" x14ac:dyDescent="0.25">
      <c r="A315" s="39" t="s">
        <v>122</v>
      </c>
      <c r="B315" s="39" t="s">
        <v>324</v>
      </c>
      <c r="C315" s="40" t="s">
        <v>325</v>
      </c>
      <c r="D315" s="39" t="s">
        <v>313</v>
      </c>
      <c r="E315" s="39" t="s">
        <v>314</v>
      </c>
      <c r="F315" s="41">
        <v>-130</v>
      </c>
      <c r="G315" s="41">
        <v>-380</v>
      </c>
      <c r="H315" s="41">
        <v>-130</v>
      </c>
      <c r="I315" s="41">
        <v>-130</v>
      </c>
      <c r="J315" s="42">
        <v>-130</v>
      </c>
      <c r="K315" s="43">
        <v>-130</v>
      </c>
      <c r="L315" s="41">
        <v>-126.1</v>
      </c>
      <c r="M315" s="44">
        <v>-3.9000000000000101</v>
      </c>
      <c r="N315" s="45">
        <v>-0.19817000000000001</v>
      </c>
      <c r="O315" s="46">
        <v>-0.19752506265664199</v>
      </c>
      <c r="P315" s="47">
        <v>-6.4493734335840903E-4</v>
      </c>
      <c r="Q315" s="43">
        <v>-260</v>
      </c>
      <c r="R315" s="41">
        <v>-256.10000000000002</v>
      </c>
      <c r="S315" s="44">
        <v>-3.8999999999999799</v>
      </c>
      <c r="T315" s="48">
        <v>-0.18571399999999999</v>
      </c>
      <c r="U315" s="46">
        <v>-0.19038061254832001</v>
      </c>
      <c r="V315" s="47">
        <v>4.6666125483200097E-3</v>
      </c>
      <c r="W315" s="43">
        <v>-260</v>
      </c>
      <c r="X315" s="44">
        <v>0</v>
      </c>
      <c r="Y315" s="49"/>
      <c r="AA315" s="15" t="s">
        <v>21</v>
      </c>
      <c r="AB315" s="15" t="str">
        <f t="shared" si="4"/>
        <v>Greenfield - 125VIL</v>
      </c>
    </row>
    <row r="316" spans="1:28" x14ac:dyDescent="0.25">
      <c r="A316" s="39" t="s">
        <v>128</v>
      </c>
      <c r="B316" s="39" t="s">
        <v>324</v>
      </c>
      <c r="C316" s="40" t="s">
        <v>325</v>
      </c>
      <c r="D316" s="39" t="s">
        <v>313</v>
      </c>
      <c r="E316" s="39" t="s">
        <v>314</v>
      </c>
      <c r="F316" s="41">
        <v>0</v>
      </c>
      <c r="G316" s="41">
        <v>0</v>
      </c>
      <c r="H316" s="41">
        <v>0</v>
      </c>
      <c r="I316" s="41">
        <v>0</v>
      </c>
      <c r="J316" s="42">
        <v>0</v>
      </c>
      <c r="K316" s="43">
        <v>-466.07</v>
      </c>
      <c r="L316" s="41">
        <v>0</v>
      </c>
      <c r="M316" s="44">
        <v>-466.07</v>
      </c>
      <c r="N316" s="45">
        <v>-5.4831760000000003</v>
      </c>
      <c r="O316" s="46">
        <v>0</v>
      </c>
      <c r="P316" s="47">
        <v>-5.4831760000000003</v>
      </c>
      <c r="Q316" s="43">
        <v>-466.07</v>
      </c>
      <c r="R316" s="41">
        <v>0</v>
      </c>
      <c r="S316" s="44">
        <v>-466.07</v>
      </c>
      <c r="T316" s="48">
        <v>-5.4831760000000003</v>
      </c>
      <c r="U316" s="46">
        <v>0</v>
      </c>
      <c r="V316" s="47">
        <v>-5.4831760000000003</v>
      </c>
      <c r="W316" s="43">
        <v>0</v>
      </c>
      <c r="X316" s="44">
        <v>-466.07</v>
      </c>
      <c r="Y316" s="49"/>
      <c r="AA316" s="15" t="s">
        <v>21</v>
      </c>
      <c r="AB316" s="15" t="str">
        <f t="shared" si="4"/>
        <v>Harrodsburg - 2187VIL</v>
      </c>
    </row>
    <row r="317" spans="1:28" x14ac:dyDescent="0.25">
      <c r="A317" s="39" t="s">
        <v>135</v>
      </c>
      <c r="B317" s="39" t="s">
        <v>324</v>
      </c>
      <c r="C317" s="40" t="s">
        <v>325</v>
      </c>
      <c r="D317" s="39" t="s">
        <v>313</v>
      </c>
      <c r="E317" s="39" t="s">
        <v>314</v>
      </c>
      <c r="F317" s="41">
        <v>-120</v>
      </c>
      <c r="G317" s="41">
        <v>-3370</v>
      </c>
      <c r="H317" s="41">
        <v>-113.33</v>
      </c>
      <c r="I317" s="41">
        <v>-78.67</v>
      </c>
      <c r="J317" s="42">
        <v>-61.94</v>
      </c>
      <c r="K317" s="43">
        <v>-62.86</v>
      </c>
      <c r="L317" s="41">
        <v>-38.382899999999999</v>
      </c>
      <c r="M317" s="44">
        <v>-24.4771</v>
      </c>
      <c r="N317" s="45">
        <v>-8.4488999999999995E-2</v>
      </c>
      <c r="O317" s="46">
        <v>-4.89577806122449E-2</v>
      </c>
      <c r="P317" s="47">
        <v>-3.5531219387755102E-2</v>
      </c>
      <c r="Q317" s="43">
        <v>-124.8</v>
      </c>
      <c r="R317" s="41">
        <v>-77.9529</v>
      </c>
      <c r="S317" s="44">
        <v>-46.847099999999998</v>
      </c>
      <c r="T317" s="48">
        <v>-7.8243999999999994E-2</v>
      </c>
      <c r="U317" s="46">
        <v>-4.7186985472155003E-2</v>
      </c>
      <c r="V317" s="47">
        <v>-3.1057014527845001E-2</v>
      </c>
      <c r="W317" s="43">
        <v>0</v>
      </c>
      <c r="X317" s="44">
        <v>-124.8</v>
      </c>
      <c r="Y317" s="49"/>
      <c r="AA317" s="15" t="s">
        <v>21</v>
      </c>
      <c r="AB317" s="15" t="str">
        <f t="shared" si="4"/>
        <v>Jasper - 108VIL</v>
      </c>
    </row>
    <row r="318" spans="1:28" x14ac:dyDescent="0.25">
      <c r="A318" s="39" t="s">
        <v>139</v>
      </c>
      <c r="B318" s="39" t="s">
        <v>324</v>
      </c>
      <c r="C318" s="40" t="s">
        <v>325</v>
      </c>
      <c r="D318" s="39" t="s">
        <v>313</v>
      </c>
      <c r="E318" s="39" t="s">
        <v>314</v>
      </c>
      <c r="F318" s="41">
        <v>-9874.73</v>
      </c>
      <c r="G318" s="41">
        <v>-13625.62</v>
      </c>
      <c r="H318" s="41">
        <v>-20247.87</v>
      </c>
      <c r="I318" s="41">
        <v>-8965.52</v>
      </c>
      <c r="J318" s="42">
        <v>-5409.16</v>
      </c>
      <c r="K318" s="43">
        <v>-3941.1</v>
      </c>
      <c r="L318" s="41">
        <v>-4670.55</v>
      </c>
      <c r="M318" s="44">
        <v>729.45</v>
      </c>
      <c r="N318" s="45">
        <v>-3.6661389999999998</v>
      </c>
      <c r="O318" s="46">
        <v>-4.5057079164863696</v>
      </c>
      <c r="P318" s="47">
        <v>0.839568916486372</v>
      </c>
      <c r="Q318" s="43">
        <v>-9350.26</v>
      </c>
      <c r="R318" s="41">
        <v>-9485.5499999999993</v>
      </c>
      <c r="S318" s="44">
        <v>135.289999999999</v>
      </c>
      <c r="T318" s="48">
        <v>-4.2118279999999997</v>
      </c>
      <c r="U318" s="46">
        <v>-4.3735704124177301</v>
      </c>
      <c r="V318" s="47">
        <v>0.16174241241772899</v>
      </c>
      <c r="W318" s="43">
        <v>-500</v>
      </c>
      <c r="X318" s="44">
        <v>-8850.26</v>
      </c>
      <c r="Y318" s="49"/>
      <c r="AA318" s="15" t="s">
        <v>21</v>
      </c>
      <c r="AB318" s="15" t="str">
        <f t="shared" si="4"/>
        <v>Kokomo WP - 106VIL</v>
      </c>
    </row>
    <row r="319" spans="1:28" x14ac:dyDescent="0.25">
      <c r="A319" s="39" t="s">
        <v>143</v>
      </c>
      <c r="B319" s="39" t="s">
        <v>324</v>
      </c>
      <c r="C319" s="40" t="s">
        <v>325</v>
      </c>
      <c r="D319" s="39" t="s">
        <v>313</v>
      </c>
      <c r="E319" s="39" t="s">
        <v>314</v>
      </c>
      <c r="F319" s="41">
        <v>0</v>
      </c>
      <c r="G319" s="41">
        <v>-250</v>
      </c>
      <c r="H319" s="41">
        <v>0</v>
      </c>
      <c r="I319" s="41">
        <v>0</v>
      </c>
      <c r="J319" s="42">
        <v>0</v>
      </c>
      <c r="K319" s="43">
        <v>0</v>
      </c>
      <c r="L319" s="41">
        <v>0</v>
      </c>
      <c r="M319" s="44">
        <v>0</v>
      </c>
      <c r="N319" s="45">
        <v>0</v>
      </c>
      <c r="O319" s="46">
        <v>0</v>
      </c>
      <c r="P319" s="47">
        <v>0</v>
      </c>
      <c r="Q319" s="43">
        <v>0</v>
      </c>
      <c r="R319" s="41">
        <v>0</v>
      </c>
      <c r="S319" s="44">
        <v>0</v>
      </c>
      <c r="T319" s="48">
        <v>0</v>
      </c>
      <c r="U319" s="46">
        <v>0</v>
      </c>
      <c r="V319" s="47">
        <v>0</v>
      </c>
      <c r="W319" s="43">
        <v>0</v>
      </c>
      <c r="X319" s="44">
        <v>0</v>
      </c>
      <c r="Y319" s="49"/>
      <c r="AA319" s="15" t="s">
        <v>21</v>
      </c>
      <c r="AB319" s="15" t="str">
        <f t="shared" si="4"/>
        <v>Lafayette CS - 133VIL</v>
      </c>
    </row>
    <row r="320" spans="1:28" x14ac:dyDescent="0.25">
      <c r="A320" s="39" t="s">
        <v>152</v>
      </c>
      <c r="B320" s="39" t="s">
        <v>324</v>
      </c>
      <c r="C320" s="40" t="s">
        <v>325</v>
      </c>
      <c r="D320" s="39" t="s">
        <v>313</v>
      </c>
      <c r="E320" s="39" t="s">
        <v>314</v>
      </c>
      <c r="F320" s="41">
        <v>-1570</v>
      </c>
      <c r="G320" s="41">
        <v>-1420</v>
      </c>
      <c r="H320" s="41">
        <v>-1420</v>
      </c>
      <c r="I320" s="41">
        <v>-1420</v>
      </c>
      <c r="J320" s="42">
        <v>-1122.57</v>
      </c>
      <c r="K320" s="43">
        <v>-1122.57</v>
      </c>
      <c r="L320" s="41">
        <v>-1377.4</v>
      </c>
      <c r="M320" s="44">
        <v>254.83</v>
      </c>
      <c r="N320" s="45">
        <v>-0.80240800000000001</v>
      </c>
      <c r="O320" s="46">
        <v>-1.0466565349544099</v>
      </c>
      <c r="P320" s="47">
        <v>0.24424853495440699</v>
      </c>
      <c r="Q320" s="43">
        <v>-2245.14</v>
      </c>
      <c r="R320" s="41">
        <v>-2797.4</v>
      </c>
      <c r="S320" s="44">
        <v>552.26</v>
      </c>
      <c r="T320" s="48">
        <v>-0.769146</v>
      </c>
      <c r="U320" s="46">
        <v>-1.0087991345113601</v>
      </c>
      <c r="V320" s="47">
        <v>0.23965313451136</v>
      </c>
      <c r="W320" s="43">
        <v>-3469</v>
      </c>
      <c r="X320" s="44">
        <v>1223.8599999999999</v>
      </c>
      <c r="Y320" s="49"/>
      <c r="AA320" s="15" t="s">
        <v>21</v>
      </c>
      <c r="AB320" s="15" t="str">
        <f t="shared" si="4"/>
        <v>Leipsic - 409VIL</v>
      </c>
    </row>
    <row r="321" spans="1:28" x14ac:dyDescent="0.25">
      <c r="A321" s="39" t="s">
        <v>168</v>
      </c>
      <c r="B321" s="39" t="s">
        <v>324</v>
      </c>
      <c r="C321" s="40" t="s">
        <v>325</v>
      </c>
      <c r="D321" s="39" t="s">
        <v>313</v>
      </c>
      <c r="E321" s="39" t="s">
        <v>314</v>
      </c>
      <c r="F321" s="41">
        <v>-1000</v>
      </c>
      <c r="G321" s="41">
        <v>-1000</v>
      </c>
      <c r="H321" s="41">
        <v>-2500</v>
      </c>
      <c r="I321" s="41">
        <v>-1000</v>
      </c>
      <c r="J321" s="42">
        <v>-1000</v>
      </c>
      <c r="K321" s="43">
        <v>-1000</v>
      </c>
      <c r="L321" s="41">
        <v>-625.38163333329999</v>
      </c>
      <c r="M321" s="44">
        <v>-374.61836666670001</v>
      </c>
      <c r="N321" s="45">
        <v>-0.96525000000000005</v>
      </c>
      <c r="O321" s="46">
        <v>-0.59100271475871302</v>
      </c>
      <c r="P321" s="47">
        <v>-0.37424728524128698</v>
      </c>
      <c r="Q321" s="43">
        <v>-2000</v>
      </c>
      <c r="R321" s="41">
        <v>-1270.1049666667</v>
      </c>
      <c r="S321" s="44">
        <v>-729.89503333330003</v>
      </c>
      <c r="T321" s="48">
        <v>-0.91617000000000004</v>
      </c>
      <c r="U321" s="46">
        <v>-0.56962624053980804</v>
      </c>
      <c r="V321" s="47">
        <v>-0.346543759460192</v>
      </c>
      <c r="W321" s="43">
        <v>-28.32</v>
      </c>
      <c r="X321" s="44">
        <v>-1971.68</v>
      </c>
      <c r="Y321" s="49"/>
      <c r="AA321" s="15" t="s">
        <v>21</v>
      </c>
      <c r="AB321" s="15" t="str">
        <f t="shared" si="4"/>
        <v>Louisville FS - 2154VIL</v>
      </c>
    </row>
    <row r="322" spans="1:28" x14ac:dyDescent="0.25">
      <c r="A322" s="39" t="s">
        <v>176</v>
      </c>
      <c r="B322" s="39" t="s">
        <v>324</v>
      </c>
      <c r="C322" s="40" t="s">
        <v>325</v>
      </c>
      <c r="D322" s="39" t="s">
        <v>313</v>
      </c>
      <c r="E322" s="39" t="s">
        <v>314</v>
      </c>
      <c r="F322" s="41">
        <v>-680</v>
      </c>
      <c r="G322" s="41">
        <v>-1880</v>
      </c>
      <c r="H322" s="41">
        <v>-990</v>
      </c>
      <c r="I322" s="41">
        <v>-1003.01</v>
      </c>
      <c r="J322" s="42">
        <v>-950</v>
      </c>
      <c r="K322" s="43">
        <v>-950</v>
      </c>
      <c r="L322" s="41">
        <v>-368.6</v>
      </c>
      <c r="M322" s="44">
        <v>-581.4</v>
      </c>
      <c r="N322" s="45">
        <v>-0.53340799999999999</v>
      </c>
      <c r="O322" s="46">
        <v>-0.219514519164344</v>
      </c>
      <c r="P322" s="47">
        <v>-0.31389348083565599</v>
      </c>
      <c r="Q322" s="43">
        <v>-1900</v>
      </c>
      <c r="R322" s="41">
        <v>-748.6</v>
      </c>
      <c r="S322" s="44">
        <v>-1151.4000000000001</v>
      </c>
      <c r="T322" s="48">
        <v>-0.51061500000000004</v>
      </c>
      <c r="U322" s="46">
        <v>-0.21157471391062799</v>
      </c>
      <c r="V322" s="47">
        <v>-0.299040286089372</v>
      </c>
      <c r="W322" s="43">
        <v>-760</v>
      </c>
      <c r="X322" s="44">
        <v>-1140</v>
      </c>
      <c r="Y322" s="49"/>
      <c r="AA322" s="15" t="s">
        <v>21</v>
      </c>
      <c r="AB322" s="15" t="str">
        <f t="shared" si="4"/>
        <v>Louisville WS - 190VIL</v>
      </c>
    </row>
    <row r="323" spans="1:28" x14ac:dyDescent="0.25">
      <c r="A323" s="39" t="s">
        <v>185</v>
      </c>
      <c r="B323" s="39" t="s">
        <v>324</v>
      </c>
      <c r="C323" s="40" t="s">
        <v>325</v>
      </c>
      <c r="D323" s="39" t="s">
        <v>313</v>
      </c>
      <c r="E323" s="39" t="s">
        <v>314</v>
      </c>
      <c r="F323" s="41">
        <v>-1168</v>
      </c>
      <c r="G323" s="41">
        <v>-2918</v>
      </c>
      <c r="H323" s="41">
        <v>-1168</v>
      </c>
      <c r="I323" s="41">
        <v>-1168</v>
      </c>
      <c r="J323" s="42">
        <v>-1231</v>
      </c>
      <c r="K323" s="43">
        <v>-1231</v>
      </c>
      <c r="L323" s="41">
        <v>-1132.96</v>
      </c>
      <c r="M323" s="44">
        <v>-98.04</v>
      </c>
      <c r="N323" s="45">
        <v>-1.233466</v>
      </c>
      <c r="O323" s="46">
        <v>-1.1796751353602699</v>
      </c>
      <c r="P323" s="47">
        <v>-5.3790864639733399E-2</v>
      </c>
      <c r="Q323" s="43">
        <v>-2462</v>
      </c>
      <c r="R323" s="41">
        <v>-2300.96</v>
      </c>
      <c r="S323" s="44">
        <v>-161.04</v>
      </c>
      <c r="T323" s="48">
        <v>-1.1520820000000001</v>
      </c>
      <c r="U323" s="46">
        <v>-1.1370064732915</v>
      </c>
      <c r="V323" s="47">
        <v>-1.50755267085041E-2</v>
      </c>
      <c r="W323" s="43">
        <v>-4336</v>
      </c>
      <c r="X323" s="44">
        <v>1874</v>
      </c>
      <c r="Y323" s="49"/>
      <c r="AA323" s="15" t="s">
        <v>21</v>
      </c>
      <c r="AB323" s="15" t="str">
        <f t="shared" ref="AB323:AB363" si="5">A323&amp;AA323</f>
        <v>Monclova - 2422VIL</v>
      </c>
    </row>
    <row r="324" spans="1:28" x14ac:dyDescent="0.25">
      <c r="A324" s="39" t="s">
        <v>190</v>
      </c>
      <c r="B324" s="39" t="s">
        <v>324</v>
      </c>
      <c r="C324" s="40" t="s">
        <v>325</v>
      </c>
      <c r="D324" s="39" t="s">
        <v>313</v>
      </c>
      <c r="E324" s="39" t="s">
        <v>314</v>
      </c>
      <c r="F324" s="41">
        <v>-510</v>
      </c>
      <c r="G324" s="41">
        <v>-1260</v>
      </c>
      <c r="H324" s="41">
        <v>-724.4</v>
      </c>
      <c r="I324" s="41">
        <v>-1277</v>
      </c>
      <c r="J324" s="42">
        <v>-848</v>
      </c>
      <c r="K324" s="43">
        <v>-848</v>
      </c>
      <c r="L324" s="41">
        <v>-252.2</v>
      </c>
      <c r="M324" s="44">
        <v>-595.79999999999995</v>
      </c>
      <c r="N324" s="45">
        <v>-0.81148299999999995</v>
      </c>
      <c r="O324" s="46">
        <v>-0.25897478025137599</v>
      </c>
      <c r="P324" s="47">
        <v>-0.55250821974862396</v>
      </c>
      <c r="Q324" s="43">
        <v>-1696</v>
      </c>
      <c r="R324" s="41">
        <v>-512.20000000000005</v>
      </c>
      <c r="S324" s="44">
        <v>-1183.8</v>
      </c>
      <c r="T324" s="48">
        <v>-0.78482099999999999</v>
      </c>
      <c r="U324" s="46">
        <v>-0.24960770362862</v>
      </c>
      <c r="V324" s="47">
        <v>-0.53521329637138004</v>
      </c>
      <c r="W324" s="43">
        <v>-520</v>
      </c>
      <c r="X324" s="44">
        <v>-1176</v>
      </c>
      <c r="Y324" s="49"/>
      <c r="AA324" s="15" t="s">
        <v>21</v>
      </c>
      <c r="AB324" s="15" t="str">
        <f t="shared" si="5"/>
        <v>Muncie - 128VIL</v>
      </c>
    </row>
    <row r="325" spans="1:28" x14ac:dyDescent="0.25">
      <c r="A325" s="39" t="s">
        <v>195</v>
      </c>
      <c r="B325" s="39" t="s">
        <v>324</v>
      </c>
      <c r="C325" s="40" t="s">
        <v>325</v>
      </c>
      <c r="D325" s="39" t="s">
        <v>313</v>
      </c>
      <c r="E325" s="39" t="s">
        <v>314</v>
      </c>
      <c r="F325" s="41">
        <v>0</v>
      </c>
      <c r="G325" s="41">
        <v>-3000</v>
      </c>
      <c r="H325" s="41">
        <v>-9000</v>
      </c>
      <c r="I325" s="41">
        <v>0</v>
      </c>
      <c r="J325" s="42">
        <v>0</v>
      </c>
      <c r="K325" s="43">
        <v>0</v>
      </c>
      <c r="L325" s="41">
        <v>0</v>
      </c>
      <c r="M325" s="44">
        <v>0</v>
      </c>
      <c r="N325" s="45">
        <v>0</v>
      </c>
      <c r="O325" s="46">
        <v>0</v>
      </c>
      <c r="P325" s="47">
        <v>0</v>
      </c>
      <c r="Q325" s="43">
        <v>0</v>
      </c>
      <c r="R325" s="41">
        <v>0</v>
      </c>
      <c r="S325" s="44">
        <v>0</v>
      </c>
      <c r="T325" s="48">
        <v>0</v>
      </c>
      <c r="U325" s="46">
        <v>0</v>
      </c>
      <c r="V325" s="47">
        <v>0</v>
      </c>
      <c r="W325" s="43">
        <v>0</v>
      </c>
      <c r="X325" s="44">
        <v>0</v>
      </c>
      <c r="Y325" s="49"/>
      <c r="AA325" s="15" t="s">
        <v>21</v>
      </c>
      <c r="AB325" s="15" t="str">
        <f t="shared" si="5"/>
        <v>New Albany RC - 236VIL</v>
      </c>
    </row>
    <row r="326" spans="1:28" x14ac:dyDescent="0.25">
      <c r="A326" s="39" t="s">
        <v>197</v>
      </c>
      <c r="B326" s="39" t="s">
        <v>324</v>
      </c>
      <c r="C326" s="40" t="s">
        <v>325</v>
      </c>
      <c r="D326" s="39" t="s">
        <v>313</v>
      </c>
      <c r="E326" s="39" t="s">
        <v>314</v>
      </c>
      <c r="F326" s="41">
        <v>-4742</v>
      </c>
      <c r="G326" s="41">
        <v>-4742</v>
      </c>
      <c r="H326" s="41">
        <v>-1692</v>
      </c>
      <c r="I326" s="41">
        <v>-4650.07</v>
      </c>
      <c r="J326" s="42">
        <v>-511.61</v>
      </c>
      <c r="K326" s="43">
        <v>-1270</v>
      </c>
      <c r="L326" s="41">
        <v>-1399.71</v>
      </c>
      <c r="M326" s="44">
        <v>129.71</v>
      </c>
      <c r="N326" s="45">
        <v>-1.225868</v>
      </c>
      <c r="O326" s="46">
        <v>-1.21958161719147</v>
      </c>
      <c r="P326" s="47">
        <v>-6.2863828085324399E-3</v>
      </c>
      <c r="Q326" s="43">
        <v>-1781.61</v>
      </c>
      <c r="R326" s="41">
        <v>-2842.71</v>
      </c>
      <c r="S326" s="44">
        <v>1061.0999999999999</v>
      </c>
      <c r="T326" s="48">
        <v>-0.81203700000000001</v>
      </c>
      <c r="U326" s="46">
        <v>-1.17546954402029</v>
      </c>
      <c r="V326" s="47">
        <v>0.36343254402029401</v>
      </c>
      <c r="W326" s="43">
        <v>-4274</v>
      </c>
      <c r="X326" s="44">
        <v>2492.39</v>
      </c>
      <c r="Y326" s="49"/>
      <c r="AA326" s="15" t="s">
        <v>21</v>
      </c>
      <c r="AB326" s="15" t="str">
        <f t="shared" si="5"/>
        <v>New Albany SC - 5151VIL</v>
      </c>
    </row>
    <row r="327" spans="1:28" x14ac:dyDescent="0.25">
      <c r="A327" s="39" t="s">
        <v>205</v>
      </c>
      <c r="B327" s="39" t="s">
        <v>324</v>
      </c>
      <c r="C327" s="40" t="s">
        <v>325</v>
      </c>
      <c r="D327" s="39" t="s">
        <v>313</v>
      </c>
      <c r="E327" s="39" t="s">
        <v>314</v>
      </c>
      <c r="F327" s="41">
        <v>0</v>
      </c>
      <c r="G327" s="41">
        <v>0</v>
      </c>
      <c r="H327" s="41">
        <v>0</v>
      </c>
      <c r="I327" s="41">
        <v>0</v>
      </c>
      <c r="J327" s="42">
        <v>0</v>
      </c>
      <c r="K327" s="43">
        <v>-107.11</v>
      </c>
      <c r="L327" s="41">
        <v>0</v>
      </c>
      <c r="M327" s="44">
        <v>-107.11</v>
      </c>
      <c r="N327" s="45">
        <v>-1.115729</v>
      </c>
      <c r="O327" s="46">
        <v>0</v>
      </c>
      <c r="P327" s="47">
        <v>-1.115729</v>
      </c>
      <c r="Q327" s="43">
        <v>-107.11</v>
      </c>
      <c r="R327" s="41">
        <v>0</v>
      </c>
      <c r="S327" s="44">
        <v>-107.11</v>
      </c>
      <c r="T327" s="48">
        <v>-1.115729</v>
      </c>
      <c r="U327" s="46">
        <v>0</v>
      </c>
      <c r="V327" s="47">
        <v>-1.115729</v>
      </c>
      <c r="W327" s="43">
        <v>0</v>
      </c>
      <c r="X327" s="44">
        <v>-107.11</v>
      </c>
      <c r="Y327" s="49"/>
      <c r="AA327" s="15" t="s">
        <v>21</v>
      </c>
      <c r="AB327" s="15" t="str">
        <f t="shared" si="5"/>
        <v>Ottawa MO - 430VIL</v>
      </c>
    </row>
    <row r="328" spans="1:28" x14ac:dyDescent="0.25">
      <c r="A328" s="39" t="s">
        <v>208</v>
      </c>
      <c r="B328" s="39" t="s">
        <v>324</v>
      </c>
      <c r="C328" s="40" t="s">
        <v>325</v>
      </c>
      <c r="D328" s="39" t="s">
        <v>313</v>
      </c>
      <c r="E328" s="39" t="s">
        <v>314</v>
      </c>
      <c r="F328" s="41">
        <v>0</v>
      </c>
      <c r="G328" s="41">
        <v>-8.68</v>
      </c>
      <c r="H328" s="41">
        <v>0</v>
      </c>
      <c r="I328" s="41">
        <v>0</v>
      </c>
      <c r="J328" s="42">
        <v>0</v>
      </c>
      <c r="K328" s="43">
        <v>0</v>
      </c>
      <c r="L328" s="41">
        <v>0</v>
      </c>
      <c r="M328" s="44">
        <v>0</v>
      </c>
      <c r="N328" s="45">
        <v>0</v>
      </c>
      <c r="O328" s="46">
        <v>0</v>
      </c>
      <c r="P328" s="47">
        <v>0</v>
      </c>
      <c r="Q328" s="43">
        <v>0</v>
      </c>
      <c r="R328" s="41">
        <v>0</v>
      </c>
      <c r="S328" s="44">
        <v>0</v>
      </c>
      <c r="T328" s="48">
        <v>0</v>
      </c>
      <c r="U328" s="46">
        <v>0</v>
      </c>
      <c r="V328" s="47">
        <v>0</v>
      </c>
      <c r="W328" s="43">
        <v>-18.57</v>
      </c>
      <c r="X328" s="44">
        <v>18.57</v>
      </c>
      <c r="Y328" s="49"/>
      <c r="AA328" s="15" t="s">
        <v>21</v>
      </c>
      <c r="AB328" s="15" t="str">
        <f t="shared" si="5"/>
        <v>Peru - 2144VIL</v>
      </c>
    </row>
    <row r="329" spans="1:28" x14ac:dyDescent="0.25">
      <c r="A329" s="39" t="s">
        <v>219</v>
      </c>
      <c r="B329" s="39" t="s">
        <v>324</v>
      </c>
      <c r="C329" s="40" t="s">
        <v>325</v>
      </c>
      <c r="D329" s="39" t="s">
        <v>313</v>
      </c>
      <c r="E329" s="39" t="s">
        <v>314</v>
      </c>
      <c r="F329" s="41">
        <v>0</v>
      </c>
      <c r="G329" s="41">
        <v>-250</v>
      </c>
      <c r="H329" s="41">
        <v>0</v>
      </c>
      <c r="I329" s="41">
        <v>-1500</v>
      </c>
      <c r="J329" s="42">
        <v>0</v>
      </c>
      <c r="K329" s="43">
        <v>0</v>
      </c>
      <c r="L329" s="41">
        <v>-646.66666666670005</v>
      </c>
      <c r="M329" s="44">
        <v>646.66666666670005</v>
      </c>
      <c r="N329" s="45">
        <v>0</v>
      </c>
      <c r="O329" s="46">
        <v>-1.3585434173670099</v>
      </c>
      <c r="P329" s="47">
        <v>1.3585434173670099</v>
      </c>
      <c r="Q329" s="43">
        <v>0</v>
      </c>
      <c r="R329" s="41">
        <v>-1313.3333333333001</v>
      </c>
      <c r="S329" s="44">
        <v>1313.3333333333001</v>
      </c>
      <c r="T329" s="48">
        <v>0</v>
      </c>
      <c r="U329" s="46">
        <v>-1.30940511797936</v>
      </c>
      <c r="V329" s="47">
        <v>1.30940511797936</v>
      </c>
      <c r="W329" s="43">
        <v>0</v>
      </c>
      <c r="X329" s="44">
        <v>0</v>
      </c>
      <c r="Y329" s="49"/>
      <c r="AA329" s="15" t="s">
        <v>21</v>
      </c>
      <c r="AB329" s="15" t="str">
        <f t="shared" si="5"/>
        <v>Shelbyville - 118VIL</v>
      </c>
    </row>
    <row r="330" spans="1:28" x14ac:dyDescent="0.25">
      <c r="A330" s="39" t="s">
        <v>279</v>
      </c>
      <c r="B330" s="39" t="s">
        <v>324</v>
      </c>
      <c r="C330" s="40" t="s">
        <v>325</v>
      </c>
      <c r="D330" s="39" t="s">
        <v>313</v>
      </c>
      <c r="E330" s="39" t="s">
        <v>314</v>
      </c>
      <c r="F330" s="41">
        <v>0</v>
      </c>
      <c r="G330" s="41">
        <v>0</v>
      </c>
      <c r="H330" s="41">
        <v>0</v>
      </c>
      <c r="I330" s="41">
        <v>0</v>
      </c>
      <c r="J330" s="42">
        <v>0</v>
      </c>
      <c r="K330" s="43">
        <v>0</v>
      </c>
      <c r="L330" s="41">
        <v>0</v>
      </c>
      <c r="M330" s="44">
        <v>0</v>
      </c>
      <c r="N330" s="45">
        <v>0</v>
      </c>
      <c r="O330" s="46">
        <v>0</v>
      </c>
      <c r="P330" s="47">
        <v>0</v>
      </c>
      <c r="Q330" s="43">
        <v>0</v>
      </c>
      <c r="R330" s="41">
        <v>0</v>
      </c>
      <c r="S330" s="44">
        <v>0</v>
      </c>
      <c r="T330" s="48">
        <v>0</v>
      </c>
      <c r="U330" s="46">
        <v>0</v>
      </c>
      <c r="V330" s="47">
        <v>0</v>
      </c>
      <c r="W330" s="43">
        <v>-2564</v>
      </c>
      <c r="X330" s="44">
        <v>2564</v>
      </c>
      <c r="Y330" s="49"/>
      <c r="AA330" s="15" t="s">
        <v>21</v>
      </c>
      <c r="AB330" s="15" t="str">
        <f t="shared" si="5"/>
        <v>Springfield FG - 401VIL</v>
      </c>
    </row>
    <row r="331" spans="1:28" x14ac:dyDescent="0.25">
      <c r="A331" s="39" t="s">
        <v>226</v>
      </c>
      <c r="B331" s="39" t="s">
        <v>324</v>
      </c>
      <c r="C331" s="40" t="s">
        <v>325</v>
      </c>
      <c r="D331" s="39" t="s">
        <v>313</v>
      </c>
      <c r="E331" s="39" t="s">
        <v>314</v>
      </c>
      <c r="F331" s="41">
        <v>-104</v>
      </c>
      <c r="G331" s="41">
        <v>-354</v>
      </c>
      <c r="H331" s="41">
        <v>-104</v>
      </c>
      <c r="I331" s="41">
        <v>-3391.42</v>
      </c>
      <c r="J331" s="42">
        <v>-110</v>
      </c>
      <c r="K331" s="43">
        <v>-110</v>
      </c>
      <c r="L331" s="41">
        <v>-100.88</v>
      </c>
      <c r="M331" s="44">
        <v>-9.1199999999999992</v>
      </c>
      <c r="N331" s="45">
        <v>-0.116772</v>
      </c>
      <c r="O331" s="46">
        <v>-9.7660098522167504E-2</v>
      </c>
      <c r="P331" s="47">
        <v>-1.91119014778325E-2</v>
      </c>
      <c r="Q331" s="43">
        <v>-220</v>
      </c>
      <c r="R331" s="41">
        <v>-204.88</v>
      </c>
      <c r="S331" s="44">
        <v>-15.12</v>
      </c>
      <c r="T331" s="48">
        <v>-0.116772</v>
      </c>
      <c r="U331" s="46">
        <v>-9.9814071764465301E-2</v>
      </c>
      <c r="V331" s="47">
        <v>-1.69579282355347E-2</v>
      </c>
      <c r="W331" s="43">
        <v>-208</v>
      </c>
      <c r="X331" s="44">
        <v>-12</v>
      </c>
      <c r="Y331" s="49"/>
      <c r="AA331" s="15" t="s">
        <v>21</v>
      </c>
      <c r="AB331" s="15" t="str">
        <f t="shared" si="5"/>
        <v>Sylvania - 2427VIL</v>
      </c>
    </row>
    <row r="332" spans="1:28" x14ac:dyDescent="0.25">
      <c r="A332" s="39" t="s">
        <v>228</v>
      </c>
      <c r="B332" s="39" t="s">
        <v>324</v>
      </c>
      <c r="C332" s="40" t="s">
        <v>325</v>
      </c>
      <c r="D332" s="39" t="s">
        <v>313</v>
      </c>
      <c r="E332" s="39" t="s">
        <v>314</v>
      </c>
      <c r="F332" s="41">
        <v>0</v>
      </c>
      <c r="G332" s="41">
        <v>-3000</v>
      </c>
      <c r="H332" s="41">
        <v>0</v>
      </c>
      <c r="I332" s="41">
        <v>-10000</v>
      </c>
      <c r="J332" s="42">
        <v>-3361</v>
      </c>
      <c r="K332" s="43">
        <v>-361</v>
      </c>
      <c r="L332" s="41">
        <v>-323.3333333333</v>
      </c>
      <c r="M332" s="44">
        <v>-37.666666666700003</v>
      </c>
      <c r="N332" s="45">
        <v>-0.69289800000000001</v>
      </c>
      <c r="O332" s="46">
        <v>-0.578248324868195</v>
      </c>
      <c r="P332" s="47">
        <v>-0.114649675131805</v>
      </c>
      <c r="Q332" s="43">
        <v>-3722</v>
      </c>
      <c r="R332" s="41">
        <v>-656.66666666670005</v>
      </c>
      <c r="S332" s="44">
        <v>-3065.3333333332998</v>
      </c>
      <c r="T332" s="48">
        <v>-3.4431080000000001</v>
      </c>
      <c r="U332" s="46">
        <v>-0.55733317490362699</v>
      </c>
      <c r="V332" s="47">
        <v>-2.88577482509637</v>
      </c>
      <c r="W332" s="43">
        <v>0</v>
      </c>
      <c r="X332" s="44">
        <v>-3722</v>
      </c>
      <c r="Y332" s="49"/>
      <c r="AA332" s="15" t="s">
        <v>21</v>
      </c>
      <c r="AB332" s="15" t="str">
        <f t="shared" si="5"/>
        <v>Tell City - 103VIL</v>
      </c>
    </row>
    <row r="333" spans="1:28" x14ac:dyDescent="0.25">
      <c r="A333" s="39" t="s">
        <v>229</v>
      </c>
      <c r="B333" s="39" t="s">
        <v>324</v>
      </c>
      <c r="C333" s="40" t="s">
        <v>325</v>
      </c>
      <c r="D333" s="39" t="s">
        <v>313</v>
      </c>
      <c r="E333" s="39" t="s">
        <v>314</v>
      </c>
      <c r="F333" s="41">
        <v>-333.33</v>
      </c>
      <c r="G333" s="41">
        <v>-9798.1299999999992</v>
      </c>
      <c r="H333" s="41">
        <v>-7677.42</v>
      </c>
      <c r="I333" s="41">
        <v>-2129.0300000000002</v>
      </c>
      <c r="J333" s="42">
        <v>-1000</v>
      </c>
      <c r="K333" s="43">
        <v>0</v>
      </c>
      <c r="L333" s="41">
        <v>0</v>
      </c>
      <c r="M333" s="44">
        <v>0</v>
      </c>
      <c r="N333" s="45">
        <v>0</v>
      </c>
      <c r="O333" s="46">
        <v>0</v>
      </c>
      <c r="P333" s="47">
        <v>0</v>
      </c>
      <c r="Q333" s="43">
        <v>-1000</v>
      </c>
      <c r="R333" s="41">
        <v>0</v>
      </c>
      <c r="S333" s="44">
        <v>-1000</v>
      </c>
      <c r="T333" s="48">
        <v>-0.68027199999999999</v>
      </c>
      <c r="U333" s="46">
        <v>0</v>
      </c>
      <c r="V333" s="47">
        <v>-0.68027199999999999</v>
      </c>
      <c r="W333" s="43">
        <v>0</v>
      </c>
      <c r="X333" s="44">
        <v>-1000</v>
      </c>
      <c r="Y333" s="49"/>
      <c r="AA333" s="15" t="s">
        <v>21</v>
      </c>
      <c r="AB333" s="15" t="str">
        <f t="shared" si="5"/>
        <v>Terre Haute CC - 129VIL</v>
      </c>
    </row>
    <row r="334" spans="1:28" x14ac:dyDescent="0.25">
      <c r="A334" s="39" t="s">
        <v>242</v>
      </c>
      <c r="B334" s="39" t="s">
        <v>324</v>
      </c>
      <c r="C334" s="40" t="s">
        <v>325</v>
      </c>
      <c r="D334" s="39" t="s">
        <v>313</v>
      </c>
      <c r="E334" s="39" t="s">
        <v>314</v>
      </c>
      <c r="F334" s="41">
        <v>0</v>
      </c>
      <c r="G334" s="41">
        <v>-3250</v>
      </c>
      <c r="H334" s="41">
        <v>-4500</v>
      </c>
      <c r="I334" s="41">
        <v>0</v>
      </c>
      <c r="J334" s="42">
        <v>0</v>
      </c>
      <c r="K334" s="43">
        <v>0</v>
      </c>
      <c r="L334" s="41">
        <v>0</v>
      </c>
      <c r="M334" s="44">
        <v>0</v>
      </c>
      <c r="N334" s="45">
        <v>0</v>
      </c>
      <c r="O334" s="46">
        <v>0</v>
      </c>
      <c r="P334" s="47">
        <v>0</v>
      </c>
      <c r="Q334" s="43">
        <v>0</v>
      </c>
      <c r="R334" s="41">
        <v>0</v>
      </c>
      <c r="S334" s="44">
        <v>0</v>
      </c>
      <c r="T334" s="48">
        <v>0</v>
      </c>
      <c r="U334" s="46">
        <v>0</v>
      </c>
      <c r="V334" s="47">
        <v>0</v>
      </c>
      <c r="W334" s="43">
        <v>0</v>
      </c>
      <c r="X334" s="44">
        <v>0</v>
      </c>
      <c r="Y334" s="49"/>
      <c r="AA334" s="15" t="s">
        <v>21</v>
      </c>
      <c r="AB334" s="15" t="str">
        <f t="shared" si="5"/>
        <v>Washington - 305VIL</v>
      </c>
    </row>
    <row r="335" spans="1:28" x14ac:dyDescent="0.25">
      <c r="A335" s="39" t="s">
        <v>243</v>
      </c>
      <c r="B335" s="39" t="s">
        <v>324</v>
      </c>
      <c r="C335" s="40" t="s">
        <v>325</v>
      </c>
      <c r="D335" s="39" t="s">
        <v>313</v>
      </c>
      <c r="E335" s="39" t="s">
        <v>314</v>
      </c>
      <c r="F335" s="41">
        <v>-170</v>
      </c>
      <c r="G335" s="41">
        <v>-170</v>
      </c>
      <c r="H335" s="41">
        <v>-170</v>
      </c>
      <c r="I335" s="41">
        <v>-170</v>
      </c>
      <c r="J335" s="42">
        <v>0</v>
      </c>
      <c r="K335" s="43">
        <v>0</v>
      </c>
      <c r="L335" s="41">
        <v>-164.9</v>
      </c>
      <c r="M335" s="44">
        <v>164.9</v>
      </c>
      <c r="N335" s="45">
        <v>0</v>
      </c>
      <c r="O335" s="46">
        <v>-0.71385281385281396</v>
      </c>
      <c r="P335" s="47">
        <v>0.71385281385281396</v>
      </c>
      <c r="Q335" s="43">
        <v>0</v>
      </c>
      <c r="R335" s="41">
        <v>-334.9</v>
      </c>
      <c r="S335" s="44">
        <v>334.9</v>
      </c>
      <c r="T335" s="48">
        <v>0</v>
      </c>
      <c r="U335" s="46">
        <v>-0.68803287108371802</v>
      </c>
      <c r="V335" s="47">
        <v>0.68803287108371802</v>
      </c>
      <c r="W335" s="43">
        <v>-340</v>
      </c>
      <c r="X335" s="44">
        <v>340</v>
      </c>
      <c r="Y335" s="49"/>
      <c r="AA335" s="15" t="s">
        <v>21</v>
      </c>
      <c r="AB335" s="15" t="str">
        <f t="shared" si="5"/>
        <v>Waunakee - 571VIL</v>
      </c>
    </row>
    <row r="336" spans="1:28" x14ac:dyDescent="0.25">
      <c r="A336" s="39" t="s">
        <v>248</v>
      </c>
      <c r="B336" s="39" t="s">
        <v>324</v>
      </c>
      <c r="C336" s="40" t="s">
        <v>325</v>
      </c>
      <c r="D336" s="39" t="s">
        <v>313</v>
      </c>
      <c r="E336" s="39" t="s">
        <v>314</v>
      </c>
      <c r="F336" s="41">
        <v>-1500</v>
      </c>
      <c r="G336" s="41">
        <v>-250</v>
      </c>
      <c r="H336" s="41">
        <v>-1500</v>
      </c>
      <c r="I336" s="41">
        <v>0</v>
      </c>
      <c r="J336" s="42">
        <v>0</v>
      </c>
      <c r="K336" s="43">
        <v>0</v>
      </c>
      <c r="L336" s="41">
        <v>0</v>
      </c>
      <c r="M336" s="44">
        <v>0</v>
      </c>
      <c r="N336" s="45">
        <v>0</v>
      </c>
      <c r="O336" s="46">
        <v>0</v>
      </c>
      <c r="P336" s="47">
        <v>0</v>
      </c>
      <c r="Q336" s="43">
        <v>0</v>
      </c>
      <c r="R336" s="41">
        <v>0</v>
      </c>
      <c r="S336" s="44">
        <v>0</v>
      </c>
      <c r="T336" s="48">
        <v>0</v>
      </c>
      <c r="U336" s="46">
        <v>0</v>
      </c>
      <c r="V336" s="47">
        <v>0</v>
      </c>
      <c r="W336" s="43">
        <v>0</v>
      </c>
      <c r="X336" s="44">
        <v>0</v>
      </c>
      <c r="Y336" s="49"/>
      <c r="AA336" s="15" t="s">
        <v>21</v>
      </c>
      <c r="AB336" s="15" t="str">
        <f t="shared" si="5"/>
        <v>Willard - 2424VIL</v>
      </c>
    </row>
    <row r="337" spans="1:28" x14ac:dyDescent="0.25">
      <c r="A337" s="39" t="s">
        <v>316</v>
      </c>
      <c r="B337" s="39" t="s">
        <v>324</v>
      </c>
      <c r="C337" s="40" t="s">
        <v>325</v>
      </c>
      <c r="D337" s="39" t="s">
        <v>313</v>
      </c>
      <c r="E337" s="39" t="s">
        <v>314</v>
      </c>
      <c r="F337" s="41">
        <v>-28992.91</v>
      </c>
      <c r="G337" s="41">
        <v>-59781.37</v>
      </c>
      <c r="H337" s="41">
        <v>-67116.33</v>
      </c>
      <c r="I337" s="41">
        <v>-46836.72</v>
      </c>
      <c r="J337" s="42">
        <v>-26367.78</v>
      </c>
      <c r="K337" s="43">
        <v>-15144.35</v>
      </c>
      <c r="L337" s="41">
        <v>-14509.921755555601</v>
      </c>
      <c r="M337" s="44">
        <v>-634.42824444439998</v>
      </c>
      <c r="N337" s="45">
        <v>-0.69491800000000004</v>
      </c>
      <c r="O337" s="46">
        <v>-0.66749014173454702</v>
      </c>
      <c r="P337" s="47">
        <v>-2.7427858265452899E-2</v>
      </c>
      <c r="Q337" s="43">
        <v>-41512.129999999997</v>
      </c>
      <c r="R337" s="41">
        <v>-29468.603977777799</v>
      </c>
      <c r="S337" s="44">
        <v>-12043.5260222222</v>
      </c>
      <c r="T337" s="48">
        <v>-0.90879900000000002</v>
      </c>
      <c r="U337" s="46">
        <v>-0.64909606729342295</v>
      </c>
      <c r="V337" s="47">
        <v>-0.25970293270657702</v>
      </c>
      <c r="W337" s="43">
        <v>-25509</v>
      </c>
      <c r="X337" s="44">
        <v>-16003.13</v>
      </c>
      <c r="Y337" s="49"/>
      <c r="AA337" s="15" t="s">
        <v>21</v>
      </c>
      <c r="AB337" s="15" t="str">
        <f t="shared" si="5"/>
        <v>Total CompanyVIL</v>
      </c>
    </row>
    <row r="338" spans="1:28" x14ac:dyDescent="0.25">
      <c r="A338" s="39" t="s">
        <v>43</v>
      </c>
      <c r="B338" s="39" t="s">
        <v>326</v>
      </c>
      <c r="C338" s="40" t="s">
        <v>327</v>
      </c>
      <c r="D338" s="39" t="s">
        <v>313</v>
      </c>
      <c r="E338" s="39" t="s">
        <v>314</v>
      </c>
      <c r="F338" s="41">
        <v>0</v>
      </c>
      <c r="G338" s="41">
        <v>0</v>
      </c>
      <c r="H338" s="41">
        <v>0</v>
      </c>
      <c r="I338" s="41">
        <v>-100</v>
      </c>
      <c r="J338" s="42">
        <v>-2500.14</v>
      </c>
      <c r="K338" s="43">
        <v>0</v>
      </c>
      <c r="L338" s="41">
        <v>0</v>
      </c>
      <c r="M338" s="44">
        <v>0</v>
      </c>
      <c r="N338" s="45">
        <v>0</v>
      </c>
      <c r="O338" s="46">
        <v>0</v>
      </c>
      <c r="P338" s="47">
        <v>0</v>
      </c>
      <c r="Q338" s="43">
        <v>-2500.14</v>
      </c>
      <c r="R338" s="41">
        <v>0</v>
      </c>
      <c r="S338" s="44">
        <v>-2500.14</v>
      </c>
      <c r="T338" s="48">
        <v>-1.724234</v>
      </c>
      <c r="U338" s="46">
        <v>0</v>
      </c>
      <c r="V338" s="47">
        <v>-1.724234</v>
      </c>
      <c r="W338" s="43">
        <v>0</v>
      </c>
      <c r="X338" s="44">
        <v>-2500.14</v>
      </c>
      <c r="Y338" s="49"/>
      <c r="AA338" s="15" t="s">
        <v>46</v>
      </c>
      <c r="AB338" s="15" t="str">
        <f t="shared" si="5"/>
        <v>Belmont - 519SL</v>
      </c>
    </row>
    <row r="339" spans="1:28" x14ac:dyDescent="0.25">
      <c r="A339" s="39" t="s">
        <v>57</v>
      </c>
      <c r="B339" s="39" t="s">
        <v>326</v>
      </c>
      <c r="C339" s="40" t="s">
        <v>327</v>
      </c>
      <c r="D339" s="39" t="s">
        <v>313</v>
      </c>
      <c r="E339" s="39" t="s">
        <v>314</v>
      </c>
      <c r="F339" s="41">
        <v>-6000</v>
      </c>
      <c r="G339" s="41">
        <v>-6000</v>
      </c>
      <c r="H339" s="41">
        <v>-7000</v>
      </c>
      <c r="I339" s="41">
        <v>0</v>
      </c>
      <c r="J339" s="42">
        <v>0</v>
      </c>
      <c r="K339" s="43">
        <v>0</v>
      </c>
      <c r="L339" s="41">
        <v>-646.66666666670005</v>
      </c>
      <c r="M339" s="44">
        <v>646.66666666670005</v>
      </c>
      <c r="N339" s="45">
        <v>0</v>
      </c>
      <c r="O339" s="46">
        <v>-0.91562283744812101</v>
      </c>
      <c r="P339" s="47">
        <v>0.91562283744812101</v>
      </c>
      <c r="Q339" s="43">
        <v>0</v>
      </c>
      <c r="R339" s="41">
        <v>-1313.3333333333001</v>
      </c>
      <c r="S339" s="44">
        <v>1313.3333333333001</v>
      </c>
      <c r="T339" s="48">
        <v>0</v>
      </c>
      <c r="U339" s="46">
        <v>-0.88238594134674198</v>
      </c>
      <c r="V339" s="47">
        <v>0.88238594134674198</v>
      </c>
      <c r="W339" s="43">
        <v>0</v>
      </c>
      <c r="X339" s="44">
        <v>0</v>
      </c>
      <c r="Y339" s="49"/>
      <c r="AA339" s="15" t="s">
        <v>46</v>
      </c>
      <c r="AB339" s="15" t="str">
        <f t="shared" si="5"/>
        <v>Bowling Green - 443SL</v>
      </c>
    </row>
    <row r="340" spans="1:28" x14ac:dyDescent="0.25">
      <c r="A340" s="39" t="s">
        <v>61</v>
      </c>
      <c r="B340" s="39" t="s">
        <v>326</v>
      </c>
      <c r="C340" s="40" t="s">
        <v>327</v>
      </c>
      <c r="D340" s="39" t="s">
        <v>313</v>
      </c>
      <c r="E340" s="39" t="s">
        <v>314</v>
      </c>
      <c r="F340" s="41">
        <v>-140</v>
      </c>
      <c r="G340" s="41">
        <v>-140</v>
      </c>
      <c r="H340" s="41">
        <v>-6140</v>
      </c>
      <c r="I340" s="41">
        <v>-3140</v>
      </c>
      <c r="J340" s="42">
        <v>0</v>
      </c>
      <c r="K340" s="43">
        <v>0</v>
      </c>
      <c r="L340" s="41">
        <v>-135.80000000000001</v>
      </c>
      <c r="M340" s="44">
        <v>135.80000000000001</v>
      </c>
      <c r="N340" s="45">
        <v>0</v>
      </c>
      <c r="O340" s="46">
        <v>-0.221461187214612</v>
      </c>
      <c r="P340" s="47">
        <v>0.221461187214612</v>
      </c>
      <c r="Q340" s="43">
        <v>0</v>
      </c>
      <c r="R340" s="41">
        <v>-275.8</v>
      </c>
      <c r="S340" s="44">
        <v>275.8</v>
      </c>
      <c r="T340" s="48">
        <v>0</v>
      </c>
      <c r="U340" s="46">
        <v>-0.21345097128705201</v>
      </c>
      <c r="V340" s="47">
        <v>0.21345097128705201</v>
      </c>
      <c r="W340" s="43">
        <v>-280</v>
      </c>
      <c r="X340" s="44">
        <v>280</v>
      </c>
      <c r="Y340" s="49"/>
      <c r="AA340" s="15" t="s">
        <v>46</v>
      </c>
      <c r="AB340" s="15" t="str">
        <f t="shared" si="5"/>
        <v>Byron Center - 518SL</v>
      </c>
    </row>
    <row r="341" spans="1:28" x14ac:dyDescent="0.25">
      <c r="A341" s="39" t="s">
        <v>84</v>
      </c>
      <c r="B341" s="39" t="s">
        <v>326</v>
      </c>
      <c r="C341" s="40" t="s">
        <v>327</v>
      </c>
      <c r="D341" s="39" t="s">
        <v>313</v>
      </c>
      <c r="E341" s="39" t="s">
        <v>314</v>
      </c>
      <c r="F341" s="41">
        <v>0</v>
      </c>
      <c r="G341" s="41">
        <v>0</v>
      </c>
      <c r="H341" s="41">
        <v>0</v>
      </c>
      <c r="I341" s="41">
        <v>0</v>
      </c>
      <c r="J341" s="42">
        <v>0</v>
      </c>
      <c r="K341" s="43">
        <v>0</v>
      </c>
      <c r="L341" s="41">
        <v>0</v>
      </c>
      <c r="M341" s="44">
        <v>0</v>
      </c>
      <c r="N341" s="45">
        <v>0</v>
      </c>
      <c r="O341" s="46">
        <v>0</v>
      </c>
      <c r="P341" s="47">
        <v>0</v>
      </c>
      <c r="Q341" s="43">
        <v>0</v>
      </c>
      <c r="R341" s="41">
        <v>0</v>
      </c>
      <c r="S341" s="44">
        <v>0</v>
      </c>
      <c r="T341" s="48">
        <v>0</v>
      </c>
      <c r="U341" s="46">
        <v>0</v>
      </c>
      <c r="V341" s="47">
        <v>0</v>
      </c>
      <c r="W341" s="43">
        <v>0</v>
      </c>
      <c r="X341" s="44">
        <v>0</v>
      </c>
      <c r="Y341" s="49"/>
      <c r="AA341" s="15" t="s">
        <v>46</v>
      </c>
      <c r="AB341" s="15" t="str">
        <f t="shared" si="5"/>
        <v>Cynthiana - 114SL</v>
      </c>
    </row>
    <row r="342" spans="1:28" x14ac:dyDescent="0.25">
      <c r="A342" s="39" t="s">
        <v>113</v>
      </c>
      <c r="B342" s="39" t="s">
        <v>326</v>
      </c>
      <c r="C342" s="40" t="s">
        <v>327</v>
      </c>
      <c r="D342" s="39" t="s">
        <v>313</v>
      </c>
      <c r="E342" s="39" t="s">
        <v>314</v>
      </c>
      <c r="F342" s="41">
        <v>-500</v>
      </c>
      <c r="G342" s="41">
        <v>0</v>
      </c>
      <c r="H342" s="41">
        <v>-3284</v>
      </c>
      <c r="I342" s="41">
        <v>-214</v>
      </c>
      <c r="J342" s="42">
        <v>-2109.0500000000002</v>
      </c>
      <c r="K342" s="43">
        <v>-1669.6</v>
      </c>
      <c r="L342" s="41">
        <v>0</v>
      </c>
      <c r="M342" s="44">
        <v>-1669.6</v>
      </c>
      <c r="N342" s="45">
        <v>-3.7102219999999999</v>
      </c>
      <c r="O342" s="46">
        <v>0</v>
      </c>
      <c r="P342" s="47">
        <v>-3.7102219999999999</v>
      </c>
      <c r="Q342" s="43">
        <v>-3778.65</v>
      </c>
      <c r="R342" s="41">
        <v>0</v>
      </c>
      <c r="S342" s="44">
        <v>-3778.65</v>
      </c>
      <c r="T342" s="48">
        <v>-3.8955150000000001</v>
      </c>
      <c r="U342" s="46">
        <v>0</v>
      </c>
      <c r="V342" s="47">
        <v>-3.8955150000000001</v>
      </c>
      <c r="W342" s="43">
        <v>0</v>
      </c>
      <c r="X342" s="44">
        <v>-3778.65</v>
      </c>
      <c r="Y342" s="49"/>
      <c r="AA342" s="15" t="s">
        <v>46</v>
      </c>
      <c r="AB342" s="15" t="str">
        <f t="shared" si="5"/>
        <v>Gahanna - 436SL</v>
      </c>
    </row>
    <row r="343" spans="1:28" x14ac:dyDescent="0.25">
      <c r="A343" s="39" t="s">
        <v>127</v>
      </c>
      <c r="B343" s="39" t="s">
        <v>326</v>
      </c>
      <c r="C343" s="40" t="s">
        <v>327</v>
      </c>
      <c r="D343" s="39" t="s">
        <v>313</v>
      </c>
      <c r="E343" s="39" t="s">
        <v>314</v>
      </c>
      <c r="F343" s="41">
        <v>-190</v>
      </c>
      <c r="G343" s="41">
        <v>-190</v>
      </c>
      <c r="H343" s="41">
        <v>-190</v>
      </c>
      <c r="I343" s="41">
        <v>-190</v>
      </c>
      <c r="J343" s="42">
        <v>0</v>
      </c>
      <c r="K343" s="43">
        <v>0</v>
      </c>
      <c r="L343" s="41">
        <v>-184.3</v>
      </c>
      <c r="M343" s="44">
        <v>184.3</v>
      </c>
      <c r="N343" s="45">
        <v>0</v>
      </c>
      <c r="O343" s="46">
        <v>-0.26540898617511499</v>
      </c>
      <c r="P343" s="47">
        <v>0.26540898617511499</v>
      </c>
      <c r="Q343" s="43">
        <v>0</v>
      </c>
      <c r="R343" s="41">
        <v>-374.3</v>
      </c>
      <c r="S343" s="44">
        <v>374.3</v>
      </c>
      <c r="T343" s="48">
        <v>0</v>
      </c>
      <c r="U343" s="46">
        <v>-0.255809185347184</v>
      </c>
      <c r="V343" s="47">
        <v>0.255809185347184</v>
      </c>
      <c r="W343" s="43">
        <v>-380</v>
      </c>
      <c r="X343" s="44">
        <v>380</v>
      </c>
      <c r="Y343" s="49"/>
      <c r="AA343" s="15" t="s">
        <v>46</v>
      </c>
      <c r="AB343" s="15" t="str">
        <f t="shared" si="5"/>
        <v>Harrison - 442SL</v>
      </c>
    </row>
    <row r="344" spans="1:28" x14ac:dyDescent="0.25">
      <c r="A344" s="39" t="s">
        <v>128</v>
      </c>
      <c r="B344" s="39" t="s">
        <v>326</v>
      </c>
      <c r="C344" s="40" t="s">
        <v>327</v>
      </c>
      <c r="D344" s="39" t="s">
        <v>313</v>
      </c>
      <c r="E344" s="39" t="s">
        <v>314</v>
      </c>
      <c r="F344" s="41">
        <v>-750</v>
      </c>
      <c r="G344" s="41">
        <v>-750</v>
      </c>
      <c r="H344" s="41">
        <v>-750</v>
      </c>
      <c r="I344" s="41">
        <v>-750</v>
      </c>
      <c r="J344" s="42">
        <v>-1087</v>
      </c>
      <c r="K344" s="43">
        <v>-465.86</v>
      </c>
      <c r="L344" s="41">
        <v>-727.5</v>
      </c>
      <c r="M344" s="44">
        <v>261.64</v>
      </c>
      <c r="N344" s="45">
        <v>-10.352444</v>
      </c>
      <c r="O344" s="46">
        <v>-25.9821428571429</v>
      </c>
      <c r="P344" s="47">
        <v>15.6296988571429</v>
      </c>
      <c r="Q344" s="43">
        <v>-1552.86</v>
      </c>
      <c r="R344" s="41">
        <v>-1477.5</v>
      </c>
      <c r="S344" s="44">
        <v>-75.3599999999999</v>
      </c>
      <c r="T344" s="48">
        <v>-14.51271</v>
      </c>
      <c r="U344" s="46">
        <v>-25.042372881355899</v>
      </c>
      <c r="V344" s="47">
        <v>10.5296628813559</v>
      </c>
      <c r="W344" s="43">
        <v>-2300</v>
      </c>
      <c r="X344" s="44">
        <v>747.14</v>
      </c>
      <c r="Y344" s="49"/>
      <c r="AA344" s="15" t="s">
        <v>46</v>
      </c>
      <c r="AB344" s="15" t="str">
        <f t="shared" si="5"/>
        <v>Harrodsburg - 2187SL</v>
      </c>
    </row>
    <row r="345" spans="1:28" x14ac:dyDescent="0.25">
      <c r="A345" s="39" t="s">
        <v>281</v>
      </c>
      <c r="B345" s="39" t="s">
        <v>326</v>
      </c>
      <c r="C345" s="40" t="s">
        <v>327</v>
      </c>
      <c r="D345" s="39" t="s">
        <v>313</v>
      </c>
      <c r="E345" s="39" t="s">
        <v>314</v>
      </c>
      <c r="F345" s="41">
        <v>0</v>
      </c>
      <c r="G345" s="41">
        <v>0</v>
      </c>
      <c r="H345" s="41">
        <v>0</v>
      </c>
      <c r="I345" s="41">
        <v>-1295.49</v>
      </c>
      <c r="J345" s="42">
        <v>-6924.67</v>
      </c>
      <c r="K345" s="43">
        <v>-2599.1999999999998</v>
      </c>
      <c r="L345" s="41">
        <v>0</v>
      </c>
      <c r="M345" s="44">
        <v>-2599.1999999999998</v>
      </c>
      <c r="N345" s="45">
        <v>-0.87046199999999996</v>
      </c>
      <c r="O345" s="46">
        <v>0</v>
      </c>
      <c r="P345" s="47">
        <v>-0.87046199999999996</v>
      </c>
      <c r="Q345" s="43">
        <v>-9523.8700000000008</v>
      </c>
      <c r="R345" s="41">
        <v>0</v>
      </c>
      <c r="S345" s="44">
        <v>-9523.8700000000008</v>
      </c>
      <c r="T345" s="48">
        <v>-1.5324</v>
      </c>
      <c r="U345" s="46">
        <v>0</v>
      </c>
      <c r="V345" s="47">
        <v>-1.5324</v>
      </c>
      <c r="W345" s="43">
        <v>0</v>
      </c>
      <c r="X345" s="44">
        <v>-9523.8700000000008</v>
      </c>
      <c r="Y345" s="49"/>
      <c r="AA345" s="15" t="s">
        <v>46</v>
      </c>
      <c r="AB345" s="15" t="str">
        <f t="shared" si="5"/>
        <v>Hickory KRH-0563SL</v>
      </c>
    </row>
    <row r="346" spans="1:28" x14ac:dyDescent="0.25">
      <c r="A346" s="39" t="s">
        <v>130</v>
      </c>
      <c r="B346" s="39" t="s">
        <v>326</v>
      </c>
      <c r="C346" s="40" t="s">
        <v>327</v>
      </c>
      <c r="D346" s="39" t="s">
        <v>313</v>
      </c>
      <c r="E346" s="39" t="s">
        <v>314</v>
      </c>
      <c r="F346" s="41">
        <v>-340</v>
      </c>
      <c r="G346" s="41">
        <v>-340</v>
      </c>
      <c r="H346" s="41">
        <v>-340</v>
      </c>
      <c r="I346" s="41">
        <v>-3340</v>
      </c>
      <c r="J346" s="42">
        <v>-546</v>
      </c>
      <c r="K346" s="43">
        <v>-546</v>
      </c>
      <c r="L346" s="41">
        <v>-329.8</v>
      </c>
      <c r="M346" s="44">
        <v>-216.2</v>
      </c>
      <c r="N346" s="45">
        <v>-0.87081299999999995</v>
      </c>
      <c r="O346" s="46">
        <v>-0.43949893390191902</v>
      </c>
      <c r="P346" s="47">
        <v>-0.43131406609808098</v>
      </c>
      <c r="Q346" s="43">
        <v>-1092</v>
      </c>
      <c r="R346" s="41">
        <v>-669.8</v>
      </c>
      <c r="S346" s="44">
        <v>-422.2</v>
      </c>
      <c r="T346" s="48">
        <v>-0.81492500000000001</v>
      </c>
      <c r="U346" s="46">
        <v>-0.42360232734631897</v>
      </c>
      <c r="V346" s="47">
        <v>-0.39132267265368098</v>
      </c>
      <c r="W346" s="43">
        <v>-680</v>
      </c>
      <c r="X346" s="44">
        <v>-412</v>
      </c>
      <c r="Y346" s="49"/>
      <c r="AA346" s="15" t="s">
        <v>46</v>
      </c>
      <c r="AB346" s="15" t="str">
        <f t="shared" si="5"/>
        <v>Hilliard - 437SL</v>
      </c>
    </row>
    <row r="347" spans="1:28" x14ac:dyDescent="0.25">
      <c r="A347" s="39" t="s">
        <v>132</v>
      </c>
      <c r="B347" s="39" t="s">
        <v>326</v>
      </c>
      <c r="C347" s="40" t="s">
        <v>327</v>
      </c>
      <c r="D347" s="39" t="s">
        <v>313</v>
      </c>
      <c r="E347" s="39" t="s">
        <v>314</v>
      </c>
      <c r="F347" s="41">
        <v>-150</v>
      </c>
      <c r="G347" s="41">
        <v>-150</v>
      </c>
      <c r="H347" s="41">
        <v>-150</v>
      </c>
      <c r="I347" s="41">
        <v>-150</v>
      </c>
      <c r="J347" s="42">
        <v>0</v>
      </c>
      <c r="K347" s="43">
        <v>0</v>
      </c>
      <c r="L347" s="41">
        <v>-145.5</v>
      </c>
      <c r="M347" s="44">
        <v>145.5</v>
      </c>
      <c r="N347" s="45">
        <v>0</v>
      </c>
      <c r="O347" s="46">
        <v>-0.18188618152755301</v>
      </c>
      <c r="P347" s="47">
        <v>0.18188618152755301</v>
      </c>
      <c r="Q347" s="43">
        <v>0</v>
      </c>
      <c r="R347" s="41">
        <v>-295.5</v>
      </c>
      <c r="S347" s="44">
        <v>295.5</v>
      </c>
      <c r="T347" s="48">
        <v>0</v>
      </c>
      <c r="U347" s="46">
        <v>-0.17472896920134701</v>
      </c>
      <c r="V347" s="47">
        <v>0.17472896920134701</v>
      </c>
      <c r="W347" s="43">
        <v>-10878</v>
      </c>
      <c r="X347" s="44">
        <v>10878</v>
      </c>
      <c r="Y347" s="49"/>
      <c r="AA347" s="15" t="s">
        <v>46</v>
      </c>
      <c r="AB347" s="15" t="str">
        <f t="shared" si="5"/>
        <v>Hudsonville - 524SL</v>
      </c>
    </row>
    <row r="348" spans="1:28" x14ac:dyDescent="0.25">
      <c r="A348" s="39" t="s">
        <v>142</v>
      </c>
      <c r="B348" s="39" t="s">
        <v>326</v>
      </c>
      <c r="C348" s="40" t="s">
        <v>327</v>
      </c>
      <c r="D348" s="39" t="s">
        <v>313</v>
      </c>
      <c r="E348" s="39" t="s">
        <v>314</v>
      </c>
      <c r="F348" s="41">
        <v>0</v>
      </c>
      <c r="G348" s="41">
        <v>-3000</v>
      </c>
      <c r="H348" s="41">
        <v>0</v>
      </c>
      <c r="I348" s="41">
        <v>0</v>
      </c>
      <c r="J348" s="42">
        <v>0</v>
      </c>
      <c r="K348" s="43">
        <v>0</v>
      </c>
      <c r="L348" s="41">
        <v>0</v>
      </c>
      <c r="M348" s="44">
        <v>0</v>
      </c>
      <c r="N348" s="45">
        <v>0</v>
      </c>
      <c r="O348" s="46">
        <v>0</v>
      </c>
      <c r="P348" s="47">
        <v>0</v>
      </c>
      <c r="Q348" s="43">
        <v>0</v>
      </c>
      <c r="R348" s="41">
        <v>0</v>
      </c>
      <c r="S348" s="44">
        <v>0</v>
      </c>
      <c r="T348" s="48">
        <v>0</v>
      </c>
      <c r="U348" s="46">
        <v>0</v>
      </c>
      <c r="V348" s="47">
        <v>0</v>
      </c>
      <c r="W348" s="43">
        <v>0</v>
      </c>
      <c r="X348" s="44">
        <v>0</v>
      </c>
      <c r="Y348" s="49"/>
      <c r="AA348" s="15" t="s">
        <v>46</v>
      </c>
      <c r="AB348" s="15" t="str">
        <f t="shared" si="5"/>
        <v>La Grange - 177SL</v>
      </c>
    </row>
    <row r="349" spans="1:28" x14ac:dyDescent="0.25">
      <c r="A349" s="39" t="s">
        <v>147</v>
      </c>
      <c r="B349" s="39" t="s">
        <v>326</v>
      </c>
      <c r="C349" s="40" t="s">
        <v>327</v>
      </c>
      <c r="D349" s="39" t="s">
        <v>313</v>
      </c>
      <c r="E349" s="39" t="s">
        <v>314</v>
      </c>
      <c r="F349" s="41">
        <v>-500</v>
      </c>
      <c r="G349" s="41">
        <v>-500</v>
      </c>
      <c r="H349" s="41">
        <v>-300</v>
      </c>
      <c r="I349" s="41">
        <v>-800</v>
      </c>
      <c r="J349" s="42">
        <v>0</v>
      </c>
      <c r="K349" s="43">
        <v>-500</v>
      </c>
      <c r="L349" s="41">
        <v>-452.6666666667</v>
      </c>
      <c r="M349" s="44">
        <v>-47.333333333299997</v>
      </c>
      <c r="N349" s="45">
        <v>-0.68493099999999996</v>
      </c>
      <c r="O349" s="46">
        <v>-0.59876543209880995</v>
      </c>
      <c r="P349" s="47">
        <v>-8.6165567901190496E-2</v>
      </c>
      <c r="Q349" s="43">
        <v>-500</v>
      </c>
      <c r="R349" s="41">
        <v>-919.33333333329995</v>
      </c>
      <c r="S349" s="44">
        <v>419.3333333333</v>
      </c>
      <c r="T349" s="48">
        <v>-0.31928400000000001</v>
      </c>
      <c r="U349" s="46">
        <v>-0.57710818162793498</v>
      </c>
      <c r="V349" s="47">
        <v>0.25782418162793502</v>
      </c>
      <c r="W349" s="43">
        <v>0</v>
      </c>
      <c r="X349" s="44">
        <v>-500</v>
      </c>
      <c r="Y349" s="49"/>
      <c r="AA349" s="15" t="s">
        <v>46</v>
      </c>
      <c r="AB349" s="15" t="str">
        <f t="shared" si="5"/>
        <v>Lancaster - 445SL</v>
      </c>
    </row>
    <row r="350" spans="1:28" x14ac:dyDescent="0.25">
      <c r="A350" s="39" t="s">
        <v>161</v>
      </c>
      <c r="B350" s="39" t="s">
        <v>326</v>
      </c>
      <c r="C350" s="40" t="s">
        <v>327</v>
      </c>
      <c r="D350" s="39" t="s">
        <v>313</v>
      </c>
      <c r="E350" s="39" t="s">
        <v>314</v>
      </c>
      <c r="F350" s="41">
        <v>-2819</v>
      </c>
      <c r="G350" s="41">
        <v>-2569</v>
      </c>
      <c r="H350" s="41">
        <v>-2569</v>
      </c>
      <c r="I350" s="41">
        <v>-2569</v>
      </c>
      <c r="J350" s="42">
        <v>0</v>
      </c>
      <c r="K350" s="43">
        <v>0</v>
      </c>
      <c r="L350" s="41">
        <v>-2491.9299999999998</v>
      </c>
      <c r="M350" s="44">
        <v>2491.9299999999998</v>
      </c>
      <c r="N350" s="45">
        <v>0</v>
      </c>
      <c r="O350" s="46">
        <v>-3.7472631578947402</v>
      </c>
      <c r="P350" s="47">
        <v>3.7472631578947402</v>
      </c>
      <c r="Q350" s="43">
        <v>0</v>
      </c>
      <c r="R350" s="41">
        <v>-5060.93</v>
      </c>
      <c r="S350" s="44">
        <v>5060.93</v>
      </c>
      <c r="T350" s="48">
        <v>0</v>
      </c>
      <c r="U350" s="46">
        <v>-3.6117252453166802</v>
      </c>
      <c r="V350" s="47">
        <v>3.6117252453166802</v>
      </c>
      <c r="W350" s="43">
        <v>-2818</v>
      </c>
      <c r="X350" s="44">
        <v>2818</v>
      </c>
      <c r="Y350" s="49"/>
      <c r="AA350" s="15" t="s">
        <v>46</v>
      </c>
      <c r="AB350" s="15" t="str">
        <f t="shared" si="5"/>
        <v>Liberty Township - 441SL</v>
      </c>
    </row>
    <row r="351" spans="1:28" x14ac:dyDescent="0.25">
      <c r="A351" s="39" t="s">
        <v>172</v>
      </c>
      <c r="B351" s="39" t="s">
        <v>326</v>
      </c>
      <c r="C351" s="40" t="s">
        <v>327</v>
      </c>
      <c r="D351" s="39" t="s">
        <v>313</v>
      </c>
      <c r="E351" s="39" t="s">
        <v>314</v>
      </c>
      <c r="F351" s="41">
        <v>-6378</v>
      </c>
      <c r="G351" s="41">
        <v>-4570</v>
      </c>
      <c r="H351" s="41">
        <v>-3070</v>
      </c>
      <c r="I351" s="41">
        <v>-70</v>
      </c>
      <c r="J351" s="42">
        <v>0</v>
      </c>
      <c r="K351" s="43">
        <v>210</v>
      </c>
      <c r="L351" s="41">
        <v>-956.85111111109995</v>
      </c>
      <c r="M351" s="44">
        <v>1166.8511111111</v>
      </c>
      <c r="N351" s="45">
        <v>0.326594</v>
      </c>
      <c r="O351" s="46">
        <v>-1.4922818326748299</v>
      </c>
      <c r="P351" s="47">
        <v>1.81887583267483</v>
      </c>
      <c r="Q351" s="43">
        <v>210</v>
      </c>
      <c r="R351" s="41">
        <v>-1943.2955555556</v>
      </c>
      <c r="S351" s="44">
        <v>2153.2955555556</v>
      </c>
      <c r="T351" s="48">
        <v>0.153061</v>
      </c>
      <c r="U351" s="46">
        <v>-1.4383062360710599</v>
      </c>
      <c r="V351" s="47">
        <v>1.59136723607106</v>
      </c>
      <c r="W351" s="43">
        <v>-1000</v>
      </c>
      <c r="X351" s="44">
        <v>1210</v>
      </c>
      <c r="Y351" s="49"/>
      <c r="AA351" s="15" t="s">
        <v>46</v>
      </c>
      <c r="AB351" s="15" t="str">
        <f t="shared" si="5"/>
        <v>Louisville SB - 175SL</v>
      </c>
    </row>
    <row r="352" spans="1:28" x14ac:dyDescent="0.25">
      <c r="A352" s="39" t="s">
        <v>176</v>
      </c>
      <c r="B352" s="39" t="s">
        <v>326</v>
      </c>
      <c r="C352" s="40" t="s">
        <v>327</v>
      </c>
      <c r="D352" s="39" t="s">
        <v>313</v>
      </c>
      <c r="E352" s="39" t="s">
        <v>314</v>
      </c>
      <c r="F352" s="41">
        <v>-499</v>
      </c>
      <c r="G352" s="41">
        <v>-499</v>
      </c>
      <c r="H352" s="41">
        <v>-499</v>
      </c>
      <c r="I352" s="41">
        <v>-499</v>
      </c>
      <c r="J352" s="42">
        <v>0</v>
      </c>
      <c r="K352" s="43">
        <v>0</v>
      </c>
      <c r="L352" s="41">
        <v>-484.03</v>
      </c>
      <c r="M352" s="44">
        <v>484.03</v>
      </c>
      <c r="N352" s="45">
        <v>0</v>
      </c>
      <c r="O352" s="46">
        <v>-1.1524523809523799</v>
      </c>
      <c r="P352" s="47">
        <v>1.1524523809523799</v>
      </c>
      <c r="Q352" s="43">
        <v>0</v>
      </c>
      <c r="R352" s="41">
        <v>-983.03</v>
      </c>
      <c r="S352" s="44">
        <v>983.03</v>
      </c>
      <c r="T352" s="48">
        <v>0</v>
      </c>
      <c r="U352" s="46">
        <v>-1.1107683615819199</v>
      </c>
      <c r="V352" s="47">
        <v>1.1107683615819199</v>
      </c>
      <c r="W352" s="43">
        <v>-3929.47</v>
      </c>
      <c r="X352" s="44">
        <v>3929.47</v>
      </c>
      <c r="Y352" s="49"/>
      <c r="AA352" s="15" t="s">
        <v>46</v>
      </c>
      <c r="AB352" s="15" t="str">
        <f t="shared" si="5"/>
        <v>Louisville WS - 190SL</v>
      </c>
    </row>
    <row r="353" spans="1:28" x14ac:dyDescent="0.25">
      <c r="A353" s="39" t="s">
        <v>183</v>
      </c>
      <c r="B353" s="39" t="s">
        <v>326</v>
      </c>
      <c r="C353" s="40" t="s">
        <v>327</v>
      </c>
      <c r="D353" s="39" t="s">
        <v>313</v>
      </c>
      <c r="E353" s="39" t="s">
        <v>314</v>
      </c>
      <c r="F353" s="41">
        <v>-299</v>
      </c>
      <c r="G353" s="41">
        <v>-299</v>
      </c>
      <c r="H353" s="41">
        <v>-3299</v>
      </c>
      <c r="I353" s="41">
        <v>-106.1</v>
      </c>
      <c r="J353" s="42">
        <v>0</v>
      </c>
      <c r="K353" s="43">
        <v>0</v>
      </c>
      <c r="L353" s="41">
        <v>-290.02999999999997</v>
      </c>
      <c r="M353" s="44">
        <v>290.02999999999997</v>
      </c>
      <c r="N353" s="45">
        <v>0</v>
      </c>
      <c r="O353" s="46">
        <v>-0.44096271969835199</v>
      </c>
      <c r="P353" s="47">
        <v>0.44096271969835199</v>
      </c>
      <c r="Q353" s="43">
        <v>0</v>
      </c>
      <c r="R353" s="41">
        <v>-589.03</v>
      </c>
      <c r="S353" s="44">
        <v>589.03</v>
      </c>
      <c r="T353" s="48">
        <v>0</v>
      </c>
      <c r="U353" s="46">
        <v>-0.42501316824324897</v>
      </c>
      <c r="V353" s="47">
        <v>0.42501316824324897</v>
      </c>
      <c r="W353" s="43">
        <v>-273.02999999999997</v>
      </c>
      <c r="X353" s="44">
        <v>273.02999999999997</v>
      </c>
      <c r="Y353" s="49"/>
      <c r="AA353" s="15" t="s">
        <v>46</v>
      </c>
      <c r="AB353" s="15" t="str">
        <f t="shared" si="5"/>
        <v>Madison - 2157SL</v>
      </c>
    </row>
    <row r="354" spans="1:28" x14ac:dyDescent="0.25">
      <c r="A354" s="39" t="s">
        <v>184</v>
      </c>
      <c r="B354" s="39" t="s">
        <v>326</v>
      </c>
      <c r="C354" s="40" t="s">
        <v>327</v>
      </c>
      <c r="D354" s="39" t="s">
        <v>313</v>
      </c>
      <c r="E354" s="39" t="s">
        <v>314</v>
      </c>
      <c r="F354" s="41">
        <v>-754.37</v>
      </c>
      <c r="G354" s="41">
        <v>-670.05</v>
      </c>
      <c r="H354" s="41">
        <v>-670.05</v>
      </c>
      <c r="I354" s="41">
        <v>-670.05</v>
      </c>
      <c r="J354" s="42">
        <v>0</v>
      </c>
      <c r="K354" s="43">
        <v>0</v>
      </c>
      <c r="L354" s="41">
        <v>-649.94849999999997</v>
      </c>
      <c r="M354" s="44">
        <v>649.94849999999997</v>
      </c>
      <c r="N354" s="45">
        <v>0</v>
      </c>
      <c r="O354" s="46">
        <v>-0.86613606076759098</v>
      </c>
      <c r="P354" s="47">
        <v>0.86613606076759098</v>
      </c>
      <c r="Q354" s="43">
        <v>0</v>
      </c>
      <c r="R354" s="41">
        <v>-1319.9984999999999</v>
      </c>
      <c r="S354" s="44">
        <v>1319.9984999999999</v>
      </c>
      <c r="T354" s="48">
        <v>0</v>
      </c>
      <c r="U354" s="46">
        <v>-0.83480805717176798</v>
      </c>
      <c r="V354" s="47">
        <v>0.83480805717176798</v>
      </c>
      <c r="W354" s="43">
        <v>-2416.4299999999998</v>
      </c>
      <c r="X354" s="44">
        <v>2416.4299999999998</v>
      </c>
      <c r="Y354" s="49"/>
      <c r="AA354" s="15" t="s">
        <v>46</v>
      </c>
      <c r="AB354" s="15" t="str">
        <f t="shared" si="5"/>
        <v>Miami Township - 440SL</v>
      </c>
    </row>
    <row r="355" spans="1:28" x14ac:dyDescent="0.25">
      <c r="A355" s="39" t="s">
        <v>193</v>
      </c>
      <c r="B355" s="39" t="s">
        <v>326</v>
      </c>
      <c r="C355" s="40" t="s">
        <v>327</v>
      </c>
      <c r="D355" s="39" t="s">
        <v>313</v>
      </c>
      <c r="E355" s="39" t="s">
        <v>314</v>
      </c>
      <c r="F355" s="41">
        <v>-610</v>
      </c>
      <c r="G355" s="41">
        <v>-610</v>
      </c>
      <c r="H355" s="41">
        <v>-610</v>
      </c>
      <c r="I355" s="41">
        <v>-610</v>
      </c>
      <c r="J355" s="42">
        <v>-6.45</v>
      </c>
      <c r="K355" s="43">
        <v>-1433</v>
      </c>
      <c r="L355" s="41">
        <v>-591.70000000000005</v>
      </c>
      <c r="M355" s="44">
        <v>-841.3</v>
      </c>
      <c r="N355" s="45">
        <v>-2.0041950000000002</v>
      </c>
      <c r="O355" s="46">
        <v>-0.81434076520781695</v>
      </c>
      <c r="P355" s="47">
        <v>-1.1898542347921801</v>
      </c>
      <c r="Q355" s="43">
        <v>-1439.45</v>
      </c>
      <c r="R355" s="41">
        <v>-1201.7</v>
      </c>
      <c r="S355" s="44">
        <v>-237.75</v>
      </c>
      <c r="T355" s="48">
        <v>-0.94638299999999997</v>
      </c>
      <c r="U355" s="46">
        <v>-0.78488618921655096</v>
      </c>
      <c r="V355" s="47">
        <v>-0.16149681078344899</v>
      </c>
      <c r="W355" s="43">
        <v>-2560</v>
      </c>
      <c r="X355" s="44">
        <v>1120.55</v>
      </c>
      <c r="Y355" s="49"/>
      <c r="AA355" s="15" t="s">
        <v>46</v>
      </c>
      <c r="AB355" s="15" t="str">
        <f t="shared" si="5"/>
        <v>Muskegon - 525SL</v>
      </c>
    </row>
    <row r="356" spans="1:28" x14ac:dyDescent="0.25">
      <c r="A356" s="39" t="s">
        <v>198</v>
      </c>
      <c r="B356" s="39" t="s">
        <v>326</v>
      </c>
      <c r="C356" s="40" t="s">
        <v>327</v>
      </c>
      <c r="D356" s="39" t="s">
        <v>313</v>
      </c>
      <c r="E356" s="39" t="s">
        <v>314</v>
      </c>
      <c r="F356" s="41">
        <v>-220</v>
      </c>
      <c r="G356" s="41">
        <v>-220</v>
      </c>
      <c r="H356" s="41">
        <v>-220</v>
      </c>
      <c r="I356" s="41">
        <v>-3220</v>
      </c>
      <c r="J356" s="42">
        <v>0</v>
      </c>
      <c r="K356" s="43">
        <v>0</v>
      </c>
      <c r="L356" s="41">
        <v>-203.96082222219999</v>
      </c>
      <c r="M356" s="44">
        <v>203.96082222219999</v>
      </c>
      <c r="N356" s="45">
        <v>0</v>
      </c>
      <c r="O356" s="46">
        <v>-0.39459995012807603</v>
      </c>
      <c r="P356" s="47">
        <v>0.39459995012807603</v>
      </c>
      <c r="Q356" s="43">
        <v>0</v>
      </c>
      <c r="R356" s="41">
        <v>-414.22971111110002</v>
      </c>
      <c r="S356" s="44">
        <v>414.22971111110002</v>
      </c>
      <c r="T356" s="48">
        <v>0</v>
      </c>
      <c r="U356" s="46">
        <v>-0.38305302537576602</v>
      </c>
      <c r="V356" s="47">
        <v>0.38305302537576602</v>
      </c>
      <c r="W356" s="43">
        <v>-366.61</v>
      </c>
      <c r="X356" s="44">
        <v>366.61</v>
      </c>
      <c r="Y356" s="49"/>
      <c r="AA356" s="15" t="s">
        <v>46</v>
      </c>
      <c r="AB356" s="15" t="str">
        <f t="shared" si="5"/>
        <v>New Albany SM - 438SL</v>
      </c>
    </row>
    <row r="357" spans="1:28" x14ac:dyDescent="0.25">
      <c r="A357" s="39" t="s">
        <v>200</v>
      </c>
      <c r="B357" s="39" t="s">
        <v>326</v>
      </c>
      <c r="C357" s="40" t="s">
        <v>327</v>
      </c>
      <c r="D357" s="39" t="s">
        <v>313</v>
      </c>
      <c r="E357" s="39" t="s">
        <v>314</v>
      </c>
      <c r="F357" s="41">
        <v>-629.69000000000005</v>
      </c>
      <c r="G357" s="41">
        <v>-1566</v>
      </c>
      <c r="H357" s="41">
        <v>-1082.67</v>
      </c>
      <c r="I357" s="41">
        <v>-1066</v>
      </c>
      <c r="J357" s="42">
        <v>-299.77</v>
      </c>
      <c r="K357" s="43">
        <v>-569.46</v>
      </c>
      <c r="L357" s="41">
        <v>-800</v>
      </c>
      <c r="M357" s="44">
        <v>230.54</v>
      </c>
      <c r="N357" s="45">
        <v>-0.36621199999999998</v>
      </c>
      <c r="O357" s="46">
        <v>-0.52424639580603005</v>
      </c>
      <c r="P357" s="47">
        <v>0.15803439580602999</v>
      </c>
      <c r="Q357" s="43">
        <v>-869.23</v>
      </c>
      <c r="R357" s="41">
        <v>-1600</v>
      </c>
      <c r="S357" s="44">
        <v>730.77</v>
      </c>
      <c r="T357" s="48">
        <v>-0.264928</v>
      </c>
      <c r="U357" s="46">
        <v>-0.49758979940911202</v>
      </c>
      <c r="V357" s="47">
        <v>0.232661799409112</v>
      </c>
      <c r="W357" s="43">
        <v>-6046</v>
      </c>
      <c r="X357" s="44">
        <v>5176.7700000000004</v>
      </c>
      <c r="Y357" s="49"/>
      <c r="AA357" s="15" t="s">
        <v>46</v>
      </c>
      <c r="AB357" s="15" t="str">
        <f t="shared" si="5"/>
        <v>New Castle SL - 2152SL</v>
      </c>
    </row>
    <row r="358" spans="1:28" x14ac:dyDescent="0.25">
      <c r="A358" s="39" t="s">
        <v>208</v>
      </c>
      <c r="B358" s="39" t="s">
        <v>326</v>
      </c>
      <c r="C358" s="40" t="s">
        <v>327</v>
      </c>
      <c r="D358" s="39" t="s">
        <v>313</v>
      </c>
      <c r="E358" s="39" t="s">
        <v>314</v>
      </c>
      <c r="F358" s="41">
        <v>0</v>
      </c>
      <c r="G358" s="41">
        <v>0</v>
      </c>
      <c r="H358" s="41">
        <v>0</v>
      </c>
      <c r="I358" s="41">
        <v>0</v>
      </c>
      <c r="J358" s="42">
        <v>0</v>
      </c>
      <c r="K358" s="43">
        <v>0</v>
      </c>
      <c r="L358" s="41">
        <v>0</v>
      </c>
      <c r="M358" s="44">
        <v>0</v>
      </c>
      <c r="N358" s="45">
        <v>0</v>
      </c>
      <c r="O358" s="46">
        <v>0</v>
      </c>
      <c r="P358" s="47">
        <v>0</v>
      </c>
      <c r="Q358" s="43">
        <v>0</v>
      </c>
      <c r="R358" s="41">
        <v>0</v>
      </c>
      <c r="S358" s="44">
        <v>0</v>
      </c>
      <c r="T358" s="48">
        <v>0</v>
      </c>
      <c r="U358" s="46">
        <v>0</v>
      </c>
      <c r="V358" s="47">
        <v>0</v>
      </c>
      <c r="W358" s="43">
        <v>-5290.52</v>
      </c>
      <c r="X358" s="44">
        <v>5290.52</v>
      </c>
      <c r="Y358" s="49"/>
      <c r="AA358" s="15" t="s">
        <v>46</v>
      </c>
      <c r="AB358" s="15" t="str">
        <f t="shared" si="5"/>
        <v>Peru - 2144SL</v>
      </c>
    </row>
    <row r="359" spans="1:28" x14ac:dyDescent="0.25">
      <c r="A359" s="39" t="s">
        <v>211</v>
      </c>
      <c r="B359" s="39" t="s">
        <v>326</v>
      </c>
      <c r="C359" s="40" t="s">
        <v>327</v>
      </c>
      <c r="D359" s="39" t="s">
        <v>313</v>
      </c>
      <c r="E359" s="39" t="s">
        <v>314</v>
      </c>
      <c r="F359" s="41">
        <v>0</v>
      </c>
      <c r="G359" s="41">
        <v>0</v>
      </c>
      <c r="H359" s="41">
        <v>0</v>
      </c>
      <c r="I359" s="41">
        <v>0</v>
      </c>
      <c r="J359" s="42">
        <v>0</v>
      </c>
      <c r="K359" s="43">
        <v>-180</v>
      </c>
      <c r="L359" s="41">
        <v>0</v>
      </c>
      <c r="M359" s="44">
        <v>-180</v>
      </c>
      <c r="N359" s="45">
        <v>-0.37815100000000001</v>
      </c>
      <c r="O359" s="46">
        <v>0</v>
      </c>
      <c r="P359" s="47">
        <v>-0.37815100000000001</v>
      </c>
      <c r="Q359" s="43">
        <v>-180</v>
      </c>
      <c r="R359" s="41">
        <v>0</v>
      </c>
      <c r="S359" s="44">
        <v>-180</v>
      </c>
      <c r="T359" s="48">
        <v>-0.175097</v>
      </c>
      <c r="U359" s="46">
        <v>0</v>
      </c>
      <c r="V359" s="47">
        <v>-0.175097</v>
      </c>
      <c r="W359" s="43">
        <v>-1700</v>
      </c>
      <c r="X359" s="44">
        <v>1520</v>
      </c>
      <c r="Y359" s="49"/>
      <c r="AA359" s="15" t="s">
        <v>46</v>
      </c>
      <c r="AB359" s="15" t="str">
        <f t="shared" si="5"/>
        <v>Pickerington - 421SL</v>
      </c>
    </row>
    <row r="360" spans="1:28" x14ac:dyDescent="0.25">
      <c r="A360" s="39" t="s">
        <v>216</v>
      </c>
      <c r="B360" s="39" t="s">
        <v>326</v>
      </c>
      <c r="C360" s="40" t="s">
        <v>327</v>
      </c>
      <c r="D360" s="39" t="s">
        <v>313</v>
      </c>
      <c r="E360" s="39" t="s">
        <v>314</v>
      </c>
      <c r="F360" s="41">
        <v>-6449.24</v>
      </c>
      <c r="G360" s="41">
        <v>-4952</v>
      </c>
      <c r="H360" s="41">
        <v>-4952</v>
      </c>
      <c r="I360" s="41">
        <v>-4952</v>
      </c>
      <c r="J360" s="42">
        <v>-5287</v>
      </c>
      <c r="K360" s="43">
        <v>-5287</v>
      </c>
      <c r="L360" s="41">
        <v>-4803.4399999999996</v>
      </c>
      <c r="M360" s="44">
        <v>-483.56</v>
      </c>
      <c r="N360" s="45">
        <v>-2.3027000000000002</v>
      </c>
      <c r="O360" s="46">
        <v>-2.1545253071014598</v>
      </c>
      <c r="P360" s="47">
        <v>-0.14817469289854099</v>
      </c>
      <c r="Q360" s="43">
        <v>-10574</v>
      </c>
      <c r="R360" s="41">
        <v>-9755.44</v>
      </c>
      <c r="S360" s="44">
        <v>-818.55999999999904</v>
      </c>
      <c r="T360" s="48">
        <v>-2.1987930000000002</v>
      </c>
      <c r="U360" s="46">
        <v>-2.07659646932931</v>
      </c>
      <c r="V360" s="47">
        <v>-0.122196530670689</v>
      </c>
      <c r="W360" s="43">
        <v>-26484.3</v>
      </c>
      <c r="X360" s="44">
        <v>15910.3</v>
      </c>
      <c r="Y360" s="49"/>
      <c r="AA360" s="15" t="s">
        <v>46</v>
      </c>
      <c r="AB360" s="15" t="str">
        <f t="shared" si="5"/>
        <v>Romeo SL - 527SL</v>
      </c>
    </row>
    <row r="361" spans="1:28" x14ac:dyDescent="0.25">
      <c r="A361" s="39" t="s">
        <v>222</v>
      </c>
      <c r="B361" s="39" t="s">
        <v>326</v>
      </c>
      <c r="C361" s="40" t="s">
        <v>327</v>
      </c>
      <c r="D361" s="39" t="s">
        <v>313</v>
      </c>
      <c r="E361" s="39" t="s">
        <v>314</v>
      </c>
      <c r="F361" s="41">
        <v>-488</v>
      </c>
      <c r="G361" s="41">
        <v>-488</v>
      </c>
      <c r="H361" s="41">
        <v>-180</v>
      </c>
      <c r="I361" s="41">
        <v>-180</v>
      </c>
      <c r="J361" s="42">
        <v>-780</v>
      </c>
      <c r="K361" s="43">
        <v>-645</v>
      </c>
      <c r="L361" s="41">
        <v>-473.36</v>
      </c>
      <c r="M361" s="44">
        <v>-171.64</v>
      </c>
      <c r="N361" s="45">
        <v>-1.104452</v>
      </c>
      <c r="O361" s="46">
        <v>-0.84528571428571397</v>
      </c>
      <c r="P361" s="47">
        <v>-0.25916628571428602</v>
      </c>
      <c r="Q361" s="43">
        <v>-1425</v>
      </c>
      <c r="R361" s="41">
        <v>-961.36</v>
      </c>
      <c r="S361" s="44">
        <v>-463.64</v>
      </c>
      <c r="T361" s="48">
        <v>-1.183554</v>
      </c>
      <c r="U361" s="46">
        <v>-0.81471186440678001</v>
      </c>
      <c r="V361" s="47">
        <v>-0.36884213559321999</v>
      </c>
      <c r="W361" s="43">
        <v>-1852</v>
      </c>
      <c r="X361" s="44">
        <v>427</v>
      </c>
      <c r="Y361" s="49"/>
      <c r="AA361" s="15" t="s">
        <v>46</v>
      </c>
      <c r="AB361" s="15" t="str">
        <f t="shared" si="5"/>
        <v>Springfield WG - 2429SL</v>
      </c>
    </row>
    <row r="362" spans="1:28" x14ac:dyDescent="0.25">
      <c r="A362" s="39" t="s">
        <v>234</v>
      </c>
      <c r="B362" s="39" t="s">
        <v>326</v>
      </c>
      <c r="C362" s="40" t="s">
        <v>327</v>
      </c>
      <c r="D362" s="39" t="s">
        <v>313</v>
      </c>
      <c r="E362" s="39" t="s">
        <v>314</v>
      </c>
      <c r="F362" s="41">
        <v>-160</v>
      </c>
      <c r="G362" s="41">
        <v>0</v>
      </c>
      <c r="H362" s="41">
        <v>-552.23</v>
      </c>
      <c r="I362" s="41">
        <v>-154.03</v>
      </c>
      <c r="J362" s="42">
        <v>0</v>
      </c>
      <c r="K362" s="43">
        <v>0</v>
      </c>
      <c r="L362" s="41">
        <v>0</v>
      </c>
      <c r="M362" s="44">
        <v>0</v>
      </c>
      <c r="N362" s="45">
        <v>0</v>
      </c>
      <c r="O362" s="46">
        <v>0</v>
      </c>
      <c r="P362" s="47">
        <v>0</v>
      </c>
      <c r="Q362" s="43">
        <v>0</v>
      </c>
      <c r="R362" s="41">
        <v>0</v>
      </c>
      <c r="S362" s="44">
        <v>0</v>
      </c>
      <c r="T362" s="48">
        <v>0</v>
      </c>
      <c r="U362" s="46">
        <v>0</v>
      </c>
      <c r="V362" s="47">
        <v>0</v>
      </c>
      <c r="W362" s="43">
        <v>0</v>
      </c>
      <c r="X362" s="44">
        <v>0</v>
      </c>
      <c r="Y362" s="49"/>
      <c r="AA362" s="15" t="s">
        <v>46</v>
      </c>
      <c r="AB362" s="15" t="str">
        <f t="shared" si="5"/>
        <v>Union Township - 434SL</v>
      </c>
    </row>
    <row r="363" spans="1:28" x14ac:dyDescent="0.25">
      <c r="A363" s="39" t="s">
        <v>316</v>
      </c>
      <c r="B363" s="39" t="s">
        <v>326</v>
      </c>
      <c r="C363" s="40" t="s">
        <v>327</v>
      </c>
      <c r="D363" s="39" t="s">
        <v>313</v>
      </c>
      <c r="E363" s="39" t="s">
        <v>314</v>
      </c>
      <c r="F363" s="41">
        <v>-27876.3</v>
      </c>
      <c r="G363" s="41">
        <v>-27513.05</v>
      </c>
      <c r="H363" s="41">
        <v>-35857.949999999997</v>
      </c>
      <c r="I363" s="41">
        <v>-24075.67</v>
      </c>
      <c r="J363" s="42">
        <v>-19540.080000000002</v>
      </c>
      <c r="K363" s="43">
        <v>-13685.12</v>
      </c>
      <c r="L363" s="41">
        <v>-14367.483766666701</v>
      </c>
      <c r="M363" s="44">
        <v>682.36376666670003</v>
      </c>
      <c r="N363" s="45">
        <v>-0.72553900000000004</v>
      </c>
      <c r="O363" s="46">
        <v>-0.74289741121830599</v>
      </c>
      <c r="P363" s="47">
        <v>1.73584112183056E-2</v>
      </c>
      <c r="Q363" s="43">
        <v>-33225.199999999997</v>
      </c>
      <c r="R363" s="41">
        <v>-29154.580433333402</v>
      </c>
      <c r="S363" s="44">
        <v>-4070.6195666665999</v>
      </c>
      <c r="T363" s="48">
        <v>-0.83237700000000003</v>
      </c>
      <c r="U363" s="46">
        <v>-0.71573749345921001</v>
      </c>
      <c r="V363" s="47">
        <v>-0.11663950654079</v>
      </c>
      <c r="W363" s="43">
        <v>-69254.36</v>
      </c>
      <c r="X363" s="44">
        <v>36029.160000000003</v>
      </c>
      <c r="Y363" s="49"/>
      <c r="AA363" s="15" t="s">
        <v>46</v>
      </c>
      <c r="AB363" s="15" t="str">
        <f t="shared" si="5"/>
        <v>Total CompanySL</v>
      </c>
    </row>
  </sheetData>
  <autoFilter ref="A1:AA363" xr:uid="{4C77F45C-437D-48D9-9371-D3A9D67ADB57}"/>
  <pageMargins left="0.5" right="0.5" top="0.5" bottom="0.5" header="0.5" footer="0.5"/>
  <pageSetup paperSize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225A-D070-4120-8175-ABD5ACB49258}">
  <dimension ref="A1:AT638"/>
  <sheetViews>
    <sheetView workbookViewId="0">
      <selection activeCell="W25" sqref="W25"/>
    </sheetView>
  </sheetViews>
  <sheetFormatPr defaultRowHeight="15" x14ac:dyDescent="0.25"/>
  <cols>
    <col min="3" max="3" width="22.5703125" bestFit="1" customWidth="1"/>
    <col min="10" max="10" width="9.5703125" bestFit="1" customWidth="1"/>
    <col min="12" max="12" width="9.5703125" bestFit="1" customWidth="1"/>
  </cols>
  <sheetData>
    <row r="1" spans="1:46" x14ac:dyDescent="0.25">
      <c r="A1" t="s">
        <v>328</v>
      </c>
      <c r="B1" t="s">
        <v>329</v>
      </c>
      <c r="C1" s="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s="1" t="s">
        <v>337</v>
      </c>
      <c r="K1" s="1" t="s">
        <v>338</v>
      </c>
      <c r="L1" t="s">
        <v>339</v>
      </c>
      <c r="M1" t="s">
        <v>340</v>
      </c>
      <c r="N1" t="s">
        <v>341</v>
      </c>
      <c r="O1" t="s">
        <v>342</v>
      </c>
      <c r="P1" t="s">
        <v>343</v>
      </c>
      <c r="Q1" t="s">
        <v>344</v>
      </c>
      <c r="R1" t="s">
        <v>345</v>
      </c>
      <c r="S1" t="s">
        <v>346</v>
      </c>
      <c r="T1" t="s">
        <v>347</v>
      </c>
      <c r="U1" t="s">
        <v>348</v>
      </c>
      <c r="V1" t="s">
        <v>349</v>
      </c>
      <c r="W1" t="s">
        <v>350</v>
      </c>
      <c r="X1" t="s">
        <v>351</v>
      </c>
      <c r="Y1" t="s">
        <v>352</v>
      </c>
      <c r="Z1" t="s">
        <v>353</v>
      </c>
      <c r="AA1" t="s">
        <v>354</v>
      </c>
      <c r="AB1" t="s">
        <v>355</v>
      </c>
      <c r="AC1" t="s">
        <v>356</v>
      </c>
      <c r="AD1" t="s">
        <v>357</v>
      </c>
      <c r="AE1" t="s">
        <v>358</v>
      </c>
      <c r="AF1" t="s">
        <v>359</v>
      </c>
      <c r="AG1" t="s">
        <v>360</v>
      </c>
      <c r="AH1" t="s">
        <v>361</v>
      </c>
      <c r="AI1" t="s">
        <v>362</v>
      </c>
      <c r="AJ1" t="s">
        <v>363</v>
      </c>
      <c r="AK1" t="s">
        <v>364</v>
      </c>
      <c r="AL1" t="s">
        <v>365</v>
      </c>
      <c r="AM1" t="s">
        <v>366</v>
      </c>
      <c r="AN1" t="s">
        <v>367</v>
      </c>
      <c r="AO1" t="s">
        <v>368</v>
      </c>
      <c r="AP1" t="s">
        <v>369</v>
      </c>
      <c r="AQ1" t="s">
        <v>370</v>
      </c>
      <c r="AR1" t="s">
        <v>371</v>
      </c>
      <c r="AS1" s="1" t="s">
        <v>372</v>
      </c>
      <c r="AT1" t="s">
        <v>278</v>
      </c>
    </row>
    <row r="2" spans="1:46" x14ac:dyDescent="0.25">
      <c r="A2" t="s">
        <v>316</v>
      </c>
      <c r="B2" t="s">
        <v>251</v>
      </c>
      <c r="C2" t="s">
        <v>24</v>
      </c>
      <c r="D2" s="50">
        <v>46023</v>
      </c>
      <c r="E2" s="2">
        <v>0.90200000000000002</v>
      </c>
      <c r="F2" s="2">
        <v>0.91200000000000003</v>
      </c>
      <c r="G2" t="s">
        <v>373</v>
      </c>
      <c r="H2" t="s">
        <v>373</v>
      </c>
      <c r="I2" s="2">
        <v>0</v>
      </c>
      <c r="J2" s="2">
        <v>0</v>
      </c>
      <c r="K2" s="2">
        <v>0</v>
      </c>
      <c r="L2" s="2">
        <v>0</v>
      </c>
      <c r="M2" s="51">
        <v>2139</v>
      </c>
      <c r="N2" s="51">
        <v>4071</v>
      </c>
      <c r="P2" s="51">
        <v>4071</v>
      </c>
      <c r="Q2" s="51">
        <v>121777</v>
      </c>
      <c r="R2" s="51">
        <v>208558</v>
      </c>
      <c r="T2" s="51">
        <v>208558</v>
      </c>
      <c r="U2" s="2">
        <v>1.7999999999999999E-2</v>
      </c>
      <c r="V2" s="2">
        <v>0.02</v>
      </c>
      <c r="W2" t="s">
        <v>373</v>
      </c>
      <c r="X2" t="s">
        <v>373</v>
      </c>
      <c r="Y2">
        <v>421.37</v>
      </c>
      <c r="Z2">
        <v>418.3</v>
      </c>
      <c r="AB2" s="2">
        <v>1</v>
      </c>
      <c r="AC2">
        <v>148.88999999999999</v>
      </c>
      <c r="AD2">
        <v>155.54</v>
      </c>
      <c r="AF2" s="2">
        <v>1</v>
      </c>
      <c r="AG2">
        <v>207.54</v>
      </c>
      <c r="AH2">
        <v>221.02</v>
      </c>
      <c r="AJ2" s="2">
        <v>1</v>
      </c>
      <c r="AN2" t="s">
        <v>373</v>
      </c>
      <c r="AR2" t="s">
        <v>373</v>
      </c>
      <c r="AS2" t="s">
        <v>10</v>
      </c>
      <c r="AT2" t="str">
        <f>C2&amp;AS2</f>
        <v>Avon - 5166HC</v>
      </c>
    </row>
    <row r="3" spans="1:46" x14ac:dyDescent="0.25">
      <c r="A3" t="s">
        <v>316</v>
      </c>
      <c r="B3" t="s">
        <v>251</v>
      </c>
      <c r="C3" t="s">
        <v>24</v>
      </c>
      <c r="D3" s="50">
        <v>46054</v>
      </c>
      <c r="E3" s="2">
        <v>0.92400000000000004</v>
      </c>
      <c r="F3" s="2">
        <v>0.91200000000000003</v>
      </c>
      <c r="G3" t="s">
        <v>373</v>
      </c>
      <c r="H3" t="s">
        <v>373</v>
      </c>
      <c r="I3" s="2">
        <v>0</v>
      </c>
      <c r="J3" s="2">
        <v>0</v>
      </c>
      <c r="K3" s="2">
        <v>0</v>
      </c>
      <c r="L3" s="2">
        <v>0</v>
      </c>
      <c r="M3" s="51">
        <v>1932</v>
      </c>
      <c r="N3" s="51">
        <v>4071</v>
      </c>
      <c r="P3" s="51">
        <v>4071</v>
      </c>
      <c r="Q3" s="51">
        <v>86781</v>
      </c>
      <c r="R3" s="51">
        <v>208558</v>
      </c>
      <c r="T3" s="51">
        <v>208558</v>
      </c>
      <c r="U3" s="2">
        <v>2.1999999999999999E-2</v>
      </c>
      <c r="V3" s="2">
        <v>0.02</v>
      </c>
      <c r="W3" t="s">
        <v>373</v>
      </c>
      <c r="X3" t="s">
        <v>373</v>
      </c>
      <c r="Y3">
        <v>415.22</v>
      </c>
      <c r="Z3">
        <v>418.3</v>
      </c>
      <c r="AB3" s="2">
        <v>1</v>
      </c>
      <c r="AC3">
        <v>162.18</v>
      </c>
      <c r="AD3">
        <v>155.54</v>
      </c>
      <c r="AF3" s="2">
        <v>1</v>
      </c>
      <c r="AG3">
        <v>234.51</v>
      </c>
      <c r="AH3">
        <v>221.02</v>
      </c>
      <c r="AJ3" s="2">
        <v>1</v>
      </c>
      <c r="AN3" t="s">
        <v>373</v>
      </c>
      <c r="AR3" t="s">
        <v>373</v>
      </c>
      <c r="AS3" t="s">
        <v>10</v>
      </c>
      <c r="AT3" t="str">
        <f t="shared" ref="AT3:AT66" si="0">C3&amp;AS3</f>
        <v>Avon - 5166HC</v>
      </c>
    </row>
    <row r="4" spans="1:46" x14ac:dyDescent="0.25">
      <c r="A4" t="s">
        <v>316</v>
      </c>
      <c r="B4" t="s">
        <v>251</v>
      </c>
      <c r="C4" t="s">
        <v>63</v>
      </c>
      <c r="D4" s="50">
        <v>46023</v>
      </c>
      <c r="E4" s="2">
        <v>0.89600000000000002</v>
      </c>
      <c r="F4" s="2">
        <v>0.876</v>
      </c>
      <c r="G4" t="s">
        <v>373</v>
      </c>
      <c r="H4" t="s">
        <v>373</v>
      </c>
      <c r="I4" s="2">
        <v>0</v>
      </c>
      <c r="J4" s="2">
        <v>0</v>
      </c>
      <c r="K4" s="2">
        <v>0</v>
      </c>
      <c r="L4" s="2">
        <v>0</v>
      </c>
      <c r="M4" s="51">
        <v>1070</v>
      </c>
      <c r="N4" s="51">
        <v>2820</v>
      </c>
      <c r="P4" s="51">
        <v>2820</v>
      </c>
      <c r="Q4" s="51">
        <v>187519</v>
      </c>
      <c r="R4" s="51">
        <v>377246</v>
      </c>
      <c r="T4" s="51">
        <v>377246</v>
      </c>
      <c r="U4" s="2">
        <v>6.0000000000000001E-3</v>
      </c>
      <c r="V4" s="2">
        <v>7.0000000000000001E-3</v>
      </c>
      <c r="W4" t="s">
        <v>373</v>
      </c>
      <c r="X4" t="s">
        <v>373</v>
      </c>
      <c r="Y4">
        <v>417.64</v>
      </c>
      <c r="Z4">
        <v>415.04</v>
      </c>
      <c r="AB4" s="2">
        <v>1</v>
      </c>
      <c r="AC4">
        <v>177.56</v>
      </c>
      <c r="AD4">
        <v>187.42</v>
      </c>
      <c r="AF4" s="2">
        <v>1</v>
      </c>
      <c r="AG4">
        <v>249.43</v>
      </c>
      <c r="AH4">
        <v>264.81</v>
      </c>
      <c r="AJ4" s="2">
        <v>1</v>
      </c>
      <c r="AN4" t="s">
        <v>373</v>
      </c>
      <c r="AR4" t="s">
        <v>373</v>
      </c>
      <c r="AS4" t="s">
        <v>10</v>
      </c>
      <c r="AT4" t="str">
        <f t="shared" si="0"/>
        <v>Carmel - 5165HC</v>
      </c>
    </row>
    <row r="5" spans="1:46" x14ac:dyDescent="0.25">
      <c r="A5" t="s">
        <v>316</v>
      </c>
      <c r="B5" t="s">
        <v>251</v>
      </c>
      <c r="C5" t="s">
        <v>63</v>
      </c>
      <c r="D5" s="50">
        <v>46054</v>
      </c>
      <c r="E5" s="2">
        <v>0.85399999999999998</v>
      </c>
      <c r="F5" s="2">
        <v>0.876</v>
      </c>
      <c r="G5" t="s">
        <v>373</v>
      </c>
      <c r="H5" t="s">
        <v>373</v>
      </c>
      <c r="I5" s="2">
        <v>0</v>
      </c>
      <c r="J5" s="2">
        <v>0</v>
      </c>
      <c r="K5" s="2">
        <v>0</v>
      </c>
      <c r="L5" s="2">
        <v>0</v>
      </c>
      <c r="M5" s="51">
        <v>1750</v>
      </c>
      <c r="N5" s="51">
        <v>2820</v>
      </c>
      <c r="P5" s="51">
        <v>2820</v>
      </c>
      <c r="Q5" s="51">
        <v>189727</v>
      </c>
      <c r="R5" s="51">
        <v>377246</v>
      </c>
      <c r="T5" s="51">
        <v>377246</v>
      </c>
      <c r="U5" s="2">
        <v>8.9999999999999993E-3</v>
      </c>
      <c r="V5" s="2">
        <v>7.0000000000000001E-3</v>
      </c>
      <c r="W5" t="s">
        <v>373</v>
      </c>
      <c r="X5" t="s">
        <v>373</v>
      </c>
      <c r="Y5">
        <v>412.45</v>
      </c>
      <c r="Z5">
        <v>415.04</v>
      </c>
      <c r="AB5" s="2">
        <v>1</v>
      </c>
      <c r="AC5">
        <v>197.29</v>
      </c>
      <c r="AD5">
        <v>187.42</v>
      </c>
      <c r="AF5" s="2">
        <v>1</v>
      </c>
      <c r="AG5">
        <v>280.18</v>
      </c>
      <c r="AH5">
        <v>264.81</v>
      </c>
      <c r="AJ5" s="2">
        <v>1</v>
      </c>
      <c r="AN5" t="s">
        <v>373</v>
      </c>
      <c r="AR5" t="s">
        <v>373</v>
      </c>
      <c r="AS5" t="s">
        <v>10</v>
      </c>
      <c r="AT5" t="str">
        <f t="shared" si="0"/>
        <v>Carmel - 5165HC</v>
      </c>
    </row>
    <row r="6" spans="1:46" x14ac:dyDescent="0.25">
      <c r="A6" t="s">
        <v>316</v>
      </c>
      <c r="B6" t="s">
        <v>251</v>
      </c>
      <c r="C6" t="s">
        <v>122</v>
      </c>
      <c r="D6" s="50">
        <v>46023</v>
      </c>
      <c r="E6" s="2">
        <v>0.88400000000000001</v>
      </c>
      <c r="F6" s="2">
        <v>0.88100000000000001</v>
      </c>
      <c r="G6" t="s">
        <v>373</v>
      </c>
      <c r="H6" t="s">
        <v>373</v>
      </c>
      <c r="I6" s="2">
        <v>0</v>
      </c>
      <c r="J6" s="2">
        <v>0</v>
      </c>
      <c r="K6" s="2">
        <v>0</v>
      </c>
      <c r="L6" s="2">
        <v>0</v>
      </c>
      <c r="M6" s="51">
        <v>-9889</v>
      </c>
      <c r="N6" s="51">
        <v>-35816</v>
      </c>
      <c r="P6" s="51">
        <v>-35816</v>
      </c>
      <c r="Q6" s="51">
        <v>138301</v>
      </c>
      <c r="R6" s="51">
        <v>297769</v>
      </c>
      <c r="T6" s="51">
        <v>297769</v>
      </c>
      <c r="U6" s="2">
        <v>-7.1999999999999995E-2</v>
      </c>
      <c r="V6" s="2">
        <v>-0.12</v>
      </c>
      <c r="W6" t="s">
        <v>373</v>
      </c>
      <c r="X6" t="s">
        <v>373</v>
      </c>
      <c r="Y6">
        <v>449.03</v>
      </c>
      <c r="Z6">
        <v>459.03</v>
      </c>
      <c r="AB6" s="2">
        <v>1</v>
      </c>
      <c r="AC6">
        <v>195.58</v>
      </c>
      <c r="AD6">
        <v>205.08</v>
      </c>
      <c r="AF6" s="2">
        <v>1</v>
      </c>
      <c r="AG6">
        <v>234.57</v>
      </c>
      <c r="AH6">
        <v>246.3</v>
      </c>
      <c r="AJ6" s="2">
        <v>1</v>
      </c>
      <c r="AN6" t="s">
        <v>373</v>
      </c>
      <c r="AO6">
        <v>104.88</v>
      </c>
      <c r="AP6">
        <v>110.53</v>
      </c>
      <c r="AR6" s="2">
        <v>1</v>
      </c>
      <c r="AS6" t="s">
        <v>10</v>
      </c>
      <c r="AT6" t="str">
        <f t="shared" si="0"/>
        <v>Greenfield - 125HC</v>
      </c>
    </row>
    <row r="7" spans="1:46" x14ac:dyDescent="0.25">
      <c r="A7" t="s">
        <v>316</v>
      </c>
      <c r="B7" t="s">
        <v>251</v>
      </c>
      <c r="C7" t="s">
        <v>122</v>
      </c>
      <c r="D7" s="50">
        <v>46054</v>
      </c>
      <c r="E7" s="2">
        <v>0.878</v>
      </c>
      <c r="F7" s="2">
        <v>0.88100000000000001</v>
      </c>
      <c r="G7" t="s">
        <v>373</v>
      </c>
      <c r="H7" t="s">
        <v>373</v>
      </c>
      <c r="I7" s="2">
        <v>0</v>
      </c>
      <c r="J7" s="2">
        <v>0</v>
      </c>
      <c r="K7" s="2">
        <v>0</v>
      </c>
      <c r="L7" s="2">
        <v>0</v>
      </c>
      <c r="M7" s="51">
        <v>-25927</v>
      </c>
      <c r="N7" s="51">
        <v>-35816</v>
      </c>
      <c r="P7" s="51">
        <v>-35816</v>
      </c>
      <c r="Q7" s="51">
        <v>159468</v>
      </c>
      <c r="R7" s="51">
        <v>297769</v>
      </c>
      <c r="T7" s="51">
        <v>297769</v>
      </c>
      <c r="U7" s="2">
        <v>-0.16300000000000001</v>
      </c>
      <c r="V7" s="2">
        <v>-0.12</v>
      </c>
      <c r="W7" t="s">
        <v>373</v>
      </c>
      <c r="X7" t="s">
        <v>373</v>
      </c>
      <c r="Y7">
        <v>469.02</v>
      </c>
      <c r="Z7">
        <v>459.03</v>
      </c>
      <c r="AB7" s="2">
        <v>1</v>
      </c>
      <c r="AC7">
        <v>214.59</v>
      </c>
      <c r="AD7">
        <v>205.08</v>
      </c>
      <c r="AF7" s="2">
        <v>1</v>
      </c>
      <c r="AG7">
        <v>258.02999999999997</v>
      </c>
      <c r="AH7">
        <v>246.3</v>
      </c>
      <c r="AJ7" s="2">
        <v>1</v>
      </c>
      <c r="AN7" t="s">
        <v>373</v>
      </c>
      <c r="AO7">
        <v>116.19</v>
      </c>
      <c r="AP7">
        <v>110.53</v>
      </c>
      <c r="AR7" s="2">
        <v>1</v>
      </c>
      <c r="AS7" t="s">
        <v>10</v>
      </c>
      <c r="AT7" t="str">
        <f t="shared" si="0"/>
        <v>Greenfield - 125HC</v>
      </c>
    </row>
    <row r="8" spans="1:46" x14ac:dyDescent="0.25">
      <c r="A8" t="s">
        <v>316</v>
      </c>
      <c r="B8" t="s">
        <v>251</v>
      </c>
      <c r="C8" t="s">
        <v>133</v>
      </c>
      <c r="D8" s="50">
        <v>46023</v>
      </c>
      <c r="E8" s="2">
        <v>0.84099999999999997</v>
      </c>
      <c r="F8" s="2">
        <v>0.82699999999999996</v>
      </c>
      <c r="G8" t="s">
        <v>373</v>
      </c>
      <c r="H8" t="s">
        <v>373</v>
      </c>
      <c r="I8" s="2">
        <v>0</v>
      </c>
      <c r="J8" s="2">
        <v>0</v>
      </c>
      <c r="K8" s="2">
        <v>0</v>
      </c>
      <c r="L8" s="2">
        <v>0</v>
      </c>
      <c r="M8" s="51">
        <v>1960</v>
      </c>
      <c r="N8" s="51">
        <v>12139</v>
      </c>
      <c r="P8" s="51">
        <v>12139</v>
      </c>
      <c r="Q8" s="51">
        <v>88037</v>
      </c>
      <c r="R8" s="51">
        <v>144951</v>
      </c>
      <c r="T8" s="51">
        <v>144951</v>
      </c>
      <c r="U8" s="2">
        <v>2.1999999999999999E-2</v>
      </c>
      <c r="V8" s="2">
        <v>8.4000000000000005E-2</v>
      </c>
      <c r="W8" t="s">
        <v>373</v>
      </c>
      <c r="X8" t="s">
        <v>373</v>
      </c>
      <c r="Y8">
        <v>423.25</v>
      </c>
      <c r="Z8">
        <v>376.12</v>
      </c>
      <c r="AB8" s="2">
        <v>1</v>
      </c>
      <c r="AC8">
        <v>115.46</v>
      </c>
      <c r="AD8">
        <v>123.62</v>
      </c>
      <c r="AF8" s="2">
        <v>1</v>
      </c>
      <c r="AJ8" t="s">
        <v>373</v>
      </c>
      <c r="AN8" t="s">
        <v>373</v>
      </c>
      <c r="AR8" t="s">
        <v>373</v>
      </c>
      <c r="AS8" t="s">
        <v>10</v>
      </c>
      <c r="AT8" t="str">
        <f t="shared" si="0"/>
        <v>Indianapolis AP - 5160HC</v>
      </c>
    </row>
    <row r="9" spans="1:46" x14ac:dyDescent="0.25">
      <c r="A9" t="s">
        <v>316</v>
      </c>
      <c r="B9" t="s">
        <v>251</v>
      </c>
      <c r="C9" t="s">
        <v>133</v>
      </c>
      <c r="D9" s="50">
        <v>46054</v>
      </c>
      <c r="E9" s="2">
        <v>0.81299999999999994</v>
      </c>
      <c r="F9" s="2">
        <v>0.82699999999999996</v>
      </c>
      <c r="G9" t="s">
        <v>373</v>
      </c>
      <c r="H9" t="s">
        <v>373</v>
      </c>
      <c r="I9" s="2">
        <v>0</v>
      </c>
      <c r="J9" s="2">
        <v>0</v>
      </c>
      <c r="K9" s="2">
        <v>0</v>
      </c>
      <c r="L9" s="2">
        <v>0</v>
      </c>
      <c r="M9" s="51">
        <v>10179</v>
      </c>
      <c r="N9" s="51">
        <v>12139</v>
      </c>
      <c r="P9" s="51">
        <v>12139</v>
      </c>
      <c r="Q9" s="51">
        <v>56914</v>
      </c>
      <c r="R9" s="51">
        <v>144951</v>
      </c>
      <c r="T9" s="51">
        <v>144951</v>
      </c>
      <c r="U9" s="2">
        <v>0.17899999999999999</v>
      </c>
      <c r="V9" s="2">
        <v>8.4000000000000005E-2</v>
      </c>
      <c r="W9" t="s">
        <v>373</v>
      </c>
      <c r="X9" t="s">
        <v>373</v>
      </c>
      <c r="Y9">
        <v>328.98</v>
      </c>
      <c r="Z9">
        <v>376.12</v>
      </c>
      <c r="AB9" s="2">
        <v>1</v>
      </c>
      <c r="AC9">
        <v>131.79</v>
      </c>
      <c r="AD9">
        <v>123.62</v>
      </c>
      <c r="AF9" s="2">
        <v>1</v>
      </c>
      <c r="AJ9" t="s">
        <v>373</v>
      </c>
      <c r="AN9" t="s">
        <v>373</v>
      </c>
      <c r="AR9" t="s">
        <v>373</v>
      </c>
      <c r="AS9" t="s">
        <v>10</v>
      </c>
      <c r="AT9" t="str">
        <f t="shared" si="0"/>
        <v>Indianapolis AP - 5160HC</v>
      </c>
    </row>
    <row r="10" spans="1:46" x14ac:dyDescent="0.25">
      <c r="A10" t="s">
        <v>316</v>
      </c>
      <c r="B10" t="s">
        <v>251</v>
      </c>
      <c r="C10" t="s">
        <v>134</v>
      </c>
      <c r="D10" s="50">
        <v>46023</v>
      </c>
      <c r="E10" s="2">
        <v>0.78400000000000003</v>
      </c>
      <c r="F10" s="2">
        <v>0.81200000000000006</v>
      </c>
      <c r="G10" t="s">
        <v>373</v>
      </c>
      <c r="H10" t="s">
        <v>373</v>
      </c>
      <c r="I10" s="2">
        <v>0</v>
      </c>
      <c r="J10" s="2">
        <v>0</v>
      </c>
      <c r="K10" s="2">
        <v>0</v>
      </c>
      <c r="L10" s="2">
        <v>0</v>
      </c>
      <c r="M10" s="51">
        <v>0</v>
      </c>
      <c r="N10" s="51">
        <v>0</v>
      </c>
      <c r="P10" s="51">
        <v>0</v>
      </c>
      <c r="Q10" s="51">
        <v>6108</v>
      </c>
      <c r="R10" s="51">
        <v>92041</v>
      </c>
      <c r="T10" s="51">
        <v>92041</v>
      </c>
      <c r="U10" s="2">
        <v>0</v>
      </c>
      <c r="V10" s="2">
        <v>0</v>
      </c>
      <c r="W10" t="s">
        <v>373</v>
      </c>
      <c r="X10" t="s">
        <v>373</v>
      </c>
      <c r="Y10">
        <v>-509</v>
      </c>
      <c r="Z10">
        <v>-48.92</v>
      </c>
      <c r="AB10" s="2">
        <v>1</v>
      </c>
      <c r="AC10">
        <v>126.6</v>
      </c>
      <c r="AD10">
        <v>132.11000000000001</v>
      </c>
      <c r="AF10" s="2">
        <v>1</v>
      </c>
      <c r="AG10">
        <v>168.25</v>
      </c>
      <c r="AH10">
        <v>182.02</v>
      </c>
      <c r="AJ10" s="2">
        <v>1</v>
      </c>
      <c r="AN10" t="s">
        <v>373</v>
      </c>
      <c r="AR10" t="s">
        <v>373</v>
      </c>
      <c r="AS10" t="s">
        <v>10</v>
      </c>
      <c r="AT10" t="str">
        <f t="shared" si="0"/>
        <v>Indianapolis CL - 5161HC</v>
      </c>
    </row>
    <row r="11" spans="1:46" x14ac:dyDescent="0.25">
      <c r="A11" t="s">
        <v>316</v>
      </c>
      <c r="B11" t="s">
        <v>251</v>
      </c>
      <c r="C11" t="s">
        <v>134</v>
      </c>
      <c r="D11" s="50">
        <v>46054</v>
      </c>
      <c r="E11" s="2">
        <v>0.84299999999999997</v>
      </c>
      <c r="F11" s="2">
        <v>0.81200000000000006</v>
      </c>
      <c r="G11" t="s">
        <v>373</v>
      </c>
      <c r="H11" t="s">
        <v>373</v>
      </c>
      <c r="I11" s="2">
        <v>0</v>
      </c>
      <c r="J11" s="2">
        <v>0</v>
      </c>
      <c r="K11" s="2">
        <v>0</v>
      </c>
      <c r="L11" s="2">
        <v>0</v>
      </c>
      <c r="M11" s="51">
        <v>0</v>
      </c>
      <c r="N11" s="51">
        <v>0</v>
      </c>
      <c r="P11" s="51">
        <v>0</v>
      </c>
      <c r="Q11" s="51">
        <v>85933</v>
      </c>
      <c r="R11" s="51">
        <v>92041</v>
      </c>
      <c r="T11" s="51">
        <v>92041</v>
      </c>
      <c r="U11" s="2">
        <v>0</v>
      </c>
      <c r="V11" s="2">
        <v>0</v>
      </c>
      <c r="W11" t="s">
        <v>373</v>
      </c>
      <c r="X11" t="s">
        <v>373</v>
      </c>
      <c r="Y11">
        <v>411.16</v>
      </c>
      <c r="Z11">
        <v>-48.92</v>
      </c>
      <c r="AB11" s="2">
        <v>1</v>
      </c>
      <c r="AC11">
        <v>137.62</v>
      </c>
      <c r="AD11">
        <v>132.11000000000001</v>
      </c>
      <c r="AF11" s="2">
        <v>1</v>
      </c>
      <c r="AG11">
        <v>195.79</v>
      </c>
      <c r="AH11">
        <v>182.02</v>
      </c>
      <c r="AJ11" s="2">
        <v>1</v>
      </c>
      <c r="AN11" t="s">
        <v>373</v>
      </c>
      <c r="AR11" t="s">
        <v>373</v>
      </c>
      <c r="AS11" t="s">
        <v>10</v>
      </c>
      <c r="AT11" t="str">
        <f t="shared" si="0"/>
        <v>Indianapolis CL - 5161HC</v>
      </c>
    </row>
    <row r="12" spans="1:46" x14ac:dyDescent="0.25">
      <c r="A12" t="s">
        <v>316</v>
      </c>
      <c r="B12" t="s">
        <v>251</v>
      </c>
      <c r="C12" t="s">
        <v>188</v>
      </c>
      <c r="D12" s="50">
        <v>46023</v>
      </c>
      <c r="E12" s="2">
        <v>0.93</v>
      </c>
      <c r="F12" s="2">
        <v>0.92200000000000004</v>
      </c>
      <c r="G12" t="s">
        <v>373</v>
      </c>
      <c r="H12" t="s">
        <v>373</v>
      </c>
      <c r="I12" s="2">
        <v>0</v>
      </c>
      <c r="J12" s="2">
        <v>0</v>
      </c>
      <c r="K12" s="2">
        <v>0</v>
      </c>
      <c r="L12" s="2">
        <v>0</v>
      </c>
      <c r="M12" s="51">
        <v>8680</v>
      </c>
      <c r="N12" s="51">
        <v>16380</v>
      </c>
      <c r="P12" s="51">
        <v>16380</v>
      </c>
      <c r="Q12" s="51">
        <v>145562</v>
      </c>
      <c r="R12" s="51">
        <v>258567</v>
      </c>
      <c r="T12" s="51">
        <v>258567</v>
      </c>
      <c r="U12" s="2">
        <v>0.06</v>
      </c>
      <c r="V12" s="2">
        <v>6.3E-2</v>
      </c>
      <c r="W12" t="s">
        <v>373</v>
      </c>
      <c r="X12" t="s">
        <v>373</v>
      </c>
      <c r="Y12">
        <v>377.1</v>
      </c>
      <c r="Z12">
        <v>375.03</v>
      </c>
      <c r="AB12" s="2">
        <v>1</v>
      </c>
      <c r="AC12">
        <v>149.46</v>
      </c>
      <c r="AD12">
        <v>156.75</v>
      </c>
      <c r="AF12" s="2">
        <v>1</v>
      </c>
      <c r="AJ12" t="s">
        <v>373</v>
      </c>
      <c r="AN12" t="s">
        <v>373</v>
      </c>
      <c r="AR12" t="s">
        <v>373</v>
      </c>
      <c r="AS12" t="s">
        <v>10</v>
      </c>
      <c r="AT12" t="str">
        <f t="shared" si="0"/>
        <v>Mooresville - 5174HC</v>
      </c>
    </row>
    <row r="13" spans="1:46" x14ac:dyDescent="0.25">
      <c r="A13" t="s">
        <v>316</v>
      </c>
      <c r="B13" t="s">
        <v>251</v>
      </c>
      <c r="C13" t="s">
        <v>188</v>
      </c>
      <c r="D13" s="50">
        <v>46054</v>
      </c>
      <c r="E13" s="2">
        <v>0.91300000000000003</v>
      </c>
      <c r="F13" s="2">
        <v>0.92200000000000004</v>
      </c>
      <c r="G13" t="s">
        <v>373</v>
      </c>
      <c r="H13" t="s">
        <v>373</v>
      </c>
      <c r="I13" s="2">
        <v>0</v>
      </c>
      <c r="J13" s="2">
        <v>0</v>
      </c>
      <c r="K13" s="2">
        <v>0</v>
      </c>
      <c r="L13" s="2">
        <v>0</v>
      </c>
      <c r="M13" s="51">
        <v>7700</v>
      </c>
      <c r="N13" s="51">
        <v>16380</v>
      </c>
      <c r="P13" s="51">
        <v>16380</v>
      </c>
      <c r="Q13" s="51">
        <v>113005</v>
      </c>
      <c r="R13" s="51">
        <v>258567</v>
      </c>
      <c r="T13" s="51">
        <v>258567</v>
      </c>
      <c r="U13" s="2">
        <v>6.8000000000000005E-2</v>
      </c>
      <c r="V13" s="2">
        <v>6.3E-2</v>
      </c>
      <c r="W13" t="s">
        <v>373</v>
      </c>
      <c r="X13" t="s">
        <v>373</v>
      </c>
      <c r="Y13">
        <v>372.95</v>
      </c>
      <c r="Z13">
        <v>375.03</v>
      </c>
      <c r="AB13" s="2">
        <v>1</v>
      </c>
      <c r="AC13">
        <v>164.04</v>
      </c>
      <c r="AD13">
        <v>156.75</v>
      </c>
      <c r="AF13" s="2">
        <v>1</v>
      </c>
      <c r="AJ13" t="s">
        <v>373</v>
      </c>
      <c r="AN13" t="s">
        <v>373</v>
      </c>
      <c r="AR13" t="s">
        <v>373</v>
      </c>
      <c r="AS13" t="s">
        <v>10</v>
      </c>
      <c r="AT13" t="str">
        <f t="shared" si="0"/>
        <v>Mooresville - 5174HC</v>
      </c>
    </row>
    <row r="14" spans="1:46" x14ac:dyDescent="0.25">
      <c r="A14" t="s">
        <v>316</v>
      </c>
      <c r="B14" t="s">
        <v>251</v>
      </c>
      <c r="C14" t="s">
        <v>199</v>
      </c>
      <c r="D14" s="50">
        <v>46023</v>
      </c>
      <c r="E14" s="2">
        <v>0.89200000000000002</v>
      </c>
      <c r="F14" s="2">
        <v>0.90800000000000003</v>
      </c>
      <c r="G14" t="s">
        <v>373</v>
      </c>
      <c r="H14" t="s">
        <v>373</v>
      </c>
      <c r="I14" s="2">
        <v>0</v>
      </c>
      <c r="J14" s="2">
        <v>0</v>
      </c>
      <c r="K14" s="2">
        <v>0</v>
      </c>
      <c r="L14" s="2">
        <v>0</v>
      </c>
      <c r="M14" s="51">
        <v>0</v>
      </c>
      <c r="N14" s="51">
        <v>0</v>
      </c>
      <c r="P14" s="51">
        <v>0</v>
      </c>
      <c r="Q14" s="51">
        <v>90575</v>
      </c>
      <c r="R14" s="51">
        <v>187992</v>
      </c>
      <c r="T14" s="51">
        <v>187992</v>
      </c>
      <c r="U14" s="2">
        <v>0</v>
      </c>
      <c r="V14" s="2">
        <v>0</v>
      </c>
      <c r="W14" t="s">
        <v>373</v>
      </c>
      <c r="X14" t="s">
        <v>373</v>
      </c>
      <c r="Y14">
        <v>363.76</v>
      </c>
      <c r="Z14">
        <v>371.4</v>
      </c>
      <c r="AB14" s="2">
        <v>1</v>
      </c>
      <c r="AC14">
        <v>179.64</v>
      </c>
      <c r="AD14">
        <v>188.96</v>
      </c>
      <c r="AF14" s="2">
        <v>1</v>
      </c>
      <c r="AG14">
        <v>253.62</v>
      </c>
      <c r="AH14">
        <v>267.02</v>
      </c>
      <c r="AJ14" s="2">
        <v>1</v>
      </c>
      <c r="AN14" t="s">
        <v>373</v>
      </c>
      <c r="AR14" t="s">
        <v>373</v>
      </c>
      <c r="AS14" t="s">
        <v>10</v>
      </c>
      <c r="AT14" t="str">
        <f t="shared" si="0"/>
        <v>New Castle GO - 2153HC</v>
      </c>
    </row>
    <row r="15" spans="1:46" x14ac:dyDescent="0.25">
      <c r="A15" t="s">
        <v>316</v>
      </c>
      <c r="B15" t="s">
        <v>251</v>
      </c>
      <c r="C15" t="s">
        <v>199</v>
      </c>
      <c r="D15" s="50">
        <v>46054</v>
      </c>
      <c r="E15" s="2">
        <v>0.92600000000000005</v>
      </c>
      <c r="F15" s="2">
        <v>0.90800000000000003</v>
      </c>
      <c r="G15" t="s">
        <v>373</v>
      </c>
      <c r="H15" t="s">
        <v>373</v>
      </c>
      <c r="I15" s="2">
        <v>0</v>
      </c>
      <c r="J15" s="2">
        <v>0</v>
      </c>
      <c r="K15" s="2">
        <v>0</v>
      </c>
      <c r="L15" s="2">
        <v>0</v>
      </c>
      <c r="M15" s="51">
        <v>0</v>
      </c>
      <c r="N15" s="51">
        <v>0</v>
      </c>
      <c r="P15" s="51">
        <v>0</v>
      </c>
      <c r="Q15" s="51">
        <v>97417</v>
      </c>
      <c r="R15" s="51">
        <v>187992</v>
      </c>
      <c r="T15" s="51">
        <v>187992</v>
      </c>
      <c r="U15" s="2">
        <v>0</v>
      </c>
      <c r="V15" s="2">
        <v>0</v>
      </c>
      <c r="W15" t="s">
        <v>373</v>
      </c>
      <c r="X15" t="s">
        <v>373</v>
      </c>
      <c r="Y15">
        <v>379.05</v>
      </c>
      <c r="Z15">
        <v>371.4</v>
      </c>
      <c r="AB15" s="2">
        <v>1</v>
      </c>
      <c r="AC15">
        <v>198.28</v>
      </c>
      <c r="AD15">
        <v>188.96</v>
      </c>
      <c r="AF15" s="2">
        <v>1</v>
      </c>
      <c r="AG15">
        <v>280.42</v>
      </c>
      <c r="AH15">
        <v>267.02</v>
      </c>
      <c r="AJ15" s="2">
        <v>1</v>
      </c>
      <c r="AN15" t="s">
        <v>373</v>
      </c>
      <c r="AR15" t="s">
        <v>373</v>
      </c>
      <c r="AS15" t="s">
        <v>10</v>
      </c>
      <c r="AT15" t="str">
        <f t="shared" si="0"/>
        <v>New Castle GO - 2153HC</v>
      </c>
    </row>
    <row r="16" spans="1:46" x14ac:dyDescent="0.25">
      <c r="A16" t="s">
        <v>316</v>
      </c>
      <c r="B16" t="s">
        <v>251</v>
      </c>
      <c r="C16" t="s">
        <v>246</v>
      </c>
      <c r="D16" s="50">
        <v>46023</v>
      </c>
      <c r="E16" s="2">
        <v>0.96299999999999997</v>
      </c>
      <c r="F16" s="2">
        <v>0.94399999999999995</v>
      </c>
      <c r="G16" t="s">
        <v>373</v>
      </c>
      <c r="H16" t="s">
        <v>373</v>
      </c>
      <c r="I16" s="2">
        <v>0</v>
      </c>
      <c r="J16" s="2">
        <v>0</v>
      </c>
      <c r="K16" s="2">
        <v>0</v>
      </c>
      <c r="L16" s="2">
        <v>0</v>
      </c>
      <c r="M16" s="51">
        <v>500</v>
      </c>
      <c r="N16" s="51">
        <v>2540</v>
      </c>
      <c r="P16" s="51">
        <v>2540</v>
      </c>
      <c r="Q16" s="51">
        <v>247709</v>
      </c>
      <c r="R16" s="51">
        <v>447748</v>
      </c>
      <c r="T16" s="51">
        <v>447748</v>
      </c>
      <c r="U16" s="2">
        <v>2E-3</v>
      </c>
      <c r="V16" s="2">
        <v>6.0000000000000001E-3</v>
      </c>
      <c r="W16" t="s">
        <v>373</v>
      </c>
      <c r="X16" t="s">
        <v>373</v>
      </c>
      <c r="Y16">
        <v>419.85</v>
      </c>
      <c r="Z16">
        <v>421.38</v>
      </c>
      <c r="AB16" s="2">
        <v>1</v>
      </c>
      <c r="AC16">
        <v>170.38</v>
      </c>
      <c r="AD16">
        <v>179.47</v>
      </c>
      <c r="AF16" s="2">
        <v>1</v>
      </c>
      <c r="AG16">
        <v>214.15</v>
      </c>
      <c r="AH16">
        <v>226.44</v>
      </c>
      <c r="AJ16" s="2">
        <v>1</v>
      </c>
      <c r="AN16" t="s">
        <v>373</v>
      </c>
      <c r="AR16" t="s">
        <v>373</v>
      </c>
      <c r="AS16" t="s">
        <v>10</v>
      </c>
      <c r="AT16" t="str">
        <f t="shared" si="0"/>
        <v>Westfield - 5171HC</v>
      </c>
    </row>
    <row r="17" spans="1:46" x14ac:dyDescent="0.25">
      <c r="A17" t="s">
        <v>316</v>
      </c>
      <c r="B17" t="s">
        <v>251</v>
      </c>
      <c r="C17" t="s">
        <v>246</v>
      </c>
      <c r="D17" s="50">
        <v>46054</v>
      </c>
      <c r="E17" s="2">
        <v>0.92300000000000004</v>
      </c>
      <c r="F17" s="2">
        <v>0.94399999999999995</v>
      </c>
      <c r="G17" t="s">
        <v>373</v>
      </c>
      <c r="H17" t="s">
        <v>373</v>
      </c>
      <c r="I17" s="2">
        <v>0</v>
      </c>
      <c r="J17" s="2">
        <v>0</v>
      </c>
      <c r="K17" s="2">
        <v>0</v>
      </c>
      <c r="L17" s="2">
        <v>0</v>
      </c>
      <c r="M17" s="51">
        <v>2040</v>
      </c>
      <c r="N17" s="51">
        <v>2540</v>
      </c>
      <c r="P17" s="51">
        <v>2540</v>
      </c>
      <c r="Q17" s="51">
        <v>200039</v>
      </c>
      <c r="R17" s="51">
        <v>447748</v>
      </c>
      <c r="T17" s="51">
        <v>447748</v>
      </c>
      <c r="U17" s="2">
        <v>0.01</v>
      </c>
      <c r="V17" s="2">
        <v>6.0000000000000001E-3</v>
      </c>
      <c r="W17" t="s">
        <v>373</v>
      </c>
      <c r="X17" t="s">
        <v>373</v>
      </c>
      <c r="Y17">
        <v>422.92</v>
      </c>
      <c r="Z17">
        <v>421.38</v>
      </c>
      <c r="AB17" s="2">
        <v>1</v>
      </c>
      <c r="AC17">
        <v>188.57</v>
      </c>
      <c r="AD17">
        <v>179.47</v>
      </c>
      <c r="AF17" s="2">
        <v>1</v>
      </c>
      <c r="AG17">
        <v>238.74</v>
      </c>
      <c r="AH17">
        <v>226.44</v>
      </c>
      <c r="AJ17" s="2">
        <v>1</v>
      </c>
      <c r="AN17" t="s">
        <v>373</v>
      </c>
      <c r="AR17" t="s">
        <v>373</v>
      </c>
      <c r="AS17" t="s">
        <v>10</v>
      </c>
      <c r="AT17" t="str">
        <f t="shared" si="0"/>
        <v>Westfield - 5171HC</v>
      </c>
    </row>
    <row r="18" spans="1:46" x14ac:dyDescent="0.25">
      <c r="A18" t="s">
        <v>316</v>
      </c>
      <c r="B18" t="s">
        <v>252</v>
      </c>
      <c r="C18" t="s">
        <v>38</v>
      </c>
      <c r="D18" s="50">
        <v>46023</v>
      </c>
      <c r="E18" s="2">
        <v>0.89800000000000002</v>
      </c>
      <c r="F18" s="2">
        <v>0.9</v>
      </c>
      <c r="G18" t="s">
        <v>373</v>
      </c>
      <c r="H18" t="s">
        <v>373</v>
      </c>
      <c r="I18" s="2">
        <v>0</v>
      </c>
      <c r="J18" s="2">
        <v>0</v>
      </c>
      <c r="K18" s="2">
        <v>0</v>
      </c>
      <c r="L18" s="2">
        <v>0</v>
      </c>
      <c r="M18" s="51">
        <v>0</v>
      </c>
      <c r="N18" s="51">
        <v>0</v>
      </c>
      <c r="P18" s="51">
        <v>0</v>
      </c>
      <c r="Q18" s="51">
        <v>31680</v>
      </c>
      <c r="R18" s="51">
        <v>43049</v>
      </c>
      <c r="T18" s="51">
        <v>43049</v>
      </c>
      <c r="U18" s="2">
        <v>0</v>
      </c>
      <c r="V18" s="2">
        <v>0</v>
      </c>
      <c r="W18" t="s">
        <v>373</v>
      </c>
      <c r="X18" t="s">
        <v>373</v>
      </c>
      <c r="Y18">
        <v>428.11</v>
      </c>
      <c r="Z18">
        <v>432.69</v>
      </c>
      <c r="AB18" s="2">
        <v>1</v>
      </c>
      <c r="AC18">
        <v>166.71</v>
      </c>
      <c r="AD18">
        <v>174.99</v>
      </c>
      <c r="AF18" s="2">
        <v>1</v>
      </c>
      <c r="AJ18" t="s">
        <v>373</v>
      </c>
      <c r="AN18" t="s">
        <v>373</v>
      </c>
      <c r="AR18" t="s">
        <v>373</v>
      </c>
      <c r="AS18" t="s">
        <v>10</v>
      </c>
      <c r="AT18" t="str">
        <f t="shared" si="0"/>
        <v>Battle Creek - 501HC</v>
      </c>
    </row>
    <row r="19" spans="1:46" x14ac:dyDescent="0.25">
      <c r="A19" t="s">
        <v>316</v>
      </c>
      <c r="B19" t="s">
        <v>252</v>
      </c>
      <c r="C19" t="s">
        <v>38</v>
      </c>
      <c r="D19" s="50">
        <v>46054</v>
      </c>
      <c r="E19" s="2">
        <v>0.90200000000000002</v>
      </c>
      <c r="F19" s="2">
        <v>0.9</v>
      </c>
      <c r="G19" t="s">
        <v>373</v>
      </c>
      <c r="H19" t="s">
        <v>373</v>
      </c>
      <c r="I19" s="2">
        <v>0</v>
      </c>
      <c r="J19" s="2">
        <v>0</v>
      </c>
      <c r="K19" s="2">
        <v>0</v>
      </c>
      <c r="L19" s="2">
        <v>0</v>
      </c>
      <c r="M19" s="51">
        <v>0</v>
      </c>
      <c r="N19" s="51">
        <v>0</v>
      </c>
      <c r="P19" s="51">
        <v>0</v>
      </c>
      <c r="Q19" s="51">
        <v>11369</v>
      </c>
      <c r="R19" s="51">
        <v>43049</v>
      </c>
      <c r="T19" s="51">
        <v>43049</v>
      </c>
      <c r="U19" s="2">
        <v>0</v>
      </c>
      <c r="V19" s="2">
        <v>0</v>
      </c>
      <c r="W19" t="s">
        <v>373</v>
      </c>
      <c r="X19" t="s">
        <v>373</v>
      </c>
      <c r="Y19">
        <v>437.27</v>
      </c>
      <c r="Z19">
        <v>432.69</v>
      </c>
      <c r="AB19" s="2">
        <v>1</v>
      </c>
      <c r="AC19">
        <v>183.27</v>
      </c>
      <c r="AD19">
        <v>174.99</v>
      </c>
      <c r="AF19" s="2">
        <v>1</v>
      </c>
      <c r="AJ19" t="s">
        <v>373</v>
      </c>
      <c r="AN19" t="s">
        <v>373</v>
      </c>
      <c r="AR19" t="s">
        <v>373</v>
      </c>
      <c r="AS19" t="s">
        <v>10</v>
      </c>
      <c r="AT19" t="str">
        <f t="shared" si="0"/>
        <v>Battle Creek - 501HC</v>
      </c>
    </row>
    <row r="20" spans="1:46" x14ac:dyDescent="0.25">
      <c r="A20" t="s">
        <v>316</v>
      </c>
      <c r="B20" t="s">
        <v>252</v>
      </c>
      <c r="C20" t="s">
        <v>43</v>
      </c>
      <c r="D20" s="50">
        <v>46023</v>
      </c>
      <c r="E20" s="2">
        <v>0.91300000000000003</v>
      </c>
      <c r="F20" s="2">
        <v>0.90800000000000003</v>
      </c>
      <c r="G20" t="s">
        <v>373</v>
      </c>
      <c r="H20" t="s">
        <v>373</v>
      </c>
      <c r="I20" s="2">
        <v>0</v>
      </c>
      <c r="J20" s="2">
        <v>0</v>
      </c>
      <c r="K20" s="2">
        <v>0</v>
      </c>
      <c r="L20" s="2">
        <v>0</v>
      </c>
      <c r="M20" s="51">
        <v>0</v>
      </c>
      <c r="N20" s="51">
        <v>0</v>
      </c>
      <c r="P20" s="51">
        <v>0</v>
      </c>
      <c r="Q20" s="51">
        <v>43365</v>
      </c>
      <c r="R20" s="51">
        <v>78194</v>
      </c>
      <c r="T20" s="51">
        <v>78194</v>
      </c>
      <c r="U20" s="2">
        <v>0</v>
      </c>
      <c r="V20" s="2">
        <v>0</v>
      </c>
      <c r="W20" t="s">
        <v>373</v>
      </c>
      <c r="X20" t="s">
        <v>373</v>
      </c>
      <c r="Y20">
        <v>456.47</v>
      </c>
      <c r="Z20">
        <v>454.4</v>
      </c>
      <c r="AB20" s="2">
        <v>1</v>
      </c>
      <c r="AC20">
        <v>220.76</v>
      </c>
      <c r="AD20">
        <v>240.11</v>
      </c>
      <c r="AF20" s="2">
        <v>1</v>
      </c>
      <c r="AG20">
        <v>264.19</v>
      </c>
      <c r="AH20">
        <v>277.57</v>
      </c>
      <c r="AJ20" s="2">
        <v>1</v>
      </c>
      <c r="AK20">
        <v>150.11000000000001</v>
      </c>
      <c r="AL20">
        <v>159.99</v>
      </c>
      <c r="AN20" s="2">
        <v>1</v>
      </c>
      <c r="AR20" t="s">
        <v>373</v>
      </c>
      <c r="AS20" t="s">
        <v>10</v>
      </c>
      <c r="AT20" t="str">
        <f t="shared" si="0"/>
        <v>Belmont - 519HC</v>
      </c>
    </row>
    <row r="21" spans="1:46" x14ac:dyDescent="0.25">
      <c r="A21" t="s">
        <v>316</v>
      </c>
      <c r="B21" t="s">
        <v>252</v>
      </c>
      <c r="C21" t="s">
        <v>43</v>
      </c>
      <c r="D21" s="50">
        <v>46054</v>
      </c>
      <c r="E21" s="2">
        <v>0.90200000000000002</v>
      </c>
      <c r="F21" s="2">
        <v>0.90800000000000003</v>
      </c>
      <c r="G21" t="s">
        <v>373</v>
      </c>
      <c r="H21" t="s">
        <v>373</v>
      </c>
      <c r="I21" s="2">
        <v>0</v>
      </c>
      <c r="J21" s="2">
        <v>0</v>
      </c>
      <c r="K21" s="2">
        <v>0</v>
      </c>
      <c r="L21" s="2">
        <v>0</v>
      </c>
      <c r="M21" s="51">
        <v>0</v>
      </c>
      <c r="N21" s="51">
        <v>0</v>
      </c>
      <c r="P21" s="51">
        <v>0</v>
      </c>
      <c r="Q21" s="51">
        <v>34829</v>
      </c>
      <c r="R21" s="51">
        <v>78194</v>
      </c>
      <c r="T21" s="51">
        <v>78194</v>
      </c>
      <c r="U21" s="2">
        <v>0</v>
      </c>
      <c r="V21" s="2">
        <v>0</v>
      </c>
      <c r="W21" t="s">
        <v>373</v>
      </c>
      <c r="X21" t="s">
        <v>373</v>
      </c>
      <c r="Y21">
        <v>452.32</v>
      </c>
      <c r="Z21">
        <v>454.4</v>
      </c>
      <c r="AB21" s="2">
        <v>1</v>
      </c>
      <c r="AC21">
        <v>259.47000000000003</v>
      </c>
      <c r="AD21">
        <v>240.11</v>
      </c>
      <c r="AF21" s="2">
        <v>1</v>
      </c>
      <c r="AG21">
        <v>290.95999999999998</v>
      </c>
      <c r="AH21">
        <v>277.57</v>
      </c>
      <c r="AJ21" s="2">
        <v>1</v>
      </c>
      <c r="AK21">
        <v>169.87</v>
      </c>
      <c r="AL21">
        <v>159.99</v>
      </c>
      <c r="AN21" s="2">
        <v>1</v>
      </c>
      <c r="AR21" t="s">
        <v>373</v>
      </c>
      <c r="AS21" t="s">
        <v>10</v>
      </c>
      <c r="AT21" t="str">
        <f t="shared" si="0"/>
        <v>Belmont - 519HC</v>
      </c>
    </row>
    <row r="22" spans="1:46" x14ac:dyDescent="0.25">
      <c r="A22" t="s">
        <v>316</v>
      </c>
      <c r="B22" t="s">
        <v>252</v>
      </c>
      <c r="C22" t="s">
        <v>61</v>
      </c>
      <c r="D22" s="50">
        <v>46023</v>
      </c>
      <c r="E22" s="2">
        <v>0.90600000000000003</v>
      </c>
      <c r="F22" s="2">
        <v>0.89400000000000002</v>
      </c>
      <c r="G22" t="s">
        <v>373</v>
      </c>
      <c r="H22" t="s">
        <v>373</v>
      </c>
      <c r="I22" s="2">
        <v>0</v>
      </c>
      <c r="J22" s="2">
        <v>0</v>
      </c>
      <c r="K22" s="2">
        <v>0</v>
      </c>
      <c r="L22" s="2">
        <v>0</v>
      </c>
      <c r="M22" s="51">
        <v>0</v>
      </c>
      <c r="N22" s="51">
        <v>0</v>
      </c>
      <c r="P22" s="51">
        <v>0</v>
      </c>
      <c r="Q22" s="51">
        <v>75411</v>
      </c>
      <c r="R22" s="51">
        <v>125199</v>
      </c>
      <c r="T22" s="51">
        <v>125199</v>
      </c>
      <c r="U22" s="2">
        <v>0</v>
      </c>
      <c r="V22" s="2">
        <v>0</v>
      </c>
      <c r="W22" t="s">
        <v>373</v>
      </c>
      <c r="X22" t="s">
        <v>373</v>
      </c>
      <c r="Y22">
        <v>499.41</v>
      </c>
      <c r="Z22">
        <v>520.29</v>
      </c>
      <c r="AB22" s="2">
        <v>1</v>
      </c>
      <c r="AC22">
        <v>243.9</v>
      </c>
      <c r="AD22">
        <v>257.24</v>
      </c>
      <c r="AF22" s="2">
        <v>1</v>
      </c>
      <c r="AG22">
        <v>273.73</v>
      </c>
      <c r="AH22">
        <v>287.95999999999998</v>
      </c>
      <c r="AJ22" s="2">
        <v>1</v>
      </c>
      <c r="AK22">
        <v>141.76</v>
      </c>
      <c r="AL22">
        <v>149.30000000000001</v>
      </c>
      <c r="AN22" s="2">
        <v>1</v>
      </c>
      <c r="AR22" t="s">
        <v>373</v>
      </c>
      <c r="AS22" t="s">
        <v>10</v>
      </c>
      <c r="AT22" t="str">
        <f t="shared" si="0"/>
        <v>Byron Center - 518HC</v>
      </c>
    </row>
    <row r="23" spans="1:46" x14ac:dyDescent="0.25">
      <c r="A23" t="s">
        <v>316</v>
      </c>
      <c r="B23" t="s">
        <v>252</v>
      </c>
      <c r="C23" t="s">
        <v>61</v>
      </c>
      <c r="D23" s="50">
        <v>46054</v>
      </c>
      <c r="E23" s="2">
        <v>0.88100000000000001</v>
      </c>
      <c r="F23" s="2">
        <v>0.89400000000000002</v>
      </c>
      <c r="G23" t="s">
        <v>373</v>
      </c>
      <c r="H23" t="s">
        <v>373</v>
      </c>
      <c r="I23" s="2">
        <v>0</v>
      </c>
      <c r="J23" s="2">
        <v>0</v>
      </c>
      <c r="K23" s="2">
        <v>0</v>
      </c>
      <c r="L23" s="2">
        <v>0</v>
      </c>
      <c r="M23" s="51">
        <v>0</v>
      </c>
      <c r="N23" s="51">
        <v>0</v>
      </c>
      <c r="P23" s="51">
        <v>0</v>
      </c>
      <c r="Q23" s="51">
        <v>49788</v>
      </c>
      <c r="R23" s="51">
        <v>125199</v>
      </c>
      <c r="T23" s="51">
        <v>125199</v>
      </c>
      <c r="U23" s="2">
        <v>0</v>
      </c>
      <c r="V23" s="2">
        <v>0</v>
      </c>
      <c r="W23" t="s">
        <v>373</v>
      </c>
      <c r="X23" t="s">
        <v>373</v>
      </c>
      <c r="Y23">
        <v>541.16999999999996</v>
      </c>
      <c r="Z23">
        <v>520.29</v>
      </c>
      <c r="AB23" s="2">
        <v>1</v>
      </c>
      <c r="AC23">
        <v>270.58</v>
      </c>
      <c r="AD23">
        <v>257.24</v>
      </c>
      <c r="AF23" s="2">
        <v>1</v>
      </c>
      <c r="AG23">
        <v>302.18</v>
      </c>
      <c r="AH23">
        <v>287.95999999999998</v>
      </c>
      <c r="AJ23" s="2">
        <v>1</v>
      </c>
      <c r="AK23">
        <v>156.85</v>
      </c>
      <c r="AL23">
        <v>149.30000000000001</v>
      </c>
      <c r="AN23" s="2">
        <v>1</v>
      </c>
      <c r="AR23" t="s">
        <v>373</v>
      </c>
      <c r="AS23" t="s">
        <v>10</v>
      </c>
      <c r="AT23" t="str">
        <f t="shared" si="0"/>
        <v>Byron Center - 518HC</v>
      </c>
    </row>
    <row r="24" spans="1:46" x14ac:dyDescent="0.25">
      <c r="A24" t="s">
        <v>316</v>
      </c>
      <c r="B24" t="s">
        <v>252</v>
      </c>
      <c r="C24" t="s">
        <v>132</v>
      </c>
      <c r="D24" s="50">
        <v>46023</v>
      </c>
      <c r="E24" s="2">
        <v>0.64</v>
      </c>
      <c r="F24" s="2">
        <v>0.66200000000000003</v>
      </c>
      <c r="G24" t="s">
        <v>373</v>
      </c>
      <c r="H24" t="s">
        <v>373</v>
      </c>
      <c r="I24" s="2">
        <v>0</v>
      </c>
      <c r="J24" s="2">
        <v>0</v>
      </c>
      <c r="K24" s="2">
        <v>0</v>
      </c>
      <c r="L24" s="2">
        <v>0</v>
      </c>
      <c r="M24" s="51">
        <v>0</v>
      </c>
      <c r="N24" s="51">
        <v>0</v>
      </c>
      <c r="P24" s="51">
        <v>0</v>
      </c>
      <c r="Q24" s="51">
        <v>241618</v>
      </c>
      <c r="R24" s="51">
        <v>417998</v>
      </c>
      <c r="T24" s="51">
        <v>417998</v>
      </c>
      <c r="U24" s="2">
        <v>0</v>
      </c>
      <c r="V24" s="2">
        <v>0</v>
      </c>
      <c r="W24" t="s">
        <v>373</v>
      </c>
      <c r="X24" t="s">
        <v>373</v>
      </c>
      <c r="Y24">
        <v>489.11</v>
      </c>
      <c r="Z24">
        <v>477.24</v>
      </c>
      <c r="AB24" s="2">
        <v>1</v>
      </c>
      <c r="AC24">
        <v>225.58</v>
      </c>
      <c r="AD24">
        <v>236.54</v>
      </c>
      <c r="AF24" s="2">
        <v>1</v>
      </c>
      <c r="AG24">
        <v>253.83</v>
      </c>
      <c r="AH24">
        <v>267.06</v>
      </c>
      <c r="AJ24" s="2">
        <v>1</v>
      </c>
      <c r="AK24">
        <v>137.68</v>
      </c>
      <c r="AL24">
        <v>144.83000000000001</v>
      </c>
      <c r="AN24" s="2">
        <v>1</v>
      </c>
      <c r="AR24" t="s">
        <v>373</v>
      </c>
      <c r="AS24" t="s">
        <v>10</v>
      </c>
      <c r="AT24" t="str">
        <f t="shared" si="0"/>
        <v>Hudsonville - 524HC</v>
      </c>
    </row>
    <row r="25" spans="1:46" x14ac:dyDescent="0.25">
      <c r="A25" t="s">
        <v>316</v>
      </c>
      <c r="B25" t="s">
        <v>252</v>
      </c>
      <c r="C25" t="s">
        <v>132</v>
      </c>
      <c r="D25" s="50">
        <v>46054</v>
      </c>
      <c r="E25" s="2">
        <v>0.68600000000000005</v>
      </c>
      <c r="F25" s="2">
        <v>0.66200000000000003</v>
      </c>
      <c r="G25" t="s">
        <v>373</v>
      </c>
      <c r="H25" t="s">
        <v>373</v>
      </c>
      <c r="I25" s="2">
        <v>0</v>
      </c>
      <c r="J25" s="2">
        <v>0</v>
      </c>
      <c r="K25" s="2">
        <v>0</v>
      </c>
      <c r="L25" s="2">
        <v>0</v>
      </c>
      <c r="M25" s="51">
        <v>0</v>
      </c>
      <c r="N25" s="51">
        <v>0</v>
      </c>
      <c r="P25" s="51">
        <v>0</v>
      </c>
      <c r="Q25" s="51">
        <v>176380</v>
      </c>
      <c r="R25" s="51">
        <v>417998</v>
      </c>
      <c r="T25" s="51">
        <v>417998</v>
      </c>
      <c r="U25" s="2">
        <v>0</v>
      </c>
      <c r="V25" s="2">
        <v>0</v>
      </c>
      <c r="W25" t="s">
        <v>373</v>
      </c>
      <c r="X25" t="s">
        <v>373</v>
      </c>
      <c r="Y25">
        <v>465.38</v>
      </c>
      <c r="Z25">
        <v>477.24</v>
      </c>
      <c r="AB25" s="2">
        <v>1</v>
      </c>
      <c r="AC25">
        <v>247.5</v>
      </c>
      <c r="AD25">
        <v>236.54</v>
      </c>
      <c r="AF25" s="2">
        <v>1</v>
      </c>
      <c r="AG25">
        <v>280.29000000000002</v>
      </c>
      <c r="AH25">
        <v>267.06</v>
      </c>
      <c r="AJ25" s="2">
        <v>1</v>
      </c>
      <c r="AK25">
        <v>151.97999999999999</v>
      </c>
      <c r="AL25">
        <v>144.83000000000001</v>
      </c>
      <c r="AN25" s="2">
        <v>1</v>
      </c>
      <c r="AR25" t="s">
        <v>373</v>
      </c>
      <c r="AS25" t="s">
        <v>10</v>
      </c>
      <c r="AT25" t="str">
        <f t="shared" si="0"/>
        <v>Hudsonville - 524HC</v>
      </c>
    </row>
    <row r="26" spans="1:46" x14ac:dyDescent="0.25">
      <c r="A26" t="s">
        <v>316</v>
      </c>
      <c r="B26" t="s">
        <v>252</v>
      </c>
      <c r="C26" t="s">
        <v>181</v>
      </c>
      <c r="D26" s="50">
        <v>46023</v>
      </c>
      <c r="E26" s="2">
        <v>0.92900000000000005</v>
      </c>
      <c r="F26" s="2">
        <v>0.93100000000000005</v>
      </c>
      <c r="G26" t="s">
        <v>373</v>
      </c>
      <c r="H26" t="s">
        <v>373</v>
      </c>
      <c r="I26" s="2">
        <v>0</v>
      </c>
      <c r="J26" s="2">
        <v>0</v>
      </c>
      <c r="K26" s="2">
        <v>0</v>
      </c>
      <c r="L26" s="2">
        <v>0</v>
      </c>
      <c r="M26" s="51">
        <v>6397</v>
      </c>
      <c r="N26" s="51">
        <v>12176</v>
      </c>
      <c r="P26" s="51">
        <v>12176</v>
      </c>
      <c r="Q26" s="51">
        <v>164203</v>
      </c>
      <c r="R26" s="51">
        <v>319112</v>
      </c>
      <c r="T26" s="51">
        <v>319112</v>
      </c>
      <c r="U26" s="2">
        <v>3.9E-2</v>
      </c>
      <c r="V26" s="2">
        <v>3.7999999999999999E-2</v>
      </c>
      <c r="W26" t="s">
        <v>373</v>
      </c>
      <c r="X26" t="s">
        <v>373</v>
      </c>
      <c r="Y26">
        <v>451.11</v>
      </c>
      <c r="Z26">
        <v>458.15</v>
      </c>
      <c r="AB26" s="2">
        <v>1</v>
      </c>
      <c r="AC26">
        <v>202.14</v>
      </c>
      <c r="AD26">
        <v>211.39</v>
      </c>
      <c r="AF26" s="2">
        <v>1</v>
      </c>
      <c r="AG26">
        <v>268.58999999999997</v>
      </c>
      <c r="AH26">
        <v>278.14</v>
      </c>
      <c r="AJ26" s="2">
        <v>1</v>
      </c>
      <c r="AN26" t="s">
        <v>373</v>
      </c>
      <c r="AR26" t="s">
        <v>373</v>
      </c>
      <c r="AS26" t="s">
        <v>10</v>
      </c>
      <c r="AT26" t="str">
        <f t="shared" si="0"/>
        <v>Lowell - 156HC</v>
      </c>
    </row>
    <row r="27" spans="1:46" x14ac:dyDescent="0.25">
      <c r="A27" t="s">
        <v>316</v>
      </c>
      <c r="B27" t="s">
        <v>252</v>
      </c>
      <c r="C27" t="s">
        <v>181</v>
      </c>
      <c r="D27" s="50">
        <v>46054</v>
      </c>
      <c r="E27" s="2">
        <v>0.93400000000000005</v>
      </c>
      <c r="F27" s="2">
        <v>0.93100000000000005</v>
      </c>
      <c r="G27" t="s">
        <v>373</v>
      </c>
      <c r="H27" t="s">
        <v>373</v>
      </c>
      <c r="I27" s="2">
        <v>0</v>
      </c>
      <c r="J27" s="2">
        <v>0</v>
      </c>
      <c r="K27" s="2">
        <v>0</v>
      </c>
      <c r="L27" s="2">
        <v>0</v>
      </c>
      <c r="M27" s="51">
        <v>5778</v>
      </c>
      <c r="N27" s="51">
        <v>12176</v>
      </c>
      <c r="P27" s="51">
        <v>12176</v>
      </c>
      <c r="Q27" s="51">
        <v>154909</v>
      </c>
      <c r="R27" s="51">
        <v>319112</v>
      </c>
      <c r="T27" s="51">
        <v>319112</v>
      </c>
      <c r="U27" s="2">
        <v>3.6999999999999998E-2</v>
      </c>
      <c r="V27" s="2">
        <v>3.7999999999999999E-2</v>
      </c>
      <c r="W27" t="s">
        <v>373</v>
      </c>
      <c r="X27" t="s">
        <v>373</v>
      </c>
      <c r="Y27">
        <v>465.19</v>
      </c>
      <c r="Z27">
        <v>458.15</v>
      </c>
      <c r="AB27" s="2">
        <v>1</v>
      </c>
      <c r="AC27">
        <v>220.64</v>
      </c>
      <c r="AD27">
        <v>211.39</v>
      </c>
      <c r="AF27" s="2">
        <v>1</v>
      </c>
      <c r="AG27">
        <v>287.68</v>
      </c>
      <c r="AH27">
        <v>278.14</v>
      </c>
      <c r="AJ27" s="2">
        <v>1</v>
      </c>
      <c r="AN27" t="s">
        <v>373</v>
      </c>
      <c r="AR27" t="s">
        <v>373</v>
      </c>
      <c r="AS27" t="s">
        <v>10</v>
      </c>
      <c r="AT27" t="str">
        <f t="shared" si="0"/>
        <v>Lowell - 156HC</v>
      </c>
    </row>
    <row r="28" spans="1:46" x14ac:dyDescent="0.25">
      <c r="A28" t="s">
        <v>316</v>
      </c>
      <c r="B28" t="s">
        <v>252</v>
      </c>
      <c r="C28" t="s">
        <v>193</v>
      </c>
      <c r="D28" s="50">
        <v>46023</v>
      </c>
      <c r="E28" s="2">
        <v>0.627</v>
      </c>
      <c r="F28" s="2">
        <v>0.58199999999999996</v>
      </c>
      <c r="G28" t="s">
        <v>373</v>
      </c>
      <c r="H28" t="s">
        <v>373</v>
      </c>
      <c r="I28" s="2">
        <v>0</v>
      </c>
      <c r="J28" s="2">
        <v>0</v>
      </c>
      <c r="K28" s="2">
        <v>0</v>
      </c>
      <c r="L28" s="2">
        <v>0</v>
      </c>
      <c r="M28" s="51">
        <v>0</v>
      </c>
      <c r="N28" s="51">
        <v>0</v>
      </c>
      <c r="P28" s="51">
        <v>0</v>
      </c>
      <c r="Q28" s="51">
        <v>115490</v>
      </c>
      <c r="R28" s="51">
        <v>185696</v>
      </c>
      <c r="T28" s="51">
        <v>185696</v>
      </c>
      <c r="U28" s="2">
        <v>0</v>
      </c>
      <c r="V28" s="2">
        <v>0</v>
      </c>
      <c r="W28" t="s">
        <v>373</v>
      </c>
      <c r="X28" t="s">
        <v>373</v>
      </c>
      <c r="Y28">
        <v>481.21</v>
      </c>
      <c r="Z28">
        <v>487.81</v>
      </c>
      <c r="AB28" s="2">
        <v>1</v>
      </c>
      <c r="AC28">
        <v>220.66</v>
      </c>
      <c r="AD28">
        <v>232.52</v>
      </c>
      <c r="AF28" s="2">
        <v>1</v>
      </c>
      <c r="AG28">
        <v>243.47</v>
      </c>
      <c r="AH28">
        <v>255.88</v>
      </c>
      <c r="AJ28" s="2">
        <v>1</v>
      </c>
      <c r="AK28">
        <v>136.82</v>
      </c>
      <c r="AL28">
        <v>142.9</v>
      </c>
      <c r="AN28" s="2">
        <v>1</v>
      </c>
      <c r="AR28" t="s">
        <v>373</v>
      </c>
      <c r="AS28" t="s">
        <v>10</v>
      </c>
      <c r="AT28" t="str">
        <f t="shared" si="0"/>
        <v>Muskegon - 525HC</v>
      </c>
    </row>
    <row r="29" spans="1:46" x14ac:dyDescent="0.25">
      <c r="A29" t="s">
        <v>316</v>
      </c>
      <c r="B29" t="s">
        <v>252</v>
      </c>
      <c r="C29" t="s">
        <v>193</v>
      </c>
      <c r="D29" s="50">
        <v>46054</v>
      </c>
      <c r="E29" s="2">
        <v>0.53300000000000003</v>
      </c>
      <c r="F29" s="2">
        <v>0.58199999999999996</v>
      </c>
      <c r="G29" t="s">
        <v>373</v>
      </c>
      <c r="H29" t="s">
        <v>373</v>
      </c>
      <c r="I29" s="2">
        <v>0</v>
      </c>
      <c r="J29" s="2">
        <v>0</v>
      </c>
      <c r="K29" s="2">
        <v>0</v>
      </c>
      <c r="L29" s="2">
        <v>0</v>
      </c>
      <c r="M29" s="51">
        <v>0</v>
      </c>
      <c r="N29" s="51">
        <v>0</v>
      </c>
      <c r="P29" s="51">
        <v>0</v>
      </c>
      <c r="Q29" s="51">
        <v>70206</v>
      </c>
      <c r="R29" s="51">
        <v>185696</v>
      </c>
      <c r="T29" s="51">
        <v>185696</v>
      </c>
      <c r="U29" s="2">
        <v>0</v>
      </c>
      <c r="V29" s="2">
        <v>0</v>
      </c>
      <c r="W29" t="s">
        <v>373</v>
      </c>
      <c r="X29" t="s">
        <v>373</v>
      </c>
      <c r="Y29">
        <v>494.41</v>
      </c>
      <c r="Z29">
        <v>487.81</v>
      </c>
      <c r="AB29" s="2">
        <v>1</v>
      </c>
      <c r="AC29">
        <v>244.37</v>
      </c>
      <c r="AD29">
        <v>232.52</v>
      </c>
      <c r="AF29" s="2">
        <v>1</v>
      </c>
      <c r="AG29">
        <v>268.27999999999997</v>
      </c>
      <c r="AH29">
        <v>255.88</v>
      </c>
      <c r="AJ29" s="2">
        <v>1</v>
      </c>
      <c r="AK29">
        <v>148.97</v>
      </c>
      <c r="AL29">
        <v>142.9</v>
      </c>
      <c r="AN29" s="2">
        <v>1</v>
      </c>
      <c r="AR29" t="s">
        <v>373</v>
      </c>
      <c r="AS29" t="s">
        <v>10</v>
      </c>
      <c r="AT29" t="str">
        <f t="shared" si="0"/>
        <v>Muskegon - 525HC</v>
      </c>
    </row>
    <row r="30" spans="1:46" x14ac:dyDescent="0.25">
      <c r="A30" t="s">
        <v>316</v>
      </c>
      <c r="B30" t="s">
        <v>252</v>
      </c>
      <c r="C30" t="s">
        <v>224</v>
      </c>
      <c r="D30" s="50">
        <v>46023</v>
      </c>
      <c r="E30" s="2">
        <v>0.86299999999999999</v>
      </c>
      <c r="F30" s="2">
        <v>0.89200000000000002</v>
      </c>
      <c r="G30" t="s">
        <v>373</v>
      </c>
      <c r="H30" t="s">
        <v>373</v>
      </c>
      <c r="I30" s="2">
        <v>0</v>
      </c>
      <c r="J30" s="2">
        <v>0</v>
      </c>
      <c r="K30" s="2">
        <v>0</v>
      </c>
      <c r="L30" s="2">
        <v>0</v>
      </c>
      <c r="M30" s="51">
        <v>0</v>
      </c>
      <c r="N30" s="51">
        <v>0</v>
      </c>
      <c r="P30" s="51">
        <v>0</v>
      </c>
      <c r="Q30" s="51">
        <v>152880</v>
      </c>
      <c r="R30" s="51">
        <v>246022</v>
      </c>
      <c r="T30" s="51">
        <v>246022</v>
      </c>
      <c r="U30" s="2">
        <v>0</v>
      </c>
      <c r="V30" s="2">
        <v>0</v>
      </c>
      <c r="W30" t="s">
        <v>373</v>
      </c>
      <c r="X30" t="s">
        <v>373</v>
      </c>
      <c r="Y30">
        <v>491.58</v>
      </c>
      <c r="Z30">
        <v>489.62</v>
      </c>
      <c r="AB30" s="2">
        <v>1</v>
      </c>
      <c r="AC30">
        <v>118.86</v>
      </c>
      <c r="AD30">
        <v>124.94</v>
      </c>
      <c r="AF30" s="2">
        <v>1</v>
      </c>
      <c r="AJ30" t="s">
        <v>373</v>
      </c>
      <c r="AN30" t="s">
        <v>373</v>
      </c>
      <c r="AR30" t="s">
        <v>373</v>
      </c>
      <c r="AS30" t="s">
        <v>10</v>
      </c>
      <c r="AT30" t="str">
        <f t="shared" si="0"/>
        <v>Sun Prairie - 572HC</v>
      </c>
    </row>
    <row r="31" spans="1:46" x14ac:dyDescent="0.25">
      <c r="A31" t="s">
        <v>316</v>
      </c>
      <c r="B31" t="s">
        <v>252</v>
      </c>
      <c r="C31" t="s">
        <v>224</v>
      </c>
      <c r="D31" s="50">
        <v>46054</v>
      </c>
      <c r="E31" s="2">
        <v>0.92500000000000004</v>
      </c>
      <c r="F31" s="2">
        <v>0.89200000000000002</v>
      </c>
      <c r="G31" t="s">
        <v>373</v>
      </c>
      <c r="H31" t="s">
        <v>373</v>
      </c>
      <c r="I31" s="2">
        <v>0</v>
      </c>
      <c r="J31" s="2">
        <v>0</v>
      </c>
      <c r="K31" s="2">
        <v>0</v>
      </c>
      <c r="L31" s="2">
        <v>0</v>
      </c>
      <c r="M31" s="51">
        <v>0</v>
      </c>
      <c r="N31" s="51">
        <v>0</v>
      </c>
      <c r="P31" s="51">
        <v>0</v>
      </c>
      <c r="Q31" s="51">
        <v>93142</v>
      </c>
      <c r="R31" s="51">
        <v>246022</v>
      </c>
      <c r="T31" s="51">
        <v>246022</v>
      </c>
      <c r="U31" s="2">
        <v>0</v>
      </c>
      <c r="V31" s="2">
        <v>0</v>
      </c>
      <c r="W31" t="s">
        <v>373</v>
      </c>
      <c r="X31" t="s">
        <v>373</v>
      </c>
      <c r="Y31">
        <v>487.65</v>
      </c>
      <c r="Z31">
        <v>489.62</v>
      </c>
      <c r="AB31" s="2">
        <v>1</v>
      </c>
      <c r="AC31">
        <v>131.02000000000001</v>
      </c>
      <c r="AD31">
        <v>124.94</v>
      </c>
      <c r="AF31" s="2">
        <v>1</v>
      </c>
      <c r="AJ31" t="s">
        <v>373</v>
      </c>
      <c r="AN31" t="s">
        <v>373</v>
      </c>
      <c r="AR31" t="s">
        <v>373</v>
      </c>
      <c r="AS31" t="s">
        <v>10</v>
      </c>
      <c r="AT31" t="str">
        <f t="shared" si="0"/>
        <v>Sun Prairie - 572HC</v>
      </c>
    </row>
    <row r="32" spans="1:46" x14ac:dyDescent="0.25">
      <c r="A32" t="s">
        <v>316</v>
      </c>
      <c r="B32" t="s">
        <v>252</v>
      </c>
      <c r="C32" t="s">
        <v>235</v>
      </c>
      <c r="D32" s="50">
        <v>46023</v>
      </c>
      <c r="E32" s="2">
        <v>0.91600000000000004</v>
      </c>
      <c r="F32" s="2">
        <v>0.91900000000000004</v>
      </c>
      <c r="G32" t="s">
        <v>373</v>
      </c>
      <c r="H32" t="s">
        <v>373</v>
      </c>
      <c r="I32" s="2">
        <v>0</v>
      </c>
      <c r="J32" s="2">
        <v>0</v>
      </c>
      <c r="K32" s="2">
        <v>0</v>
      </c>
      <c r="L32" s="2">
        <v>0</v>
      </c>
      <c r="M32" s="51">
        <v>0</v>
      </c>
      <c r="N32" s="51">
        <v>0</v>
      </c>
      <c r="P32" s="51">
        <v>0</v>
      </c>
      <c r="Q32" s="51">
        <v>249336</v>
      </c>
      <c r="R32" s="51">
        <v>447056</v>
      </c>
      <c r="T32" s="51">
        <v>447056</v>
      </c>
      <c r="U32" s="2">
        <v>0</v>
      </c>
      <c r="V32" s="2">
        <v>0</v>
      </c>
      <c r="W32" t="s">
        <v>373</v>
      </c>
      <c r="X32" t="s">
        <v>373</v>
      </c>
      <c r="Y32">
        <v>416.95</v>
      </c>
      <c r="Z32">
        <v>426.23</v>
      </c>
      <c r="AB32" s="2">
        <v>1</v>
      </c>
      <c r="AC32">
        <v>178.54</v>
      </c>
      <c r="AD32">
        <v>186.33</v>
      </c>
      <c r="AF32" s="2">
        <v>1</v>
      </c>
      <c r="AG32">
        <v>205.68</v>
      </c>
      <c r="AH32">
        <v>215.75</v>
      </c>
      <c r="AJ32" s="2">
        <v>1</v>
      </c>
      <c r="AN32" t="s">
        <v>373</v>
      </c>
      <c r="AR32" t="s">
        <v>373</v>
      </c>
      <c r="AS32" t="s">
        <v>10</v>
      </c>
      <c r="AT32" t="str">
        <f t="shared" si="0"/>
        <v>Valparaiso - 139HC</v>
      </c>
    </row>
    <row r="33" spans="1:46" x14ac:dyDescent="0.25">
      <c r="A33" t="s">
        <v>316</v>
      </c>
      <c r="B33" t="s">
        <v>252</v>
      </c>
      <c r="C33" t="s">
        <v>235</v>
      </c>
      <c r="D33" s="50">
        <v>46054</v>
      </c>
      <c r="E33" s="2">
        <v>0.92100000000000004</v>
      </c>
      <c r="F33" s="2">
        <v>0.91900000000000004</v>
      </c>
      <c r="G33" t="s">
        <v>373</v>
      </c>
      <c r="H33" t="s">
        <v>373</v>
      </c>
      <c r="I33" s="2">
        <v>0</v>
      </c>
      <c r="J33" s="2">
        <v>0</v>
      </c>
      <c r="K33" s="2">
        <v>0</v>
      </c>
      <c r="L33" s="2">
        <v>0</v>
      </c>
      <c r="M33" s="51">
        <v>0</v>
      </c>
      <c r="N33" s="51">
        <v>0</v>
      </c>
      <c r="P33" s="51">
        <v>0</v>
      </c>
      <c r="Q33" s="51">
        <v>197720</v>
      </c>
      <c r="R33" s="51">
        <v>447056</v>
      </c>
      <c r="T33" s="51">
        <v>447056</v>
      </c>
      <c r="U33" s="2">
        <v>0</v>
      </c>
      <c r="V33" s="2">
        <v>0</v>
      </c>
      <c r="W33" t="s">
        <v>373</v>
      </c>
      <c r="X33" t="s">
        <v>373</v>
      </c>
      <c r="Y33">
        <v>435.51</v>
      </c>
      <c r="Z33">
        <v>426.23</v>
      </c>
      <c r="AB33" s="2">
        <v>1</v>
      </c>
      <c r="AC33">
        <v>194.13</v>
      </c>
      <c r="AD33">
        <v>186.33</v>
      </c>
      <c r="AF33" s="2">
        <v>1</v>
      </c>
      <c r="AG33">
        <v>225.83</v>
      </c>
      <c r="AH33">
        <v>215.75</v>
      </c>
      <c r="AJ33" s="2">
        <v>1</v>
      </c>
      <c r="AN33" t="s">
        <v>373</v>
      </c>
      <c r="AR33" t="s">
        <v>373</v>
      </c>
      <c r="AS33" t="s">
        <v>10</v>
      </c>
      <c r="AT33" t="str">
        <f t="shared" si="0"/>
        <v>Valparaiso - 139HC</v>
      </c>
    </row>
    <row r="34" spans="1:46" x14ac:dyDescent="0.25">
      <c r="A34" t="s">
        <v>316</v>
      </c>
      <c r="B34" t="s">
        <v>252</v>
      </c>
      <c r="C34" t="s">
        <v>243</v>
      </c>
      <c r="D34" s="50">
        <v>46023</v>
      </c>
      <c r="E34" s="2">
        <v>0.84699999999999998</v>
      </c>
      <c r="F34" s="2">
        <v>0.84699999999999998</v>
      </c>
      <c r="G34" t="s">
        <v>373</v>
      </c>
      <c r="H34" t="s">
        <v>373</v>
      </c>
      <c r="I34" s="2">
        <v>0</v>
      </c>
      <c r="J34" s="2">
        <v>0</v>
      </c>
      <c r="K34" s="2">
        <v>0</v>
      </c>
      <c r="L34" s="2">
        <v>0</v>
      </c>
      <c r="M34" s="51">
        <v>0</v>
      </c>
      <c r="N34" s="51">
        <v>0</v>
      </c>
      <c r="P34" s="51">
        <v>0</v>
      </c>
      <c r="Q34" s="51">
        <v>229490</v>
      </c>
      <c r="R34" s="51">
        <v>437463</v>
      </c>
      <c r="T34" s="51">
        <v>437463</v>
      </c>
      <c r="U34" s="2">
        <v>0</v>
      </c>
      <c r="V34" s="2">
        <v>0</v>
      </c>
      <c r="W34" t="s">
        <v>373</v>
      </c>
      <c r="X34" t="s">
        <v>373</v>
      </c>
      <c r="Y34">
        <v>514.54999999999995</v>
      </c>
      <c r="Z34">
        <v>514.03</v>
      </c>
      <c r="AB34" s="2">
        <v>1</v>
      </c>
      <c r="AC34">
        <v>112.08</v>
      </c>
      <c r="AD34">
        <v>118.42</v>
      </c>
      <c r="AF34" s="2">
        <v>1</v>
      </c>
      <c r="AG34">
        <v>200.51</v>
      </c>
      <c r="AH34">
        <v>215.93</v>
      </c>
      <c r="AJ34" s="2">
        <v>1</v>
      </c>
      <c r="AN34" t="s">
        <v>373</v>
      </c>
      <c r="AO34">
        <v>80.03</v>
      </c>
      <c r="AP34">
        <v>87.05</v>
      </c>
      <c r="AR34" s="2">
        <v>1</v>
      </c>
      <c r="AS34" t="s">
        <v>10</v>
      </c>
      <c r="AT34" t="str">
        <f t="shared" si="0"/>
        <v>Waunakee - 571HC</v>
      </c>
    </row>
    <row r="35" spans="1:46" x14ac:dyDescent="0.25">
      <c r="A35" t="s">
        <v>316</v>
      </c>
      <c r="B35" t="s">
        <v>252</v>
      </c>
      <c r="C35" t="s">
        <v>243</v>
      </c>
      <c r="D35" s="50">
        <v>46054</v>
      </c>
      <c r="E35" s="2">
        <v>0.84799999999999998</v>
      </c>
      <c r="F35" s="2">
        <v>0.84699999999999998</v>
      </c>
      <c r="G35" t="s">
        <v>373</v>
      </c>
      <c r="H35" t="s">
        <v>373</v>
      </c>
      <c r="I35" s="2">
        <v>0</v>
      </c>
      <c r="J35" s="2">
        <v>0</v>
      </c>
      <c r="K35" s="2">
        <v>0</v>
      </c>
      <c r="L35" s="2">
        <v>0</v>
      </c>
      <c r="M35" s="51">
        <v>0</v>
      </c>
      <c r="N35" s="51">
        <v>0</v>
      </c>
      <c r="P35" s="51">
        <v>0</v>
      </c>
      <c r="Q35" s="51">
        <v>207973</v>
      </c>
      <c r="R35" s="51">
        <v>437463</v>
      </c>
      <c r="T35" s="51">
        <v>437463</v>
      </c>
      <c r="U35" s="2">
        <v>0</v>
      </c>
      <c r="V35" s="2">
        <v>0</v>
      </c>
      <c r="W35" t="s">
        <v>373</v>
      </c>
      <c r="X35" t="s">
        <v>373</v>
      </c>
      <c r="Y35">
        <v>513.51</v>
      </c>
      <c r="Z35">
        <v>514.03</v>
      </c>
      <c r="AB35" s="2">
        <v>1</v>
      </c>
      <c r="AC35">
        <v>124.77</v>
      </c>
      <c r="AD35">
        <v>118.42</v>
      </c>
      <c r="AF35" s="2">
        <v>1</v>
      </c>
      <c r="AG35">
        <v>231.35</v>
      </c>
      <c r="AH35">
        <v>215.93</v>
      </c>
      <c r="AJ35" s="2">
        <v>1</v>
      </c>
      <c r="AN35" t="s">
        <v>373</v>
      </c>
      <c r="AO35">
        <v>94.07</v>
      </c>
      <c r="AP35">
        <v>87.05</v>
      </c>
      <c r="AR35" s="2">
        <v>1</v>
      </c>
      <c r="AS35" t="s">
        <v>10</v>
      </c>
      <c r="AT35" t="str">
        <f t="shared" si="0"/>
        <v>Waunakee - 571HC</v>
      </c>
    </row>
    <row r="36" spans="1:46" x14ac:dyDescent="0.25">
      <c r="A36" t="s">
        <v>316</v>
      </c>
      <c r="B36" t="s">
        <v>76</v>
      </c>
      <c r="C36" t="s">
        <v>77</v>
      </c>
      <c r="D36" s="50">
        <v>46023</v>
      </c>
      <c r="E36" s="2">
        <v>0.91900000000000004</v>
      </c>
      <c r="F36" s="2">
        <v>0.90400000000000003</v>
      </c>
      <c r="G36" t="s">
        <v>373</v>
      </c>
      <c r="H36" t="s">
        <v>373</v>
      </c>
      <c r="I36" s="2">
        <v>0</v>
      </c>
      <c r="J36" s="2">
        <v>0</v>
      </c>
      <c r="K36" s="2">
        <v>0</v>
      </c>
      <c r="L36" s="2">
        <v>0</v>
      </c>
      <c r="M36" s="51">
        <v>0</v>
      </c>
      <c r="N36" s="51">
        <v>0</v>
      </c>
      <c r="P36" s="51">
        <v>0</v>
      </c>
      <c r="Q36" s="51">
        <v>164786</v>
      </c>
      <c r="R36" s="51">
        <v>318962</v>
      </c>
      <c r="T36" s="51">
        <v>318962</v>
      </c>
      <c r="U36" s="2">
        <v>0</v>
      </c>
      <c r="V36" s="2">
        <v>0</v>
      </c>
      <c r="W36" t="s">
        <v>373</v>
      </c>
      <c r="X36" t="s">
        <v>373</v>
      </c>
      <c r="Y36">
        <v>442.97</v>
      </c>
      <c r="Z36">
        <v>443.64</v>
      </c>
      <c r="AB36" s="2">
        <v>1</v>
      </c>
      <c r="AC36">
        <v>215.72</v>
      </c>
      <c r="AD36">
        <v>223.33</v>
      </c>
      <c r="AF36" s="2">
        <v>1</v>
      </c>
      <c r="AG36">
        <v>252.01</v>
      </c>
      <c r="AH36">
        <v>263.27</v>
      </c>
      <c r="AJ36" s="2">
        <v>1</v>
      </c>
      <c r="AN36" t="s">
        <v>373</v>
      </c>
      <c r="AO36">
        <v>101.98</v>
      </c>
      <c r="AP36">
        <v>107.31</v>
      </c>
      <c r="AR36" s="2">
        <v>1</v>
      </c>
      <c r="AS36" t="s">
        <v>10</v>
      </c>
      <c r="AT36" t="str">
        <f t="shared" si="0"/>
        <v>Corydon - 2180HC</v>
      </c>
    </row>
    <row r="37" spans="1:46" x14ac:dyDescent="0.25">
      <c r="A37" t="s">
        <v>316</v>
      </c>
      <c r="B37" t="s">
        <v>76</v>
      </c>
      <c r="C37" t="s">
        <v>77</v>
      </c>
      <c r="D37" s="50">
        <v>46054</v>
      </c>
      <c r="E37" s="2">
        <v>0.88800000000000001</v>
      </c>
      <c r="F37" s="2">
        <v>0.90400000000000003</v>
      </c>
      <c r="G37" t="s">
        <v>373</v>
      </c>
      <c r="H37" t="s">
        <v>373</v>
      </c>
      <c r="I37" s="2">
        <v>0</v>
      </c>
      <c r="J37" s="2">
        <v>0</v>
      </c>
      <c r="K37" s="2">
        <v>0</v>
      </c>
      <c r="L37" s="2">
        <v>0</v>
      </c>
      <c r="M37" s="51">
        <v>0</v>
      </c>
      <c r="N37" s="51">
        <v>0</v>
      </c>
      <c r="P37" s="51">
        <v>0</v>
      </c>
      <c r="Q37" s="51">
        <v>154176</v>
      </c>
      <c r="R37" s="51">
        <v>318962</v>
      </c>
      <c r="T37" s="51">
        <v>318962</v>
      </c>
      <c r="U37" s="2">
        <v>0</v>
      </c>
      <c r="V37" s="2">
        <v>0</v>
      </c>
      <c r="W37" t="s">
        <v>373</v>
      </c>
      <c r="X37" t="s">
        <v>373</v>
      </c>
      <c r="Y37">
        <v>444.31</v>
      </c>
      <c r="Z37">
        <v>443.64</v>
      </c>
      <c r="AB37" s="2">
        <v>1</v>
      </c>
      <c r="AC37">
        <v>230.94</v>
      </c>
      <c r="AD37">
        <v>223.33</v>
      </c>
      <c r="AF37" s="2">
        <v>1</v>
      </c>
      <c r="AG37">
        <v>274.52999999999997</v>
      </c>
      <c r="AH37">
        <v>263.27</v>
      </c>
      <c r="AJ37" s="2">
        <v>1</v>
      </c>
      <c r="AN37" t="s">
        <v>373</v>
      </c>
      <c r="AO37">
        <v>112.65</v>
      </c>
      <c r="AP37">
        <v>107.31</v>
      </c>
      <c r="AR37" s="2">
        <v>1</v>
      </c>
      <c r="AS37" t="s">
        <v>10</v>
      </c>
      <c r="AT37" t="str">
        <f t="shared" si="0"/>
        <v>Corydon - 2180HC</v>
      </c>
    </row>
    <row r="38" spans="1:46" x14ac:dyDescent="0.25">
      <c r="A38" t="s">
        <v>316</v>
      </c>
      <c r="B38" t="s">
        <v>76</v>
      </c>
      <c r="C38" t="s">
        <v>167</v>
      </c>
      <c r="D38" s="50">
        <v>46023</v>
      </c>
      <c r="E38" s="2">
        <v>0.89300000000000002</v>
      </c>
      <c r="F38" s="2">
        <v>0.89700000000000002</v>
      </c>
      <c r="G38" t="s">
        <v>373</v>
      </c>
      <c r="H38" t="s">
        <v>373</v>
      </c>
      <c r="I38" s="2">
        <v>0</v>
      </c>
      <c r="J38" s="2">
        <v>0</v>
      </c>
      <c r="K38" s="2">
        <v>0</v>
      </c>
      <c r="L38" s="2">
        <v>0</v>
      </c>
      <c r="M38" s="51">
        <v>0</v>
      </c>
      <c r="N38" s="51">
        <v>0</v>
      </c>
      <c r="P38" s="51">
        <v>0</v>
      </c>
      <c r="Q38" s="51">
        <v>175353</v>
      </c>
      <c r="R38" s="51">
        <v>337524</v>
      </c>
      <c r="T38" s="51">
        <v>337524</v>
      </c>
      <c r="U38" s="2">
        <v>0</v>
      </c>
      <c r="V38" s="2">
        <v>0</v>
      </c>
      <c r="W38" t="s">
        <v>373</v>
      </c>
      <c r="X38" t="s">
        <v>373</v>
      </c>
      <c r="Y38">
        <v>468.86</v>
      </c>
      <c r="Z38">
        <v>467.43</v>
      </c>
      <c r="AB38" s="2">
        <v>1</v>
      </c>
      <c r="AC38">
        <v>85.62</v>
      </c>
      <c r="AD38">
        <v>91.02</v>
      </c>
      <c r="AF38" s="2">
        <v>1</v>
      </c>
      <c r="AJ38" t="s">
        <v>373</v>
      </c>
      <c r="AN38" t="s">
        <v>373</v>
      </c>
      <c r="AR38" t="s">
        <v>373</v>
      </c>
      <c r="AS38" t="s">
        <v>10</v>
      </c>
      <c r="AT38" t="str">
        <f t="shared" si="0"/>
        <v>Louisville FH - 2137HC</v>
      </c>
    </row>
    <row r="39" spans="1:46" x14ac:dyDescent="0.25">
      <c r="A39" t="s">
        <v>316</v>
      </c>
      <c r="B39" t="s">
        <v>76</v>
      </c>
      <c r="C39" t="s">
        <v>167</v>
      </c>
      <c r="D39" s="50">
        <v>46054</v>
      </c>
      <c r="E39" s="2">
        <v>0.90100000000000002</v>
      </c>
      <c r="F39" s="2">
        <v>0.89700000000000002</v>
      </c>
      <c r="G39" t="s">
        <v>373</v>
      </c>
      <c r="H39" t="s">
        <v>373</v>
      </c>
      <c r="I39" s="2">
        <v>0</v>
      </c>
      <c r="J39" s="2">
        <v>0</v>
      </c>
      <c r="K39" s="2">
        <v>0</v>
      </c>
      <c r="L39" s="2">
        <v>0</v>
      </c>
      <c r="M39" s="51">
        <v>0</v>
      </c>
      <c r="N39" s="51">
        <v>0</v>
      </c>
      <c r="P39" s="51">
        <v>0</v>
      </c>
      <c r="Q39" s="51">
        <v>162171</v>
      </c>
      <c r="R39" s="51">
        <v>337524</v>
      </c>
      <c r="T39" s="51">
        <v>337524</v>
      </c>
      <c r="U39" s="2">
        <v>0</v>
      </c>
      <c r="V39" s="2">
        <v>0</v>
      </c>
      <c r="W39" t="s">
        <v>373</v>
      </c>
      <c r="X39" t="s">
        <v>373</v>
      </c>
      <c r="Y39">
        <v>466.01</v>
      </c>
      <c r="Z39">
        <v>467.43</v>
      </c>
      <c r="AB39" s="2">
        <v>1</v>
      </c>
      <c r="AC39">
        <v>96.42</v>
      </c>
      <c r="AD39">
        <v>91.02</v>
      </c>
      <c r="AF39" s="2">
        <v>1</v>
      </c>
      <c r="AJ39" t="s">
        <v>373</v>
      </c>
      <c r="AN39" t="s">
        <v>373</v>
      </c>
      <c r="AR39" t="s">
        <v>373</v>
      </c>
      <c r="AS39" t="s">
        <v>10</v>
      </c>
      <c r="AT39" t="str">
        <f t="shared" si="0"/>
        <v>Louisville FH - 2137HC</v>
      </c>
    </row>
    <row r="40" spans="1:46" x14ac:dyDescent="0.25">
      <c r="A40" t="s">
        <v>316</v>
      </c>
      <c r="B40" t="s">
        <v>76</v>
      </c>
      <c r="C40" t="s">
        <v>168</v>
      </c>
      <c r="D40" s="50">
        <v>46023</v>
      </c>
      <c r="E40" s="2">
        <v>0.94699999999999995</v>
      </c>
      <c r="F40" s="2">
        <v>0.94</v>
      </c>
      <c r="G40" t="s">
        <v>373</v>
      </c>
      <c r="H40" t="s">
        <v>373</v>
      </c>
      <c r="I40" s="2">
        <v>0.25</v>
      </c>
      <c r="J40" s="2">
        <v>0.25</v>
      </c>
      <c r="K40" s="2">
        <v>0</v>
      </c>
      <c r="L40" s="2">
        <v>0.25</v>
      </c>
      <c r="M40" s="51">
        <v>2690</v>
      </c>
      <c r="N40" s="51">
        <v>4650</v>
      </c>
      <c r="P40" s="51">
        <v>4650</v>
      </c>
      <c r="Q40" s="51">
        <v>279249</v>
      </c>
      <c r="R40" s="51">
        <v>497560</v>
      </c>
      <c r="T40" s="51">
        <v>497560</v>
      </c>
      <c r="U40" s="2">
        <v>0.01</v>
      </c>
      <c r="V40" s="2">
        <v>8.9999999999999993E-3</v>
      </c>
      <c r="W40" t="s">
        <v>373</v>
      </c>
      <c r="X40" t="s">
        <v>373</v>
      </c>
      <c r="Y40">
        <v>491.64</v>
      </c>
      <c r="Z40">
        <v>492.22</v>
      </c>
      <c r="AB40" s="2">
        <v>1</v>
      </c>
      <c r="AC40">
        <v>203.31</v>
      </c>
      <c r="AD40">
        <v>215.9</v>
      </c>
      <c r="AF40" s="2">
        <v>1</v>
      </c>
      <c r="AG40">
        <v>257.81</v>
      </c>
      <c r="AH40">
        <v>271.64</v>
      </c>
      <c r="AJ40" s="2">
        <v>1</v>
      </c>
      <c r="AN40" t="s">
        <v>373</v>
      </c>
      <c r="AO40">
        <v>119.34</v>
      </c>
      <c r="AP40">
        <v>125.74</v>
      </c>
      <c r="AR40" s="2">
        <v>1</v>
      </c>
      <c r="AS40" t="s">
        <v>10</v>
      </c>
      <c r="AT40" t="str">
        <f t="shared" si="0"/>
        <v>Louisville FS - 2154HC</v>
      </c>
    </row>
    <row r="41" spans="1:46" x14ac:dyDescent="0.25">
      <c r="A41" t="s">
        <v>316</v>
      </c>
      <c r="B41" t="s">
        <v>76</v>
      </c>
      <c r="C41" t="s">
        <v>168</v>
      </c>
      <c r="D41" s="50">
        <v>46054</v>
      </c>
      <c r="E41" s="2">
        <v>0.93200000000000005</v>
      </c>
      <c r="F41" s="2">
        <v>0.94</v>
      </c>
      <c r="G41" t="s">
        <v>373</v>
      </c>
      <c r="H41" t="s">
        <v>373</v>
      </c>
      <c r="I41" s="2">
        <v>0</v>
      </c>
      <c r="J41" s="2">
        <v>0.25</v>
      </c>
      <c r="K41" s="2">
        <v>0</v>
      </c>
      <c r="L41" s="2">
        <v>0.25</v>
      </c>
      <c r="M41" s="51">
        <v>1960</v>
      </c>
      <c r="N41" s="51">
        <v>4650</v>
      </c>
      <c r="P41" s="51">
        <v>4650</v>
      </c>
      <c r="Q41" s="51">
        <v>218311</v>
      </c>
      <c r="R41" s="51">
        <v>497560</v>
      </c>
      <c r="T41" s="51">
        <v>497560</v>
      </c>
      <c r="U41" s="2">
        <v>8.9999999999999993E-3</v>
      </c>
      <c r="V41" s="2">
        <v>8.9999999999999993E-3</v>
      </c>
      <c r="W41" t="s">
        <v>373</v>
      </c>
      <c r="X41" t="s">
        <v>373</v>
      </c>
      <c r="Y41">
        <v>492.8</v>
      </c>
      <c r="Z41">
        <v>492.22</v>
      </c>
      <c r="AB41" s="2">
        <v>1</v>
      </c>
      <c r="AC41">
        <v>228.49</v>
      </c>
      <c r="AD41">
        <v>215.9</v>
      </c>
      <c r="AF41" s="2">
        <v>1</v>
      </c>
      <c r="AG41">
        <v>285.48</v>
      </c>
      <c r="AH41">
        <v>271.64</v>
      </c>
      <c r="AJ41" s="2">
        <v>1</v>
      </c>
      <c r="AN41" t="s">
        <v>373</v>
      </c>
      <c r="AO41">
        <v>132.13</v>
      </c>
      <c r="AP41">
        <v>125.74</v>
      </c>
      <c r="AR41" s="2">
        <v>1</v>
      </c>
      <c r="AS41" t="s">
        <v>10</v>
      </c>
      <c r="AT41" t="str">
        <f t="shared" si="0"/>
        <v>Louisville FS - 2154HC</v>
      </c>
    </row>
    <row r="42" spans="1:46" x14ac:dyDescent="0.25">
      <c r="A42" t="s">
        <v>316</v>
      </c>
      <c r="B42" t="s">
        <v>76</v>
      </c>
      <c r="C42" t="s">
        <v>169</v>
      </c>
      <c r="D42" s="50">
        <v>46023</v>
      </c>
      <c r="E42" s="2">
        <v>0.97799999999999998</v>
      </c>
      <c r="F42" s="2">
        <v>0.96499999999999997</v>
      </c>
      <c r="G42" t="s">
        <v>373</v>
      </c>
      <c r="H42" t="s">
        <v>373</v>
      </c>
      <c r="I42" s="2">
        <v>0</v>
      </c>
      <c r="J42" s="2">
        <v>0</v>
      </c>
      <c r="K42" s="2">
        <v>0</v>
      </c>
      <c r="L42" s="2">
        <v>0</v>
      </c>
      <c r="M42" s="51">
        <v>0</v>
      </c>
      <c r="N42" s="51">
        <v>0</v>
      </c>
      <c r="P42" s="51">
        <v>0</v>
      </c>
      <c r="Q42" s="51">
        <v>212307</v>
      </c>
      <c r="R42" s="51">
        <v>397551</v>
      </c>
      <c r="T42" s="51">
        <v>397551</v>
      </c>
      <c r="U42" s="2">
        <v>0</v>
      </c>
      <c r="V42" s="2">
        <v>0</v>
      </c>
      <c r="W42" t="s">
        <v>373</v>
      </c>
      <c r="X42" t="s">
        <v>373</v>
      </c>
      <c r="Y42">
        <v>492.59</v>
      </c>
      <c r="Z42">
        <v>488.76</v>
      </c>
      <c r="AB42" s="2">
        <v>1</v>
      </c>
      <c r="AC42">
        <v>188.14</v>
      </c>
      <c r="AD42">
        <v>195.24</v>
      </c>
      <c r="AF42" s="2">
        <v>1</v>
      </c>
      <c r="AJ42" t="s">
        <v>373</v>
      </c>
      <c r="AN42" t="s">
        <v>373</v>
      </c>
      <c r="AR42" t="s">
        <v>373</v>
      </c>
      <c r="AS42" t="s">
        <v>10</v>
      </c>
      <c r="AT42" t="str">
        <f t="shared" si="0"/>
        <v>Louisville GR - 126HC</v>
      </c>
    </row>
    <row r="43" spans="1:46" x14ac:dyDescent="0.25">
      <c r="A43" t="s">
        <v>316</v>
      </c>
      <c r="B43" t="s">
        <v>76</v>
      </c>
      <c r="C43" t="s">
        <v>169</v>
      </c>
      <c r="D43" s="50">
        <v>46054</v>
      </c>
      <c r="E43" s="2">
        <v>0.95099999999999996</v>
      </c>
      <c r="F43" s="2">
        <v>0.96499999999999997</v>
      </c>
      <c r="G43" t="s">
        <v>373</v>
      </c>
      <c r="H43" t="s">
        <v>373</v>
      </c>
      <c r="I43" s="2">
        <v>0</v>
      </c>
      <c r="J43" s="2">
        <v>0</v>
      </c>
      <c r="K43" s="2">
        <v>0</v>
      </c>
      <c r="L43" s="2">
        <v>0</v>
      </c>
      <c r="M43" s="51">
        <v>0</v>
      </c>
      <c r="N43" s="51">
        <v>0</v>
      </c>
      <c r="P43" s="51">
        <v>0</v>
      </c>
      <c r="Q43" s="51">
        <v>185244</v>
      </c>
      <c r="R43" s="51">
        <v>397551</v>
      </c>
      <c r="T43" s="51">
        <v>397551</v>
      </c>
      <c r="U43" s="2">
        <v>0</v>
      </c>
      <c r="V43" s="2">
        <v>0</v>
      </c>
      <c r="W43" t="s">
        <v>373</v>
      </c>
      <c r="X43" t="s">
        <v>373</v>
      </c>
      <c r="Y43">
        <v>484.93</v>
      </c>
      <c r="Z43">
        <v>488.76</v>
      </c>
      <c r="AB43" s="2">
        <v>1</v>
      </c>
      <c r="AC43">
        <v>202.35</v>
      </c>
      <c r="AD43">
        <v>195.24</v>
      </c>
      <c r="AF43" s="2">
        <v>1</v>
      </c>
      <c r="AJ43" t="s">
        <v>373</v>
      </c>
      <c r="AN43" t="s">
        <v>373</v>
      </c>
      <c r="AR43" t="s">
        <v>373</v>
      </c>
      <c r="AS43" t="s">
        <v>10</v>
      </c>
      <c r="AT43" t="str">
        <f t="shared" si="0"/>
        <v>Louisville GR - 126HC</v>
      </c>
    </row>
    <row r="44" spans="1:46" x14ac:dyDescent="0.25">
      <c r="A44" t="s">
        <v>316</v>
      </c>
      <c r="B44" t="s">
        <v>76</v>
      </c>
      <c r="C44" t="s">
        <v>171</v>
      </c>
      <c r="D44" s="50">
        <v>46023</v>
      </c>
      <c r="E44" s="2">
        <v>0.94499999999999995</v>
      </c>
      <c r="F44" s="2">
        <v>0.94</v>
      </c>
      <c r="G44" t="s">
        <v>373</v>
      </c>
      <c r="H44" t="s">
        <v>373</v>
      </c>
      <c r="I44" s="2">
        <v>0</v>
      </c>
      <c r="J44" s="2">
        <v>0</v>
      </c>
      <c r="K44" s="2">
        <v>0</v>
      </c>
      <c r="L44" s="2">
        <v>0</v>
      </c>
      <c r="M44" s="51">
        <v>0</v>
      </c>
      <c r="N44" s="51">
        <v>0</v>
      </c>
      <c r="P44" s="51">
        <v>0</v>
      </c>
      <c r="Q44" s="51">
        <v>217678</v>
      </c>
      <c r="R44" s="51">
        <v>442472</v>
      </c>
      <c r="T44" s="51">
        <v>442472</v>
      </c>
      <c r="U44" s="2">
        <v>0</v>
      </c>
      <c r="V44" s="2">
        <v>0</v>
      </c>
      <c r="W44" t="s">
        <v>373</v>
      </c>
      <c r="X44" t="s">
        <v>373</v>
      </c>
      <c r="Y44">
        <v>438.87</v>
      </c>
      <c r="Z44">
        <v>431.5</v>
      </c>
      <c r="AB44" s="2">
        <v>1</v>
      </c>
      <c r="AF44" t="s">
        <v>373</v>
      </c>
      <c r="AJ44" t="s">
        <v>373</v>
      </c>
      <c r="AN44" t="s">
        <v>373</v>
      </c>
      <c r="AR44" t="s">
        <v>373</v>
      </c>
      <c r="AS44" t="s">
        <v>10</v>
      </c>
      <c r="AT44" t="str">
        <f t="shared" si="0"/>
        <v>Louisville PT - 127HC</v>
      </c>
    </row>
    <row r="45" spans="1:46" x14ac:dyDescent="0.25">
      <c r="A45" t="s">
        <v>316</v>
      </c>
      <c r="B45" t="s">
        <v>76</v>
      </c>
      <c r="C45" t="s">
        <v>171</v>
      </c>
      <c r="D45" s="50">
        <v>46054</v>
      </c>
      <c r="E45" s="2">
        <v>0.93500000000000005</v>
      </c>
      <c r="F45" s="2">
        <v>0.94</v>
      </c>
      <c r="G45" t="s">
        <v>373</v>
      </c>
      <c r="H45" t="s">
        <v>373</v>
      </c>
      <c r="I45" s="2">
        <v>0</v>
      </c>
      <c r="J45" s="2">
        <v>0</v>
      </c>
      <c r="K45" s="2">
        <v>0</v>
      </c>
      <c r="L45" s="2">
        <v>0</v>
      </c>
      <c r="M45" s="51">
        <v>0</v>
      </c>
      <c r="N45" s="51">
        <v>0</v>
      </c>
      <c r="P45" s="51">
        <v>0</v>
      </c>
      <c r="Q45" s="51">
        <v>224794</v>
      </c>
      <c r="R45" s="51">
        <v>442472</v>
      </c>
      <c r="T45" s="51">
        <v>442472</v>
      </c>
      <c r="U45" s="2">
        <v>0</v>
      </c>
      <c r="V45" s="2">
        <v>0</v>
      </c>
      <c r="W45" t="s">
        <v>373</v>
      </c>
      <c r="X45" t="s">
        <v>373</v>
      </c>
      <c r="Y45">
        <v>424.14</v>
      </c>
      <c r="Z45">
        <v>431.5</v>
      </c>
      <c r="AB45" s="2">
        <v>1</v>
      </c>
      <c r="AF45" t="s">
        <v>373</v>
      </c>
      <c r="AJ45" t="s">
        <v>373</v>
      </c>
      <c r="AN45" t="s">
        <v>373</v>
      </c>
      <c r="AR45" t="s">
        <v>373</v>
      </c>
      <c r="AS45" t="s">
        <v>10</v>
      </c>
      <c r="AT45" t="str">
        <f t="shared" si="0"/>
        <v>Louisville PT - 127HC</v>
      </c>
    </row>
    <row r="46" spans="1:46" x14ac:dyDescent="0.25">
      <c r="A46" t="s">
        <v>316</v>
      </c>
      <c r="B46" t="s">
        <v>76</v>
      </c>
      <c r="C46" t="s">
        <v>172</v>
      </c>
      <c r="D46" s="50">
        <v>46023</v>
      </c>
      <c r="E46" s="2">
        <v>0.97799999999999998</v>
      </c>
      <c r="F46" s="2">
        <v>0.98</v>
      </c>
      <c r="G46" t="s">
        <v>373</v>
      </c>
      <c r="H46" t="s">
        <v>373</v>
      </c>
      <c r="I46" s="2">
        <v>0</v>
      </c>
      <c r="J46" s="2">
        <v>0</v>
      </c>
      <c r="K46" s="2">
        <v>0</v>
      </c>
      <c r="L46" s="2">
        <v>0</v>
      </c>
      <c r="M46" s="51">
        <v>0</v>
      </c>
      <c r="N46" s="51">
        <v>0</v>
      </c>
      <c r="P46" s="51">
        <v>0</v>
      </c>
      <c r="Q46" s="51">
        <v>270053</v>
      </c>
      <c r="R46" s="51">
        <v>526197</v>
      </c>
      <c r="T46" s="51">
        <v>526197</v>
      </c>
      <c r="U46" s="2">
        <v>0</v>
      </c>
      <c r="V46" s="2">
        <v>0</v>
      </c>
      <c r="W46" t="s">
        <v>373</v>
      </c>
      <c r="X46" t="s">
        <v>373</v>
      </c>
      <c r="Y46">
        <v>475.45</v>
      </c>
      <c r="Z46">
        <v>472.72</v>
      </c>
      <c r="AB46" s="2">
        <v>1</v>
      </c>
      <c r="AC46">
        <v>205.84</v>
      </c>
      <c r="AD46">
        <v>213.33</v>
      </c>
      <c r="AF46" s="2">
        <v>1</v>
      </c>
      <c r="AJ46" t="s">
        <v>373</v>
      </c>
      <c r="AK46">
        <v>119.9</v>
      </c>
      <c r="AL46">
        <v>127.37</v>
      </c>
      <c r="AN46" s="2">
        <v>1</v>
      </c>
      <c r="AR46" t="s">
        <v>373</v>
      </c>
      <c r="AS46" t="s">
        <v>10</v>
      </c>
      <c r="AT46" t="str">
        <f t="shared" si="0"/>
        <v>Louisville SB - 175HC</v>
      </c>
    </row>
    <row r="47" spans="1:46" x14ac:dyDescent="0.25">
      <c r="A47" t="s">
        <v>316</v>
      </c>
      <c r="B47" t="s">
        <v>76</v>
      </c>
      <c r="C47" t="s">
        <v>172</v>
      </c>
      <c r="D47" s="50">
        <v>46054</v>
      </c>
      <c r="E47" s="2">
        <v>0.98399999999999999</v>
      </c>
      <c r="F47" s="2">
        <v>0.98</v>
      </c>
      <c r="G47" t="s">
        <v>373</v>
      </c>
      <c r="H47" t="s">
        <v>373</v>
      </c>
      <c r="I47" s="2">
        <v>0</v>
      </c>
      <c r="J47" s="2">
        <v>0</v>
      </c>
      <c r="K47" s="2">
        <v>0</v>
      </c>
      <c r="L47" s="2">
        <v>0</v>
      </c>
      <c r="M47" s="51">
        <v>0</v>
      </c>
      <c r="N47" s="51">
        <v>0</v>
      </c>
      <c r="P47" s="51">
        <v>0</v>
      </c>
      <c r="Q47" s="51">
        <v>256144</v>
      </c>
      <c r="R47" s="51">
        <v>526197</v>
      </c>
      <c r="T47" s="51">
        <v>526197</v>
      </c>
      <c r="U47" s="2">
        <v>0</v>
      </c>
      <c r="V47" s="2">
        <v>0</v>
      </c>
      <c r="W47" t="s">
        <v>373</v>
      </c>
      <c r="X47" t="s">
        <v>373</v>
      </c>
      <c r="Y47">
        <v>469.99</v>
      </c>
      <c r="Z47">
        <v>472.72</v>
      </c>
      <c r="AB47" s="2">
        <v>1</v>
      </c>
      <c r="AC47">
        <v>220.82</v>
      </c>
      <c r="AD47">
        <v>213.33</v>
      </c>
      <c r="AF47" s="2">
        <v>1</v>
      </c>
      <c r="AJ47" t="s">
        <v>373</v>
      </c>
      <c r="AK47">
        <v>134.84</v>
      </c>
      <c r="AL47">
        <v>127.37</v>
      </c>
      <c r="AN47" s="2">
        <v>1</v>
      </c>
      <c r="AR47" t="s">
        <v>373</v>
      </c>
      <c r="AS47" t="s">
        <v>10</v>
      </c>
      <c r="AT47" t="str">
        <f t="shared" si="0"/>
        <v>Louisville SB - 175HC</v>
      </c>
    </row>
    <row r="48" spans="1:46" x14ac:dyDescent="0.25">
      <c r="A48" t="s">
        <v>316</v>
      </c>
      <c r="B48" t="s">
        <v>76</v>
      </c>
      <c r="C48" t="s">
        <v>175</v>
      </c>
      <c r="D48" s="50">
        <v>46023</v>
      </c>
      <c r="E48" s="2">
        <v>0.89</v>
      </c>
      <c r="F48" s="2">
        <v>0.89900000000000002</v>
      </c>
      <c r="G48" t="s">
        <v>373</v>
      </c>
      <c r="H48" t="s">
        <v>373</v>
      </c>
      <c r="I48" s="2">
        <v>0</v>
      </c>
      <c r="J48" s="2">
        <v>0</v>
      </c>
      <c r="K48" s="2">
        <v>0</v>
      </c>
      <c r="L48" s="2">
        <v>0</v>
      </c>
      <c r="M48" s="51">
        <v>0</v>
      </c>
      <c r="N48" s="51">
        <v>0</v>
      </c>
      <c r="P48" s="51">
        <v>0</v>
      </c>
      <c r="Q48" s="51">
        <v>204708</v>
      </c>
      <c r="R48" s="51">
        <v>374291</v>
      </c>
      <c r="T48" s="51">
        <v>374291</v>
      </c>
      <c r="U48" s="2">
        <v>0</v>
      </c>
      <c r="V48" s="2">
        <v>0</v>
      </c>
      <c r="W48" t="s">
        <v>373</v>
      </c>
      <c r="X48" t="s">
        <v>373</v>
      </c>
      <c r="Y48">
        <v>507.96</v>
      </c>
      <c r="Z48">
        <v>511.71</v>
      </c>
      <c r="AB48" s="2">
        <v>1</v>
      </c>
      <c r="AC48">
        <v>216.22</v>
      </c>
      <c r="AD48">
        <v>226.3</v>
      </c>
      <c r="AF48" s="2">
        <v>1</v>
      </c>
      <c r="AJ48" t="s">
        <v>373</v>
      </c>
      <c r="AN48" t="s">
        <v>373</v>
      </c>
      <c r="AR48" t="s">
        <v>373</v>
      </c>
      <c r="AS48" t="s">
        <v>10</v>
      </c>
      <c r="AT48" t="str">
        <f t="shared" si="0"/>
        <v>Louisville WP - 145HC</v>
      </c>
    </row>
    <row r="49" spans="1:46" x14ac:dyDescent="0.25">
      <c r="A49" t="s">
        <v>316</v>
      </c>
      <c r="B49" t="s">
        <v>76</v>
      </c>
      <c r="C49" t="s">
        <v>175</v>
      </c>
      <c r="D49" s="50">
        <v>46054</v>
      </c>
      <c r="E49" s="2">
        <v>0.90900000000000003</v>
      </c>
      <c r="F49" s="2">
        <v>0.89900000000000002</v>
      </c>
      <c r="G49" t="s">
        <v>373</v>
      </c>
      <c r="H49" t="s">
        <v>373</v>
      </c>
      <c r="I49" s="2">
        <v>0</v>
      </c>
      <c r="J49" s="2">
        <v>0</v>
      </c>
      <c r="K49" s="2">
        <v>0</v>
      </c>
      <c r="L49" s="2">
        <v>0</v>
      </c>
      <c r="M49" s="51">
        <v>0</v>
      </c>
      <c r="N49" s="51">
        <v>0</v>
      </c>
      <c r="P49" s="51">
        <v>0</v>
      </c>
      <c r="Q49" s="51">
        <v>169583</v>
      </c>
      <c r="R49" s="51">
        <v>374291</v>
      </c>
      <c r="T49" s="51">
        <v>374291</v>
      </c>
      <c r="U49" s="2">
        <v>0</v>
      </c>
      <c r="V49" s="2">
        <v>0</v>
      </c>
      <c r="W49" t="s">
        <v>373</v>
      </c>
      <c r="X49" t="s">
        <v>373</v>
      </c>
      <c r="Y49">
        <v>515.45000000000005</v>
      </c>
      <c r="Z49">
        <v>511.71</v>
      </c>
      <c r="AB49" s="2">
        <v>1</v>
      </c>
      <c r="AC49">
        <v>236.37</v>
      </c>
      <c r="AD49">
        <v>226.3</v>
      </c>
      <c r="AF49" s="2">
        <v>1</v>
      </c>
      <c r="AJ49" t="s">
        <v>373</v>
      </c>
      <c r="AN49" t="s">
        <v>373</v>
      </c>
      <c r="AR49" t="s">
        <v>373</v>
      </c>
      <c r="AS49" t="s">
        <v>10</v>
      </c>
      <c r="AT49" t="str">
        <f t="shared" si="0"/>
        <v>Louisville WP - 145HC</v>
      </c>
    </row>
    <row r="50" spans="1:46" x14ac:dyDescent="0.25">
      <c r="A50" t="s">
        <v>316</v>
      </c>
      <c r="B50" t="s">
        <v>76</v>
      </c>
      <c r="C50" t="s">
        <v>176</v>
      </c>
      <c r="D50" s="50">
        <v>46023</v>
      </c>
      <c r="E50" s="2">
        <v>0.96</v>
      </c>
      <c r="F50" s="2">
        <v>0.95199999999999996</v>
      </c>
      <c r="G50" t="s">
        <v>373</v>
      </c>
      <c r="H50" t="s">
        <v>373</v>
      </c>
      <c r="I50" s="2">
        <v>0</v>
      </c>
      <c r="J50" s="2">
        <v>0</v>
      </c>
      <c r="K50" s="2">
        <v>0</v>
      </c>
      <c r="L50" s="2">
        <v>0</v>
      </c>
      <c r="M50" s="51">
        <v>620</v>
      </c>
      <c r="N50" s="51">
        <v>1180</v>
      </c>
      <c r="P50" s="51">
        <v>1180</v>
      </c>
      <c r="Q50" s="51">
        <v>69236</v>
      </c>
      <c r="R50" s="51">
        <v>127445</v>
      </c>
      <c r="T50" s="51">
        <v>127445</v>
      </c>
      <c r="U50" s="2">
        <v>8.9999999999999993E-3</v>
      </c>
      <c r="V50" s="2">
        <v>8.9999999999999993E-3</v>
      </c>
      <c r="W50" t="s">
        <v>373</v>
      </c>
      <c r="X50" t="s">
        <v>373</v>
      </c>
      <c r="Y50">
        <v>562.89</v>
      </c>
      <c r="Z50">
        <v>543.65</v>
      </c>
      <c r="AB50" s="2">
        <v>1</v>
      </c>
      <c r="AC50">
        <v>174.57</v>
      </c>
      <c r="AD50">
        <v>182.99</v>
      </c>
      <c r="AF50" s="2">
        <v>1</v>
      </c>
      <c r="AG50">
        <v>247.03</v>
      </c>
      <c r="AH50">
        <v>261.02</v>
      </c>
      <c r="AJ50" s="2">
        <v>1</v>
      </c>
      <c r="AK50">
        <v>102.94</v>
      </c>
      <c r="AL50">
        <v>102.97</v>
      </c>
      <c r="AN50" s="2">
        <v>1</v>
      </c>
      <c r="AO50">
        <v>75.069999999999993</v>
      </c>
      <c r="AP50">
        <v>79.67</v>
      </c>
      <c r="AR50" s="2">
        <v>1</v>
      </c>
      <c r="AS50" t="s">
        <v>10</v>
      </c>
      <c r="AT50" t="str">
        <f t="shared" si="0"/>
        <v>Louisville WS - 190HC</v>
      </c>
    </row>
    <row r="51" spans="1:46" x14ac:dyDescent="0.25">
      <c r="A51" t="s">
        <v>316</v>
      </c>
      <c r="B51" t="s">
        <v>76</v>
      </c>
      <c r="C51" t="s">
        <v>176</v>
      </c>
      <c r="D51" s="50">
        <v>46054</v>
      </c>
      <c r="E51" s="2">
        <v>0.94199999999999995</v>
      </c>
      <c r="F51" s="2">
        <v>0.95199999999999996</v>
      </c>
      <c r="G51" t="s">
        <v>373</v>
      </c>
      <c r="H51" t="s">
        <v>373</v>
      </c>
      <c r="I51" s="2">
        <v>0</v>
      </c>
      <c r="J51" s="2">
        <v>0</v>
      </c>
      <c r="K51" s="2">
        <v>0</v>
      </c>
      <c r="L51" s="2">
        <v>0</v>
      </c>
      <c r="M51" s="51">
        <v>560</v>
      </c>
      <c r="N51" s="51">
        <v>1180</v>
      </c>
      <c r="P51" s="51">
        <v>1180</v>
      </c>
      <c r="Q51" s="51">
        <v>58209</v>
      </c>
      <c r="R51" s="51">
        <v>127445</v>
      </c>
      <c r="T51" s="51">
        <v>127445</v>
      </c>
      <c r="U51" s="2">
        <v>0.01</v>
      </c>
      <c r="V51" s="2">
        <v>8.9999999999999993E-3</v>
      </c>
      <c r="W51" t="s">
        <v>373</v>
      </c>
      <c r="X51" t="s">
        <v>373</v>
      </c>
      <c r="Y51">
        <v>524.41</v>
      </c>
      <c r="Z51">
        <v>543.65</v>
      </c>
      <c r="AB51" s="2">
        <v>1</v>
      </c>
      <c r="AC51">
        <v>191.41</v>
      </c>
      <c r="AD51">
        <v>182.99</v>
      </c>
      <c r="AF51" s="2">
        <v>1</v>
      </c>
      <c r="AG51">
        <v>275.02</v>
      </c>
      <c r="AH51">
        <v>261.02</v>
      </c>
      <c r="AJ51" s="2">
        <v>1</v>
      </c>
      <c r="AK51">
        <v>102.99</v>
      </c>
      <c r="AL51">
        <v>102.97</v>
      </c>
      <c r="AN51" s="2">
        <v>1</v>
      </c>
      <c r="AO51">
        <v>84.28</v>
      </c>
      <c r="AP51">
        <v>79.67</v>
      </c>
      <c r="AR51" s="2">
        <v>1</v>
      </c>
      <c r="AS51" t="s">
        <v>10</v>
      </c>
      <c r="AT51" t="str">
        <f t="shared" si="0"/>
        <v>Louisville WS - 190HC</v>
      </c>
    </row>
    <row r="52" spans="1:46" x14ac:dyDescent="0.25">
      <c r="A52" t="s">
        <v>316</v>
      </c>
      <c r="B52" t="s">
        <v>76</v>
      </c>
      <c r="C52" t="s">
        <v>194</v>
      </c>
      <c r="D52" s="50">
        <v>46023</v>
      </c>
      <c r="E52" s="2">
        <v>0.85199999999999998</v>
      </c>
      <c r="F52" s="2">
        <v>0.86599999999999999</v>
      </c>
      <c r="G52" t="s">
        <v>373</v>
      </c>
      <c r="H52" t="s">
        <v>373</v>
      </c>
      <c r="I52" s="2">
        <v>0</v>
      </c>
      <c r="J52" s="2">
        <v>0</v>
      </c>
      <c r="K52" s="2">
        <v>0</v>
      </c>
      <c r="L52" s="2">
        <v>0</v>
      </c>
      <c r="M52" s="51">
        <v>0</v>
      </c>
      <c r="N52" s="51">
        <v>0</v>
      </c>
      <c r="P52" s="51">
        <v>0</v>
      </c>
      <c r="Q52" s="51">
        <v>391768</v>
      </c>
      <c r="R52" s="51">
        <v>679726</v>
      </c>
      <c r="T52" s="51">
        <v>679726</v>
      </c>
      <c r="U52" s="2">
        <v>0</v>
      </c>
      <c r="V52" s="2">
        <v>0</v>
      </c>
      <c r="W52" t="s">
        <v>373</v>
      </c>
      <c r="X52" t="s">
        <v>373</v>
      </c>
      <c r="Y52">
        <v>497.17</v>
      </c>
      <c r="Z52">
        <v>488.95</v>
      </c>
      <c r="AB52" s="2">
        <v>1</v>
      </c>
      <c r="AF52" t="s">
        <v>373</v>
      </c>
      <c r="AJ52" t="s">
        <v>373</v>
      </c>
      <c r="AN52" t="s">
        <v>373</v>
      </c>
      <c r="AR52" t="s">
        <v>373</v>
      </c>
      <c r="AS52" t="s">
        <v>10</v>
      </c>
      <c r="AT52" t="str">
        <f t="shared" si="0"/>
        <v>New Albany AW - 105HC</v>
      </c>
    </row>
    <row r="53" spans="1:46" x14ac:dyDescent="0.25">
      <c r="A53" t="s">
        <v>316</v>
      </c>
      <c r="B53" t="s">
        <v>76</v>
      </c>
      <c r="C53" t="s">
        <v>194</v>
      </c>
      <c r="D53" s="50">
        <v>46054</v>
      </c>
      <c r="E53" s="2">
        <v>0.88100000000000001</v>
      </c>
      <c r="F53" s="2">
        <v>0.86599999999999999</v>
      </c>
      <c r="G53" t="s">
        <v>373</v>
      </c>
      <c r="H53" t="s">
        <v>373</v>
      </c>
      <c r="I53" s="2">
        <v>0</v>
      </c>
      <c r="J53" s="2">
        <v>0</v>
      </c>
      <c r="K53" s="2">
        <v>0</v>
      </c>
      <c r="L53" s="2">
        <v>0</v>
      </c>
      <c r="M53" s="51">
        <v>0</v>
      </c>
      <c r="N53" s="51">
        <v>0</v>
      </c>
      <c r="P53" s="51">
        <v>0</v>
      </c>
      <c r="Q53" s="51">
        <v>287958</v>
      </c>
      <c r="R53" s="51">
        <v>679726</v>
      </c>
      <c r="T53" s="51">
        <v>679726</v>
      </c>
      <c r="U53" s="2">
        <v>0</v>
      </c>
      <c r="V53" s="2">
        <v>0</v>
      </c>
      <c r="W53" t="s">
        <v>373</v>
      </c>
      <c r="X53" t="s">
        <v>373</v>
      </c>
      <c r="Y53">
        <v>480.73</v>
      </c>
      <c r="Z53">
        <v>488.95</v>
      </c>
      <c r="AB53" s="2">
        <v>1</v>
      </c>
      <c r="AF53" t="s">
        <v>373</v>
      </c>
      <c r="AJ53" t="s">
        <v>373</v>
      </c>
      <c r="AN53" t="s">
        <v>373</v>
      </c>
      <c r="AR53" t="s">
        <v>373</v>
      </c>
      <c r="AS53" t="s">
        <v>10</v>
      </c>
      <c r="AT53" t="str">
        <f t="shared" si="0"/>
        <v>New Albany AW - 105HC</v>
      </c>
    </row>
    <row r="54" spans="1:46" x14ac:dyDescent="0.25">
      <c r="A54" t="s">
        <v>316</v>
      </c>
      <c r="B54" t="s">
        <v>76</v>
      </c>
      <c r="C54" t="s">
        <v>197</v>
      </c>
      <c r="D54" s="50">
        <v>46023</v>
      </c>
      <c r="E54" s="2">
        <v>0.89100000000000001</v>
      </c>
      <c r="F54" s="2">
        <v>0.878</v>
      </c>
      <c r="G54" t="s">
        <v>373</v>
      </c>
      <c r="H54" t="s">
        <v>373</v>
      </c>
      <c r="I54" s="2">
        <v>0</v>
      </c>
      <c r="J54" s="2">
        <v>0</v>
      </c>
      <c r="K54" s="2">
        <v>0</v>
      </c>
      <c r="L54" s="2">
        <v>0</v>
      </c>
      <c r="M54" s="51">
        <v>0</v>
      </c>
      <c r="N54" s="51">
        <v>0</v>
      </c>
      <c r="P54" s="51">
        <v>0</v>
      </c>
      <c r="Q54" s="51">
        <v>188258</v>
      </c>
      <c r="R54" s="51">
        <v>325954</v>
      </c>
      <c r="T54" s="51">
        <v>325954</v>
      </c>
      <c r="U54" s="2">
        <v>0</v>
      </c>
      <c r="V54" s="2">
        <v>0</v>
      </c>
      <c r="W54" t="s">
        <v>373</v>
      </c>
      <c r="X54" t="s">
        <v>373</v>
      </c>
      <c r="Y54">
        <v>456.94</v>
      </c>
      <c r="Z54">
        <v>460.28</v>
      </c>
      <c r="AB54" s="2">
        <v>1</v>
      </c>
      <c r="AC54">
        <v>203.62</v>
      </c>
      <c r="AD54">
        <v>214.3</v>
      </c>
      <c r="AF54" s="2">
        <v>1</v>
      </c>
      <c r="AJ54" t="s">
        <v>373</v>
      </c>
      <c r="AN54" t="s">
        <v>373</v>
      </c>
      <c r="AO54">
        <v>104.94</v>
      </c>
      <c r="AP54">
        <v>110.14</v>
      </c>
      <c r="AR54" s="2">
        <v>1</v>
      </c>
      <c r="AS54" t="s">
        <v>10</v>
      </c>
      <c r="AT54" t="str">
        <f t="shared" si="0"/>
        <v>New Albany SC - 5151HC</v>
      </c>
    </row>
    <row r="55" spans="1:46" x14ac:dyDescent="0.25">
      <c r="A55" t="s">
        <v>316</v>
      </c>
      <c r="B55" t="s">
        <v>76</v>
      </c>
      <c r="C55" t="s">
        <v>197</v>
      </c>
      <c r="D55" s="50">
        <v>46054</v>
      </c>
      <c r="E55" s="2">
        <v>0.86399999999999999</v>
      </c>
      <c r="F55" s="2">
        <v>0.878</v>
      </c>
      <c r="G55" t="s">
        <v>373</v>
      </c>
      <c r="H55" t="s">
        <v>373</v>
      </c>
      <c r="I55" s="2">
        <v>0</v>
      </c>
      <c r="J55" s="2">
        <v>0</v>
      </c>
      <c r="K55" s="2">
        <v>0</v>
      </c>
      <c r="L55" s="2">
        <v>0</v>
      </c>
      <c r="M55" s="51">
        <v>0</v>
      </c>
      <c r="N55" s="51">
        <v>0</v>
      </c>
      <c r="P55" s="51">
        <v>0</v>
      </c>
      <c r="Q55" s="51">
        <v>137696</v>
      </c>
      <c r="R55" s="51">
        <v>325954</v>
      </c>
      <c r="T55" s="51">
        <v>325954</v>
      </c>
      <c r="U55" s="2">
        <v>0</v>
      </c>
      <c r="V55" s="2">
        <v>0</v>
      </c>
      <c r="W55" t="s">
        <v>373</v>
      </c>
      <c r="X55" t="s">
        <v>373</v>
      </c>
      <c r="Y55">
        <v>463.62</v>
      </c>
      <c r="Z55">
        <v>460.28</v>
      </c>
      <c r="AB55" s="2">
        <v>1</v>
      </c>
      <c r="AC55">
        <v>224.98</v>
      </c>
      <c r="AD55">
        <v>214.3</v>
      </c>
      <c r="AF55" s="2">
        <v>1</v>
      </c>
      <c r="AJ55" t="s">
        <v>373</v>
      </c>
      <c r="AN55" t="s">
        <v>373</v>
      </c>
      <c r="AO55">
        <v>115.33</v>
      </c>
      <c r="AP55">
        <v>110.14</v>
      </c>
      <c r="AR55" s="2">
        <v>1</v>
      </c>
      <c r="AS55" t="s">
        <v>10</v>
      </c>
      <c r="AT55" t="str">
        <f t="shared" si="0"/>
        <v>New Albany SC - 5151HC</v>
      </c>
    </row>
    <row r="56" spans="1:46" x14ac:dyDescent="0.25">
      <c r="A56" t="s">
        <v>316</v>
      </c>
      <c r="B56" t="s">
        <v>72</v>
      </c>
      <c r="C56" t="s">
        <v>73</v>
      </c>
      <c r="D56" s="50">
        <v>46023</v>
      </c>
      <c r="E56" s="2">
        <v>0.95299999999999996</v>
      </c>
      <c r="F56" s="2">
        <v>0.94599999999999995</v>
      </c>
      <c r="G56" t="s">
        <v>373</v>
      </c>
      <c r="H56" t="s">
        <v>373</v>
      </c>
      <c r="I56" s="2">
        <v>0</v>
      </c>
      <c r="J56" s="2">
        <v>0</v>
      </c>
      <c r="K56" s="2">
        <v>0</v>
      </c>
      <c r="L56" s="2">
        <v>0</v>
      </c>
      <c r="M56" s="51">
        <v>0</v>
      </c>
      <c r="N56" s="51">
        <v>0</v>
      </c>
      <c r="P56" s="51">
        <v>0</v>
      </c>
      <c r="Q56" s="51">
        <v>102710</v>
      </c>
      <c r="R56" s="51">
        <v>217750</v>
      </c>
      <c r="T56" s="51">
        <v>217750</v>
      </c>
      <c r="U56" s="2">
        <v>0</v>
      </c>
      <c r="V56" s="2">
        <v>0</v>
      </c>
      <c r="W56" t="s">
        <v>373</v>
      </c>
      <c r="X56" t="s">
        <v>373</v>
      </c>
      <c r="Y56">
        <v>524.03</v>
      </c>
      <c r="Z56">
        <v>523.47</v>
      </c>
      <c r="AB56" s="2">
        <v>1</v>
      </c>
      <c r="AC56">
        <v>248.21</v>
      </c>
      <c r="AD56">
        <v>257.83</v>
      </c>
      <c r="AF56" s="2">
        <v>1</v>
      </c>
      <c r="AG56">
        <v>249.68</v>
      </c>
      <c r="AH56">
        <v>263.52</v>
      </c>
      <c r="AJ56" s="2">
        <v>1</v>
      </c>
      <c r="AN56" t="s">
        <v>373</v>
      </c>
      <c r="AO56">
        <v>131.21</v>
      </c>
      <c r="AP56">
        <v>138.9</v>
      </c>
      <c r="AR56" s="2">
        <v>1</v>
      </c>
      <c r="AS56" t="s">
        <v>10</v>
      </c>
      <c r="AT56" t="str">
        <f t="shared" si="0"/>
        <v>Commerce - 503HC</v>
      </c>
    </row>
    <row r="57" spans="1:46" x14ac:dyDescent="0.25">
      <c r="A57" t="s">
        <v>316</v>
      </c>
      <c r="B57" t="s">
        <v>72</v>
      </c>
      <c r="C57" t="s">
        <v>73</v>
      </c>
      <c r="D57" s="50">
        <v>46054</v>
      </c>
      <c r="E57" s="2">
        <v>0.93899999999999995</v>
      </c>
      <c r="F57" s="2">
        <v>0.94599999999999995</v>
      </c>
      <c r="G57" t="s">
        <v>373</v>
      </c>
      <c r="H57" t="s">
        <v>373</v>
      </c>
      <c r="I57" s="2">
        <v>0</v>
      </c>
      <c r="J57" s="2">
        <v>0</v>
      </c>
      <c r="K57" s="2">
        <v>0</v>
      </c>
      <c r="L57" s="2">
        <v>0</v>
      </c>
      <c r="M57" s="51">
        <v>0</v>
      </c>
      <c r="N57" s="51">
        <v>0</v>
      </c>
      <c r="P57" s="51">
        <v>0</v>
      </c>
      <c r="Q57" s="51">
        <v>115040</v>
      </c>
      <c r="R57" s="51">
        <v>217750</v>
      </c>
      <c r="T57" s="51">
        <v>217750</v>
      </c>
      <c r="U57" s="2">
        <v>0</v>
      </c>
      <c r="V57" s="2">
        <v>0</v>
      </c>
      <c r="W57" t="s">
        <v>373</v>
      </c>
      <c r="X57" t="s">
        <v>373</v>
      </c>
      <c r="Y57">
        <v>522.91</v>
      </c>
      <c r="Z57">
        <v>523.47</v>
      </c>
      <c r="AB57" s="2">
        <v>1</v>
      </c>
      <c r="AC57">
        <v>267.45</v>
      </c>
      <c r="AD57">
        <v>257.83</v>
      </c>
      <c r="AF57" s="2">
        <v>1</v>
      </c>
      <c r="AG57">
        <v>277.36</v>
      </c>
      <c r="AH57">
        <v>263.52</v>
      </c>
      <c r="AJ57" s="2">
        <v>1</v>
      </c>
      <c r="AN57" t="s">
        <v>373</v>
      </c>
      <c r="AO57">
        <v>146.59</v>
      </c>
      <c r="AP57">
        <v>138.9</v>
      </c>
      <c r="AR57" s="2">
        <v>1</v>
      </c>
      <c r="AS57" t="s">
        <v>10</v>
      </c>
      <c r="AT57" t="str">
        <f t="shared" si="0"/>
        <v>Commerce - 503HC</v>
      </c>
    </row>
    <row r="58" spans="1:46" x14ac:dyDescent="0.25">
      <c r="A58" t="s">
        <v>316</v>
      </c>
      <c r="B58" t="s">
        <v>72</v>
      </c>
      <c r="C58" t="s">
        <v>91</v>
      </c>
      <c r="D58" s="50">
        <v>46023</v>
      </c>
      <c r="E58" s="2">
        <v>0.96799999999999997</v>
      </c>
      <c r="F58" s="2">
        <v>0.96099999999999997</v>
      </c>
      <c r="G58" t="s">
        <v>373</v>
      </c>
      <c r="H58" t="s">
        <v>373</v>
      </c>
      <c r="I58" s="2">
        <v>0</v>
      </c>
      <c r="J58" s="2">
        <v>0</v>
      </c>
      <c r="K58" s="2">
        <v>0</v>
      </c>
      <c r="L58" s="2">
        <v>0</v>
      </c>
      <c r="M58" s="51">
        <v>0</v>
      </c>
      <c r="N58" s="51">
        <v>0</v>
      </c>
      <c r="P58" s="51">
        <v>0</v>
      </c>
      <c r="Q58" s="51">
        <v>34350</v>
      </c>
      <c r="R58" s="51">
        <v>84476</v>
      </c>
      <c r="T58" s="51">
        <v>84476</v>
      </c>
      <c r="U58" s="2">
        <v>0</v>
      </c>
      <c r="V58" s="2">
        <v>0</v>
      </c>
      <c r="W58" t="s">
        <v>373</v>
      </c>
      <c r="X58" t="s">
        <v>373</v>
      </c>
      <c r="Y58">
        <v>505.15</v>
      </c>
      <c r="Z58">
        <v>531.04999999999995</v>
      </c>
      <c r="AB58" s="2">
        <v>1</v>
      </c>
      <c r="AC58">
        <v>225.4</v>
      </c>
      <c r="AD58">
        <v>240.16</v>
      </c>
      <c r="AF58" s="2">
        <v>1</v>
      </c>
      <c r="AG58">
        <v>250.61</v>
      </c>
      <c r="AH58">
        <v>263.02999999999997</v>
      </c>
      <c r="AJ58" s="2">
        <v>1</v>
      </c>
      <c r="AN58" t="s">
        <v>373</v>
      </c>
      <c r="AR58" t="s">
        <v>373</v>
      </c>
      <c r="AS58" t="s">
        <v>10</v>
      </c>
      <c r="AT58" t="str">
        <f t="shared" si="0"/>
        <v>East Lansing - 2507HC</v>
      </c>
    </row>
    <row r="59" spans="1:46" x14ac:dyDescent="0.25">
      <c r="A59" t="s">
        <v>316</v>
      </c>
      <c r="B59" t="s">
        <v>72</v>
      </c>
      <c r="C59" t="s">
        <v>91</v>
      </c>
      <c r="D59" s="50">
        <v>46054</v>
      </c>
      <c r="E59" s="2">
        <v>0.95299999999999996</v>
      </c>
      <c r="F59" s="2">
        <v>0.96099999999999997</v>
      </c>
      <c r="G59" t="s">
        <v>373</v>
      </c>
      <c r="H59" t="s">
        <v>373</v>
      </c>
      <c r="I59" s="2">
        <v>0</v>
      </c>
      <c r="J59" s="2">
        <v>0</v>
      </c>
      <c r="K59" s="2">
        <v>0</v>
      </c>
      <c r="L59" s="2">
        <v>0</v>
      </c>
      <c r="M59" s="51">
        <v>0</v>
      </c>
      <c r="N59" s="51">
        <v>0</v>
      </c>
      <c r="P59" s="51">
        <v>0</v>
      </c>
      <c r="Q59" s="51">
        <v>50126</v>
      </c>
      <c r="R59" s="51">
        <v>84476</v>
      </c>
      <c r="T59" s="51">
        <v>84476</v>
      </c>
      <c r="U59" s="2">
        <v>0</v>
      </c>
      <c r="V59" s="2">
        <v>0</v>
      </c>
      <c r="W59" t="s">
        <v>373</v>
      </c>
      <c r="X59" t="s">
        <v>373</v>
      </c>
      <c r="Y59">
        <v>556.96</v>
      </c>
      <c r="Z59">
        <v>531.04999999999995</v>
      </c>
      <c r="AB59" s="2">
        <v>1</v>
      </c>
      <c r="AC59">
        <v>254.93</v>
      </c>
      <c r="AD59">
        <v>240.16</v>
      </c>
      <c r="AF59" s="2">
        <v>1</v>
      </c>
      <c r="AG59">
        <v>275.45</v>
      </c>
      <c r="AH59">
        <v>263.02999999999997</v>
      </c>
      <c r="AJ59" s="2">
        <v>1</v>
      </c>
      <c r="AN59" t="s">
        <v>373</v>
      </c>
      <c r="AR59" t="s">
        <v>373</v>
      </c>
      <c r="AS59" t="s">
        <v>10</v>
      </c>
      <c r="AT59" t="str">
        <f t="shared" si="0"/>
        <v>East Lansing - 2507HC</v>
      </c>
    </row>
    <row r="60" spans="1:46" x14ac:dyDescent="0.25">
      <c r="A60" t="s">
        <v>316</v>
      </c>
      <c r="B60" t="s">
        <v>72</v>
      </c>
      <c r="C60" t="s">
        <v>120</v>
      </c>
      <c r="D60" s="50">
        <v>46023</v>
      </c>
      <c r="E60" s="2">
        <v>0.91900000000000004</v>
      </c>
      <c r="F60" s="2">
        <v>0.90900000000000003</v>
      </c>
      <c r="G60" t="s">
        <v>373</v>
      </c>
      <c r="H60" t="s">
        <v>373</v>
      </c>
      <c r="I60" s="2">
        <v>0</v>
      </c>
      <c r="J60" s="2">
        <v>0</v>
      </c>
      <c r="K60" s="2">
        <v>0</v>
      </c>
      <c r="L60" s="2">
        <v>0</v>
      </c>
      <c r="M60" s="51">
        <v>-74</v>
      </c>
      <c r="N60" s="51">
        <v>-154</v>
      </c>
      <c r="P60" s="51">
        <v>-154</v>
      </c>
      <c r="Q60" s="51">
        <v>24620</v>
      </c>
      <c r="R60" s="51">
        <v>38417</v>
      </c>
      <c r="T60" s="51">
        <v>38417</v>
      </c>
      <c r="U60" s="2">
        <v>-3.0000000000000001E-3</v>
      </c>
      <c r="V60" s="2">
        <v>-4.0000000000000001E-3</v>
      </c>
      <c r="W60" t="s">
        <v>373</v>
      </c>
      <c r="X60" t="s">
        <v>373</v>
      </c>
      <c r="Y60">
        <v>535.21</v>
      </c>
      <c r="Z60">
        <v>513.99</v>
      </c>
      <c r="AB60" s="2">
        <v>1</v>
      </c>
      <c r="AC60">
        <v>196.98</v>
      </c>
      <c r="AD60">
        <v>205.74</v>
      </c>
      <c r="AF60" s="2">
        <v>1</v>
      </c>
      <c r="AG60">
        <v>261.94</v>
      </c>
      <c r="AH60">
        <v>275.61</v>
      </c>
      <c r="AJ60" s="2">
        <v>1</v>
      </c>
      <c r="AN60" t="s">
        <v>373</v>
      </c>
      <c r="AR60" t="s">
        <v>373</v>
      </c>
      <c r="AS60" t="s">
        <v>10</v>
      </c>
      <c r="AT60" t="str">
        <f t="shared" si="0"/>
        <v>Grand Blanc - 2505HC</v>
      </c>
    </row>
    <row r="61" spans="1:46" x14ac:dyDescent="0.25">
      <c r="A61" t="s">
        <v>316</v>
      </c>
      <c r="B61" t="s">
        <v>72</v>
      </c>
      <c r="C61" t="s">
        <v>120</v>
      </c>
      <c r="D61" s="50">
        <v>46054</v>
      </c>
      <c r="E61" s="2">
        <v>0.89800000000000002</v>
      </c>
      <c r="F61" s="2">
        <v>0.90900000000000003</v>
      </c>
      <c r="G61" t="s">
        <v>373</v>
      </c>
      <c r="H61" t="s">
        <v>373</v>
      </c>
      <c r="I61" s="2">
        <v>0</v>
      </c>
      <c r="J61" s="2">
        <v>0</v>
      </c>
      <c r="K61" s="2">
        <v>0</v>
      </c>
      <c r="L61" s="2">
        <v>0</v>
      </c>
      <c r="M61" s="51">
        <v>-80</v>
      </c>
      <c r="N61" s="51">
        <v>-154</v>
      </c>
      <c r="P61" s="51">
        <v>-154</v>
      </c>
      <c r="Q61" s="51">
        <v>13798</v>
      </c>
      <c r="R61" s="51">
        <v>38417</v>
      </c>
      <c r="T61" s="51">
        <v>38417</v>
      </c>
      <c r="U61" s="2">
        <v>-6.0000000000000001E-3</v>
      </c>
      <c r="V61" s="2">
        <v>-4.0000000000000001E-3</v>
      </c>
      <c r="W61" t="s">
        <v>373</v>
      </c>
      <c r="X61" t="s">
        <v>373</v>
      </c>
      <c r="Y61">
        <v>492.78</v>
      </c>
      <c r="Z61">
        <v>513.99</v>
      </c>
      <c r="AB61" s="2">
        <v>1</v>
      </c>
      <c r="AC61">
        <v>214.5</v>
      </c>
      <c r="AD61">
        <v>205.74</v>
      </c>
      <c r="AF61" s="2">
        <v>1</v>
      </c>
      <c r="AG61">
        <v>289.27999999999997</v>
      </c>
      <c r="AH61">
        <v>275.61</v>
      </c>
      <c r="AJ61" s="2">
        <v>1</v>
      </c>
      <c r="AN61" t="s">
        <v>373</v>
      </c>
      <c r="AR61" t="s">
        <v>373</v>
      </c>
      <c r="AS61" t="s">
        <v>10</v>
      </c>
      <c r="AT61" t="str">
        <f t="shared" si="0"/>
        <v>Grand Blanc - 2505HC</v>
      </c>
    </row>
    <row r="62" spans="1:46" x14ac:dyDescent="0.25">
      <c r="A62" t="s">
        <v>316</v>
      </c>
      <c r="B62" t="s">
        <v>72</v>
      </c>
      <c r="C62" t="s">
        <v>131</v>
      </c>
      <c r="D62" s="50">
        <v>46023</v>
      </c>
      <c r="E62" s="2">
        <v>0.97599999999999998</v>
      </c>
      <c r="F62" s="2">
        <v>0.97699999999999998</v>
      </c>
      <c r="G62" t="s">
        <v>373</v>
      </c>
      <c r="H62" t="s">
        <v>373</v>
      </c>
      <c r="I62" s="2">
        <v>0</v>
      </c>
      <c r="J62" s="2">
        <v>0</v>
      </c>
      <c r="K62" s="2">
        <v>0</v>
      </c>
      <c r="L62" s="2">
        <v>0</v>
      </c>
      <c r="M62" s="51">
        <v>0</v>
      </c>
      <c r="N62" s="51">
        <v>0</v>
      </c>
      <c r="P62" s="51">
        <v>0</v>
      </c>
      <c r="Q62" s="51">
        <v>24752</v>
      </c>
      <c r="R62" s="51">
        <v>29284</v>
      </c>
      <c r="T62" s="51">
        <v>29284</v>
      </c>
      <c r="U62" s="2">
        <v>0</v>
      </c>
      <c r="V62" s="2">
        <v>0</v>
      </c>
      <c r="W62" t="s">
        <v>373</v>
      </c>
      <c r="X62" t="s">
        <v>373</v>
      </c>
      <c r="Y62">
        <v>485.34</v>
      </c>
      <c r="Z62">
        <v>469.27</v>
      </c>
      <c r="AB62" s="2">
        <v>1</v>
      </c>
      <c r="AC62">
        <v>212.12</v>
      </c>
      <c r="AD62">
        <v>220.62</v>
      </c>
      <c r="AF62" s="2">
        <v>1</v>
      </c>
      <c r="AG62">
        <v>244.42</v>
      </c>
      <c r="AH62">
        <v>256.67</v>
      </c>
      <c r="AJ62" s="2">
        <v>1</v>
      </c>
      <c r="AN62" t="s">
        <v>373</v>
      </c>
      <c r="AR62" t="s">
        <v>373</v>
      </c>
      <c r="AS62" t="s">
        <v>10</v>
      </c>
      <c r="AT62" t="str">
        <f t="shared" si="0"/>
        <v>Howell - 2509HC</v>
      </c>
    </row>
    <row r="63" spans="1:46" x14ac:dyDescent="0.25">
      <c r="A63" t="s">
        <v>316</v>
      </c>
      <c r="B63" t="s">
        <v>72</v>
      </c>
      <c r="C63" t="s">
        <v>131</v>
      </c>
      <c r="D63" s="50">
        <v>46054</v>
      </c>
      <c r="E63" s="2">
        <v>0.97799999999999998</v>
      </c>
      <c r="F63" s="2">
        <v>0.97699999999999998</v>
      </c>
      <c r="G63" t="s">
        <v>373</v>
      </c>
      <c r="H63" t="s">
        <v>373</v>
      </c>
      <c r="I63" s="2">
        <v>0</v>
      </c>
      <c r="J63" s="2">
        <v>0</v>
      </c>
      <c r="K63" s="2">
        <v>0</v>
      </c>
      <c r="L63" s="2">
        <v>0</v>
      </c>
      <c r="M63" s="51">
        <v>0</v>
      </c>
      <c r="N63" s="51">
        <v>0</v>
      </c>
      <c r="P63" s="51">
        <v>0</v>
      </c>
      <c r="Q63" s="51">
        <v>4532</v>
      </c>
      <c r="R63" s="51">
        <v>29284</v>
      </c>
      <c r="T63" s="51">
        <v>29284</v>
      </c>
      <c r="U63" s="2">
        <v>0</v>
      </c>
      <c r="V63" s="2">
        <v>0</v>
      </c>
      <c r="W63" t="s">
        <v>373</v>
      </c>
      <c r="X63" t="s">
        <v>373</v>
      </c>
      <c r="Y63">
        <v>453.2</v>
      </c>
      <c r="Z63">
        <v>469.27</v>
      </c>
      <c r="AB63" s="2">
        <v>1</v>
      </c>
      <c r="AC63">
        <v>229.12</v>
      </c>
      <c r="AD63">
        <v>220.62</v>
      </c>
      <c r="AF63" s="2">
        <v>1</v>
      </c>
      <c r="AG63">
        <v>268.92</v>
      </c>
      <c r="AH63">
        <v>256.67</v>
      </c>
      <c r="AJ63" s="2">
        <v>1</v>
      </c>
      <c r="AN63" t="s">
        <v>373</v>
      </c>
      <c r="AR63" t="s">
        <v>373</v>
      </c>
      <c r="AS63" t="s">
        <v>10</v>
      </c>
      <c r="AT63" t="str">
        <f t="shared" si="0"/>
        <v>Howell - 2509HC</v>
      </c>
    </row>
    <row r="64" spans="1:46" x14ac:dyDescent="0.25">
      <c r="A64" t="s">
        <v>316</v>
      </c>
      <c r="B64" t="s">
        <v>72</v>
      </c>
      <c r="C64" t="s">
        <v>149</v>
      </c>
      <c r="D64" s="50">
        <v>46023</v>
      </c>
      <c r="E64" s="2">
        <v>0.94599999999999995</v>
      </c>
      <c r="F64" s="2">
        <v>0.95299999999999996</v>
      </c>
      <c r="G64" t="s">
        <v>373</v>
      </c>
      <c r="H64" t="s">
        <v>373</v>
      </c>
      <c r="I64" s="2">
        <v>0</v>
      </c>
      <c r="J64" s="2">
        <v>0</v>
      </c>
      <c r="K64" s="2">
        <v>0</v>
      </c>
      <c r="L64" s="2">
        <v>0</v>
      </c>
      <c r="M64" s="51">
        <v>-2480</v>
      </c>
      <c r="N64" s="51">
        <v>-1720</v>
      </c>
      <c r="P64" s="51">
        <v>-1720</v>
      </c>
      <c r="Q64" s="51">
        <v>43101</v>
      </c>
      <c r="R64" s="51">
        <v>112184</v>
      </c>
      <c r="T64" s="51">
        <v>112184</v>
      </c>
      <c r="U64" s="2">
        <v>-5.8000000000000003E-2</v>
      </c>
      <c r="V64" s="2">
        <v>-1.4999999999999999E-2</v>
      </c>
      <c r="W64" t="s">
        <v>373</v>
      </c>
      <c r="X64" t="s">
        <v>373</v>
      </c>
      <c r="Y64">
        <v>484.28</v>
      </c>
      <c r="Z64">
        <v>455.36</v>
      </c>
      <c r="AB64" s="2">
        <v>1</v>
      </c>
      <c r="AC64">
        <v>211.78</v>
      </c>
      <c r="AD64">
        <v>221.46</v>
      </c>
      <c r="AF64" s="2">
        <v>1</v>
      </c>
      <c r="AG64">
        <v>229.42</v>
      </c>
      <c r="AH64">
        <v>243.15</v>
      </c>
      <c r="AJ64" s="2">
        <v>1</v>
      </c>
      <c r="AN64" t="s">
        <v>373</v>
      </c>
      <c r="AR64" t="s">
        <v>373</v>
      </c>
      <c r="AS64" t="s">
        <v>10</v>
      </c>
      <c r="AT64" t="str">
        <f t="shared" si="0"/>
        <v>Lapeer - 2506HC</v>
      </c>
    </row>
    <row r="65" spans="1:46" x14ac:dyDescent="0.25">
      <c r="A65" t="s">
        <v>316</v>
      </c>
      <c r="B65" t="s">
        <v>72</v>
      </c>
      <c r="C65" t="s">
        <v>149</v>
      </c>
      <c r="D65" s="50">
        <v>46054</v>
      </c>
      <c r="E65" s="2">
        <v>0.96099999999999997</v>
      </c>
      <c r="F65" s="2">
        <v>0.95299999999999996</v>
      </c>
      <c r="G65" t="s">
        <v>373</v>
      </c>
      <c r="H65" t="s">
        <v>373</v>
      </c>
      <c r="I65" s="2">
        <v>0</v>
      </c>
      <c r="J65" s="2">
        <v>0</v>
      </c>
      <c r="K65" s="2">
        <v>0</v>
      </c>
      <c r="L65" s="2">
        <v>0</v>
      </c>
      <c r="M65" s="51">
        <v>760</v>
      </c>
      <c r="N65" s="51">
        <v>-1720</v>
      </c>
      <c r="P65" s="51">
        <v>-1720</v>
      </c>
      <c r="Q65" s="51">
        <v>69083</v>
      </c>
      <c r="R65" s="51">
        <v>112184</v>
      </c>
      <c r="T65" s="51">
        <v>112184</v>
      </c>
      <c r="U65" s="2">
        <v>1.0999999999999999E-2</v>
      </c>
      <c r="V65" s="2">
        <v>-1.4999999999999999E-2</v>
      </c>
      <c r="W65" t="s">
        <v>373</v>
      </c>
      <c r="X65" t="s">
        <v>373</v>
      </c>
      <c r="Y65">
        <v>426.44</v>
      </c>
      <c r="Z65">
        <v>455.36</v>
      </c>
      <c r="AB65" s="2">
        <v>1</v>
      </c>
      <c r="AC65">
        <v>231.14</v>
      </c>
      <c r="AD65">
        <v>221.46</v>
      </c>
      <c r="AF65" s="2">
        <v>1</v>
      </c>
      <c r="AG65">
        <v>256.89</v>
      </c>
      <c r="AH65">
        <v>243.15</v>
      </c>
      <c r="AJ65" s="2">
        <v>1</v>
      </c>
      <c r="AN65" t="s">
        <v>373</v>
      </c>
      <c r="AR65" t="s">
        <v>373</v>
      </c>
      <c r="AS65" t="s">
        <v>10</v>
      </c>
      <c r="AT65" t="str">
        <f t="shared" si="0"/>
        <v>Lapeer - 2506HC</v>
      </c>
    </row>
    <row r="66" spans="1:46" x14ac:dyDescent="0.25">
      <c r="A66" t="s">
        <v>316</v>
      </c>
      <c r="B66" t="s">
        <v>72</v>
      </c>
      <c r="C66" t="s">
        <v>182</v>
      </c>
      <c r="D66" s="50">
        <v>46023</v>
      </c>
      <c r="E66" s="2">
        <v>0.98799999999999999</v>
      </c>
      <c r="F66" s="2">
        <v>0.98099999999999998</v>
      </c>
      <c r="G66" t="s">
        <v>373</v>
      </c>
      <c r="H66" t="s">
        <v>373</v>
      </c>
      <c r="I66" s="2">
        <v>0</v>
      </c>
      <c r="J66" s="2">
        <v>0</v>
      </c>
      <c r="K66" s="2">
        <v>0</v>
      </c>
      <c r="L66" s="2">
        <v>0</v>
      </c>
      <c r="M66" s="51">
        <v>0</v>
      </c>
      <c r="N66" s="51">
        <v>0</v>
      </c>
      <c r="P66" s="51">
        <v>0</v>
      </c>
      <c r="Q66" s="51">
        <v>41351</v>
      </c>
      <c r="R66" s="51">
        <v>75374</v>
      </c>
      <c r="T66" s="51">
        <v>75374</v>
      </c>
      <c r="U66" s="2">
        <v>0</v>
      </c>
      <c r="V66" s="2">
        <v>0</v>
      </c>
      <c r="W66" t="s">
        <v>373</v>
      </c>
      <c r="X66" t="s">
        <v>373</v>
      </c>
      <c r="Y66">
        <v>537.03</v>
      </c>
      <c r="Z66">
        <v>534.32000000000005</v>
      </c>
      <c r="AB66" s="2">
        <v>1</v>
      </c>
      <c r="AC66">
        <v>266.79000000000002</v>
      </c>
      <c r="AD66">
        <v>279.86</v>
      </c>
      <c r="AF66" s="2">
        <v>1</v>
      </c>
      <c r="AG66">
        <v>262.54000000000002</v>
      </c>
      <c r="AH66">
        <v>276.51</v>
      </c>
      <c r="AJ66" s="2">
        <v>1</v>
      </c>
      <c r="AN66" t="s">
        <v>373</v>
      </c>
      <c r="AR66" t="s">
        <v>373</v>
      </c>
      <c r="AS66" t="s">
        <v>10</v>
      </c>
      <c r="AT66" t="str">
        <f t="shared" si="0"/>
        <v>Macomb - 2508HC</v>
      </c>
    </row>
    <row r="67" spans="1:46" x14ac:dyDescent="0.25">
      <c r="A67" t="s">
        <v>316</v>
      </c>
      <c r="B67" t="s">
        <v>72</v>
      </c>
      <c r="C67" t="s">
        <v>182</v>
      </c>
      <c r="D67" s="50">
        <v>46054</v>
      </c>
      <c r="E67" s="2">
        <v>0.97399999999999998</v>
      </c>
      <c r="F67" s="2">
        <v>0.98099999999999998</v>
      </c>
      <c r="G67" t="s">
        <v>373</v>
      </c>
      <c r="H67" t="s">
        <v>373</v>
      </c>
      <c r="I67" s="2">
        <v>0</v>
      </c>
      <c r="J67" s="2">
        <v>0</v>
      </c>
      <c r="K67" s="2">
        <v>0</v>
      </c>
      <c r="L67" s="2">
        <v>0</v>
      </c>
      <c r="M67" s="51">
        <v>0</v>
      </c>
      <c r="N67" s="51">
        <v>0</v>
      </c>
      <c r="P67" s="51">
        <v>0</v>
      </c>
      <c r="Q67" s="51">
        <v>34023</v>
      </c>
      <c r="R67" s="51">
        <v>75374</v>
      </c>
      <c r="T67" s="51">
        <v>75374</v>
      </c>
      <c r="U67" s="2">
        <v>0</v>
      </c>
      <c r="V67" s="2">
        <v>0</v>
      </c>
      <c r="W67" t="s">
        <v>373</v>
      </c>
      <c r="X67" t="s">
        <v>373</v>
      </c>
      <c r="Y67">
        <v>531.61</v>
      </c>
      <c r="Z67">
        <v>534.32000000000005</v>
      </c>
      <c r="AB67" s="2">
        <v>1</v>
      </c>
      <c r="AC67">
        <v>292.93</v>
      </c>
      <c r="AD67">
        <v>279.86</v>
      </c>
      <c r="AF67" s="2">
        <v>1</v>
      </c>
      <c r="AG67">
        <v>290.47000000000003</v>
      </c>
      <c r="AH67">
        <v>276.51</v>
      </c>
      <c r="AJ67" s="2">
        <v>1</v>
      </c>
      <c r="AN67" t="s">
        <v>373</v>
      </c>
      <c r="AR67" t="s">
        <v>373</v>
      </c>
      <c r="AS67" t="s">
        <v>10</v>
      </c>
      <c r="AT67" t="str">
        <f t="shared" ref="AT67:AT130" si="1">C67&amp;AS67</f>
        <v>Macomb - 2508HC</v>
      </c>
    </row>
    <row r="68" spans="1:46" x14ac:dyDescent="0.25">
      <c r="A68" t="s">
        <v>316</v>
      </c>
      <c r="B68" t="s">
        <v>72</v>
      </c>
      <c r="C68" t="s">
        <v>203</v>
      </c>
      <c r="D68" s="50">
        <v>46023</v>
      </c>
      <c r="E68" s="2">
        <v>0.94199999999999995</v>
      </c>
      <c r="F68" s="2">
        <v>0.95</v>
      </c>
      <c r="G68" t="s">
        <v>373</v>
      </c>
      <c r="H68" t="s">
        <v>373</v>
      </c>
      <c r="I68" s="2">
        <v>0</v>
      </c>
      <c r="J68" s="2">
        <v>0</v>
      </c>
      <c r="K68" s="2">
        <v>0</v>
      </c>
      <c r="L68" s="2">
        <v>0</v>
      </c>
      <c r="M68" s="51">
        <v>0</v>
      </c>
      <c r="N68" s="51">
        <v>0</v>
      </c>
      <c r="P68" s="51">
        <v>0</v>
      </c>
      <c r="Q68" s="51">
        <v>-2074</v>
      </c>
      <c r="R68" s="51">
        <v>13739</v>
      </c>
      <c r="T68" s="51">
        <v>13739</v>
      </c>
      <c r="U68" s="2">
        <v>0</v>
      </c>
      <c r="V68" s="2">
        <v>0</v>
      </c>
      <c r="W68" t="s">
        <v>373</v>
      </c>
      <c r="X68" t="s">
        <v>373</v>
      </c>
      <c r="Y68">
        <v>345.67</v>
      </c>
      <c r="Z68">
        <v>465.66</v>
      </c>
      <c r="AB68" s="2">
        <v>1</v>
      </c>
      <c r="AC68">
        <v>258.68</v>
      </c>
      <c r="AD68">
        <v>272.45999999999998</v>
      </c>
      <c r="AF68" s="2">
        <v>1</v>
      </c>
      <c r="AJ68" t="s">
        <v>373</v>
      </c>
      <c r="AN68" t="s">
        <v>373</v>
      </c>
      <c r="AR68" t="s">
        <v>373</v>
      </c>
      <c r="AS68" t="s">
        <v>10</v>
      </c>
      <c r="AT68" t="str">
        <f t="shared" si="1"/>
        <v>Novi - 2510HC</v>
      </c>
    </row>
    <row r="69" spans="1:46" x14ac:dyDescent="0.25">
      <c r="A69" t="s">
        <v>316</v>
      </c>
      <c r="B69" t="s">
        <v>72</v>
      </c>
      <c r="C69" t="s">
        <v>203</v>
      </c>
      <c r="D69" s="50">
        <v>46054</v>
      </c>
      <c r="E69" s="2">
        <v>0.95799999999999996</v>
      </c>
      <c r="F69" s="2">
        <v>0.95</v>
      </c>
      <c r="G69" t="s">
        <v>373</v>
      </c>
      <c r="H69" t="s">
        <v>373</v>
      </c>
      <c r="I69" s="2">
        <v>0</v>
      </c>
      <c r="J69" s="2">
        <v>0</v>
      </c>
      <c r="K69" s="2">
        <v>0</v>
      </c>
      <c r="L69" s="2">
        <v>0</v>
      </c>
      <c r="M69" s="51">
        <v>0</v>
      </c>
      <c r="N69" s="51">
        <v>0</v>
      </c>
      <c r="P69" s="51">
        <v>0</v>
      </c>
      <c r="Q69" s="51">
        <v>15813</v>
      </c>
      <c r="R69" s="51">
        <v>13739</v>
      </c>
      <c r="T69" s="51">
        <v>13739</v>
      </c>
      <c r="U69" s="2">
        <v>0</v>
      </c>
      <c r="V69" s="2">
        <v>0</v>
      </c>
      <c r="W69" t="s">
        <v>373</v>
      </c>
      <c r="X69" t="s">
        <v>373</v>
      </c>
      <c r="Y69">
        <v>585.65</v>
      </c>
      <c r="Z69">
        <v>465.66</v>
      </c>
      <c r="AB69" s="2">
        <v>1</v>
      </c>
      <c r="AC69">
        <v>286.25</v>
      </c>
      <c r="AD69">
        <v>272.45999999999998</v>
      </c>
      <c r="AF69" s="2">
        <v>1</v>
      </c>
      <c r="AJ69" t="s">
        <v>373</v>
      </c>
      <c r="AN69" t="s">
        <v>373</v>
      </c>
      <c r="AR69" t="s">
        <v>373</v>
      </c>
      <c r="AS69" t="s">
        <v>10</v>
      </c>
      <c r="AT69" t="str">
        <f t="shared" si="1"/>
        <v>Novi - 2510HC</v>
      </c>
    </row>
    <row r="70" spans="1:46" x14ac:dyDescent="0.25">
      <c r="A70" t="s">
        <v>316</v>
      </c>
      <c r="B70" t="s">
        <v>72</v>
      </c>
      <c r="C70" t="s">
        <v>204</v>
      </c>
      <c r="D70" s="50">
        <v>46023</v>
      </c>
      <c r="E70" s="2">
        <v>0.90600000000000003</v>
      </c>
      <c r="F70" s="2">
        <v>0.89400000000000002</v>
      </c>
      <c r="G70" t="s">
        <v>373</v>
      </c>
      <c r="H70" t="s">
        <v>373</v>
      </c>
      <c r="I70" s="2">
        <v>0</v>
      </c>
      <c r="J70" s="2">
        <v>0</v>
      </c>
      <c r="K70" s="2">
        <v>0</v>
      </c>
      <c r="L70" s="2">
        <v>0</v>
      </c>
      <c r="M70" s="51">
        <v>-1240</v>
      </c>
      <c r="N70" s="51">
        <v>-3480</v>
      </c>
      <c r="P70" s="51">
        <v>-3480</v>
      </c>
      <c r="Q70" s="51">
        <v>56763</v>
      </c>
      <c r="R70" s="51">
        <v>91866</v>
      </c>
      <c r="T70" s="51">
        <v>91866</v>
      </c>
      <c r="U70" s="2">
        <v>-2.1999999999999999E-2</v>
      </c>
      <c r="V70" s="2">
        <v>-3.7999999999999999E-2</v>
      </c>
      <c r="W70" t="s">
        <v>373</v>
      </c>
      <c r="X70" t="s">
        <v>373</v>
      </c>
      <c r="Y70">
        <v>516.03</v>
      </c>
      <c r="Z70">
        <v>536.61</v>
      </c>
      <c r="AB70" s="2">
        <v>1</v>
      </c>
      <c r="AC70">
        <v>255.16</v>
      </c>
      <c r="AD70">
        <v>267.98</v>
      </c>
      <c r="AF70" s="2">
        <v>1</v>
      </c>
      <c r="AJ70" t="s">
        <v>373</v>
      </c>
      <c r="AN70" t="s">
        <v>373</v>
      </c>
      <c r="AR70" t="s">
        <v>373</v>
      </c>
      <c r="AS70" t="s">
        <v>10</v>
      </c>
      <c r="AT70" t="str">
        <f t="shared" si="1"/>
        <v>Okemos - 2504HC</v>
      </c>
    </row>
    <row r="71" spans="1:46" x14ac:dyDescent="0.25">
      <c r="A71" t="s">
        <v>316</v>
      </c>
      <c r="B71" t="s">
        <v>72</v>
      </c>
      <c r="C71" t="s">
        <v>204</v>
      </c>
      <c r="D71" s="50">
        <v>46054</v>
      </c>
      <c r="E71" s="2">
        <v>0.88100000000000001</v>
      </c>
      <c r="F71" s="2">
        <v>0.89400000000000002</v>
      </c>
      <c r="G71" t="s">
        <v>373</v>
      </c>
      <c r="H71" t="s">
        <v>373</v>
      </c>
      <c r="I71" s="2">
        <v>0</v>
      </c>
      <c r="J71" s="2">
        <v>0</v>
      </c>
      <c r="K71" s="2">
        <v>0</v>
      </c>
      <c r="L71" s="2">
        <v>0</v>
      </c>
      <c r="M71" s="51">
        <v>-2240</v>
      </c>
      <c r="N71" s="51">
        <v>-3480</v>
      </c>
      <c r="P71" s="51">
        <v>-3480</v>
      </c>
      <c r="Q71" s="51">
        <v>35103</v>
      </c>
      <c r="R71" s="51">
        <v>91866</v>
      </c>
      <c r="T71" s="51">
        <v>91866</v>
      </c>
      <c r="U71" s="2">
        <v>-6.4000000000000001E-2</v>
      </c>
      <c r="V71" s="2">
        <v>-3.7999999999999999E-2</v>
      </c>
      <c r="W71" t="s">
        <v>373</v>
      </c>
      <c r="X71" t="s">
        <v>373</v>
      </c>
      <c r="Y71">
        <v>557.19000000000005</v>
      </c>
      <c r="Z71">
        <v>536.61</v>
      </c>
      <c r="AB71" s="2">
        <v>1</v>
      </c>
      <c r="AC71">
        <v>280.8</v>
      </c>
      <c r="AD71">
        <v>267.98</v>
      </c>
      <c r="AF71" s="2">
        <v>1</v>
      </c>
      <c r="AJ71" t="s">
        <v>373</v>
      </c>
      <c r="AN71" t="s">
        <v>373</v>
      </c>
      <c r="AR71" t="s">
        <v>373</v>
      </c>
      <c r="AS71" t="s">
        <v>10</v>
      </c>
      <c r="AT71" t="str">
        <f t="shared" si="1"/>
        <v>Okemos - 2504HC</v>
      </c>
    </row>
    <row r="72" spans="1:46" x14ac:dyDescent="0.25">
      <c r="A72" t="s">
        <v>316</v>
      </c>
      <c r="B72" t="s">
        <v>72</v>
      </c>
      <c r="C72" t="s">
        <v>215</v>
      </c>
      <c r="D72" s="50">
        <v>46023</v>
      </c>
      <c r="E72" s="2">
        <v>0.97099999999999997</v>
      </c>
      <c r="F72" s="2">
        <v>0.96699999999999997</v>
      </c>
      <c r="G72" t="s">
        <v>373</v>
      </c>
      <c r="H72" t="s">
        <v>373</v>
      </c>
      <c r="I72" s="2">
        <v>0</v>
      </c>
      <c r="J72" s="2">
        <v>0</v>
      </c>
      <c r="K72" s="2">
        <v>0</v>
      </c>
      <c r="L72" s="2">
        <v>0</v>
      </c>
      <c r="M72" s="51">
        <v>0</v>
      </c>
      <c r="N72" s="51">
        <v>0</v>
      </c>
      <c r="P72" s="51">
        <v>0</v>
      </c>
      <c r="Q72" s="51">
        <v>93293</v>
      </c>
      <c r="R72" s="51">
        <v>173025</v>
      </c>
      <c r="T72" s="51">
        <v>173025</v>
      </c>
      <c r="U72" s="2">
        <v>0</v>
      </c>
      <c r="V72" s="2">
        <v>0</v>
      </c>
      <c r="W72" t="s">
        <v>373</v>
      </c>
      <c r="X72" t="s">
        <v>373</v>
      </c>
      <c r="Y72">
        <v>579.46</v>
      </c>
      <c r="Z72">
        <v>570.48</v>
      </c>
      <c r="AB72" s="2">
        <v>1</v>
      </c>
      <c r="AC72">
        <v>255.06</v>
      </c>
      <c r="AD72">
        <v>267.58999999999997</v>
      </c>
      <c r="AF72" s="2">
        <v>1</v>
      </c>
      <c r="AG72">
        <v>270.75</v>
      </c>
      <c r="AH72">
        <v>280.81</v>
      </c>
      <c r="AJ72" s="2">
        <v>1</v>
      </c>
      <c r="AN72" t="s">
        <v>373</v>
      </c>
      <c r="AR72" t="s">
        <v>373</v>
      </c>
      <c r="AS72" t="s">
        <v>10</v>
      </c>
      <c r="AT72" t="str">
        <f t="shared" si="1"/>
        <v>Romeo - 2512HC</v>
      </c>
    </row>
    <row r="73" spans="1:46" x14ac:dyDescent="0.25">
      <c r="A73" t="s">
        <v>316</v>
      </c>
      <c r="B73" t="s">
        <v>72</v>
      </c>
      <c r="C73" t="s">
        <v>215</v>
      </c>
      <c r="D73" s="50">
        <v>46054</v>
      </c>
      <c r="E73" s="2">
        <v>0.96299999999999997</v>
      </c>
      <c r="F73" s="2">
        <v>0.96699999999999997</v>
      </c>
      <c r="G73" t="s">
        <v>373</v>
      </c>
      <c r="H73" t="s">
        <v>373</v>
      </c>
      <c r="I73" s="2">
        <v>0</v>
      </c>
      <c r="J73" s="2">
        <v>0</v>
      </c>
      <c r="K73" s="2">
        <v>0</v>
      </c>
      <c r="L73" s="2">
        <v>0</v>
      </c>
      <c r="M73" s="51">
        <v>0</v>
      </c>
      <c r="N73" s="51">
        <v>0</v>
      </c>
      <c r="P73" s="51">
        <v>0</v>
      </c>
      <c r="Q73" s="51">
        <v>79732</v>
      </c>
      <c r="R73" s="51">
        <v>173025</v>
      </c>
      <c r="T73" s="51">
        <v>173025</v>
      </c>
      <c r="U73" s="2">
        <v>0</v>
      </c>
      <c r="V73" s="2">
        <v>0</v>
      </c>
      <c r="W73" t="s">
        <v>373</v>
      </c>
      <c r="X73" t="s">
        <v>373</v>
      </c>
      <c r="Y73">
        <v>561.49</v>
      </c>
      <c r="Z73">
        <v>570.48</v>
      </c>
      <c r="AB73" s="2">
        <v>1</v>
      </c>
      <c r="AC73">
        <v>280.12</v>
      </c>
      <c r="AD73">
        <v>267.58999999999997</v>
      </c>
      <c r="AF73" s="2">
        <v>1</v>
      </c>
      <c r="AG73">
        <v>290.88</v>
      </c>
      <c r="AH73">
        <v>280.81</v>
      </c>
      <c r="AJ73" s="2">
        <v>1</v>
      </c>
      <c r="AN73" t="s">
        <v>373</v>
      </c>
      <c r="AR73" t="s">
        <v>373</v>
      </c>
      <c r="AS73" t="s">
        <v>10</v>
      </c>
      <c r="AT73" t="str">
        <f t="shared" si="1"/>
        <v>Romeo - 2512HC</v>
      </c>
    </row>
    <row r="74" spans="1:46" x14ac:dyDescent="0.25">
      <c r="A74" t="s">
        <v>316</v>
      </c>
      <c r="B74" t="s">
        <v>253</v>
      </c>
      <c r="C74" t="s">
        <v>9</v>
      </c>
      <c r="D74" s="50">
        <v>46023</v>
      </c>
      <c r="E74" s="2">
        <v>0.88200000000000001</v>
      </c>
      <c r="F74" s="2">
        <v>0.90300000000000002</v>
      </c>
      <c r="G74" t="s">
        <v>373</v>
      </c>
      <c r="H74" t="s">
        <v>373</v>
      </c>
      <c r="I74" s="2">
        <v>0</v>
      </c>
      <c r="J74" s="2">
        <v>0</v>
      </c>
      <c r="K74" s="2">
        <v>0</v>
      </c>
      <c r="L74" s="2">
        <v>0</v>
      </c>
      <c r="M74" s="51">
        <v>8309</v>
      </c>
      <c r="N74" s="51">
        <v>13349</v>
      </c>
      <c r="P74" s="51">
        <v>13349</v>
      </c>
      <c r="Q74" s="51">
        <v>163191</v>
      </c>
      <c r="R74" s="51">
        <v>354009</v>
      </c>
      <c r="T74" s="51">
        <v>354009</v>
      </c>
      <c r="U74" s="2">
        <v>5.0999999999999997E-2</v>
      </c>
      <c r="V74" s="2">
        <v>3.7999999999999999E-2</v>
      </c>
      <c r="W74" t="s">
        <v>373</v>
      </c>
      <c r="X74" t="s">
        <v>373</v>
      </c>
      <c r="Y74">
        <v>401.95</v>
      </c>
      <c r="Z74">
        <v>396.48</v>
      </c>
      <c r="AB74" s="2">
        <v>1</v>
      </c>
      <c r="AC74">
        <v>173.98</v>
      </c>
      <c r="AD74">
        <v>181.68</v>
      </c>
      <c r="AF74" s="2">
        <v>1</v>
      </c>
      <c r="AG74">
        <v>220.11</v>
      </c>
      <c r="AH74">
        <v>230.56</v>
      </c>
      <c r="AJ74" s="2">
        <v>1</v>
      </c>
      <c r="AN74" t="s">
        <v>373</v>
      </c>
      <c r="AO74">
        <v>94.95</v>
      </c>
      <c r="AP74">
        <v>101.31</v>
      </c>
      <c r="AR74" s="2">
        <v>1</v>
      </c>
      <c r="AS74" t="s">
        <v>10</v>
      </c>
      <c r="AT74" t="str">
        <f t="shared" si="1"/>
        <v>Anderson - 112HC</v>
      </c>
    </row>
    <row r="75" spans="1:46" x14ac:dyDescent="0.25">
      <c r="A75" t="s">
        <v>316</v>
      </c>
      <c r="B75" t="s">
        <v>253</v>
      </c>
      <c r="C75" t="s">
        <v>9</v>
      </c>
      <c r="D75" s="50">
        <v>46054</v>
      </c>
      <c r="E75" s="2">
        <v>0.92800000000000005</v>
      </c>
      <c r="F75" s="2">
        <v>0.90300000000000002</v>
      </c>
      <c r="G75" t="s">
        <v>373</v>
      </c>
      <c r="H75" t="s">
        <v>373</v>
      </c>
      <c r="I75" s="2">
        <v>0</v>
      </c>
      <c r="J75" s="2">
        <v>0</v>
      </c>
      <c r="K75" s="2">
        <v>0</v>
      </c>
      <c r="L75" s="2">
        <v>0</v>
      </c>
      <c r="M75" s="51">
        <v>5040</v>
      </c>
      <c r="N75" s="51">
        <v>13349</v>
      </c>
      <c r="P75" s="51">
        <v>13349</v>
      </c>
      <c r="Q75" s="51">
        <v>190818</v>
      </c>
      <c r="R75" s="51">
        <v>354009</v>
      </c>
      <c r="T75" s="51">
        <v>354009</v>
      </c>
      <c r="U75" s="2">
        <v>2.5999999999999999E-2</v>
      </c>
      <c r="V75" s="2">
        <v>3.7999999999999999E-2</v>
      </c>
      <c r="W75" t="s">
        <v>373</v>
      </c>
      <c r="X75" t="s">
        <v>373</v>
      </c>
      <c r="Y75">
        <v>391.02</v>
      </c>
      <c r="Z75">
        <v>396.48</v>
      </c>
      <c r="AB75" s="2">
        <v>1</v>
      </c>
      <c r="AC75">
        <v>189.38</v>
      </c>
      <c r="AD75">
        <v>181.68</v>
      </c>
      <c r="AF75" s="2">
        <v>1</v>
      </c>
      <c r="AG75">
        <v>241.01</v>
      </c>
      <c r="AH75">
        <v>230.56</v>
      </c>
      <c r="AJ75" s="2">
        <v>1</v>
      </c>
      <c r="AN75" t="s">
        <v>373</v>
      </c>
      <c r="AO75">
        <v>107.67</v>
      </c>
      <c r="AP75">
        <v>101.31</v>
      </c>
      <c r="AR75" s="2">
        <v>1</v>
      </c>
      <c r="AS75" t="s">
        <v>10</v>
      </c>
      <c r="AT75" t="str">
        <f t="shared" si="1"/>
        <v>Anderson - 112HC</v>
      </c>
    </row>
    <row r="76" spans="1:46" x14ac:dyDescent="0.25">
      <c r="A76" t="s">
        <v>316</v>
      </c>
      <c r="B76" t="s">
        <v>253</v>
      </c>
      <c r="C76" t="s">
        <v>81</v>
      </c>
      <c r="D76" s="50">
        <v>46023</v>
      </c>
      <c r="E76" s="2">
        <v>0.93500000000000005</v>
      </c>
      <c r="F76" s="2">
        <v>0.92600000000000005</v>
      </c>
      <c r="G76" t="s">
        <v>373</v>
      </c>
      <c r="H76" t="s">
        <v>373</v>
      </c>
      <c r="I76" s="2">
        <v>0</v>
      </c>
      <c r="J76" s="2">
        <v>0</v>
      </c>
      <c r="K76" s="2">
        <v>0</v>
      </c>
      <c r="L76" s="2">
        <v>0</v>
      </c>
      <c r="M76" s="51">
        <v>0</v>
      </c>
      <c r="N76" s="51">
        <v>-2552</v>
      </c>
      <c r="P76" s="51">
        <v>-2552</v>
      </c>
      <c r="Q76" s="51">
        <v>241136</v>
      </c>
      <c r="R76" s="51">
        <v>465769</v>
      </c>
      <c r="T76" s="51">
        <v>465769</v>
      </c>
      <c r="U76" s="2">
        <v>0</v>
      </c>
      <c r="V76" s="2">
        <v>-5.0000000000000001E-3</v>
      </c>
      <c r="W76" t="s">
        <v>373</v>
      </c>
      <c r="X76" t="s">
        <v>373</v>
      </c>
      <c r="Y76">
        <v>388.3</v>
      </c>
      <c r="Z76">
        <v>388.13</v>
      </c>
      <c r="AB76" s="2">
        <v>1</v>
      </c>
      <c r="AC76">
        <v>189.65</v>
      </c>
      <c r="AD76">
        <v>203.19</v>
      </c>
      <c r="AF76" s="2">
        <v>1</v>
      </c>
      <c r="AG76">
        <v>409.87</v>
      </c>
      <c r="AH76">
        <v>357.13</v>
      </c>
      <c r="AJ76" s="2">
        <v>1</v>
      </c>
      <c r="AN76" t="s">
        <v>373</v>
      </c>
      <c r="AR76" t="s">
        <v>373</v>
      </c>
      <c r="AS76" t="s">
        <v>10</v>
      </c>
      <c r="AT76" t="str">
        <f t="shared" si="1"/>
        <v>Crawfordsville - 5167HC</v>
      </c>
    </row>
    <row r="77" spans="1:46" x14ac:dyDescent="0.25">
      <c r="A77" t="s">
        <v>316</v>
      </c>
      <c r="B77" t="s">
        <v>253</v>
      </c>
      <c r="C77" t="s">
        <v>81</v>
      </c>
      <c r="D77" s="50">
        <v>46054</v>
      </c>
      <c r="E77" s="2">
        <v>0.91700000000000004</v>
      </c>
      <c r="F77" s="2">
        <v>0.92600000000000005</v>
      </c>
      <c r="G77" t="s">
        <v>373</v>
      </c>
      <c r="H77" t="s">
        <v>373</v>
      </c>
      <c r="I77" s="2">
        <v>0</v>
      </c>
      <c r="J77" s="2">
        <v>0</v>
      </c>
      <c r="K77" s="2">
        <v>0</v>
      </c>
      <c r="L77" s="2">
        <v>0</v>
      </c>
      <c r="M77" s="51">
        <v>-2552</v>
      </c>
      <c r="N77" s="51">
        <v>-2552</v>
      </c>
      <c r="P77" s="51">
        <v>-2552</v>
      </c>
      <c r="Q77" s="51">
        <v>224633</v>
      </c>
      <c r="R77" s="51">
        <v>465769</v>
      </c>
      <c r="T77" s="51">
        <v>465769</v>
      </c>
      <c r="U77" s="2">
        <v>-1.0999999999999999E-2</v>
      </c>
      <c r="V77" s="2">
        <v>-5.0000000000000001E-3</v>
      </c>
      <c r="W77" t="s">
        <v>373</v>
      </c>
      <c r="X77" t="s">
        <v>373</v>
      </c>
      <c r="Y77">
        <v>387.97</v>
      </c>
      <c r="Z77">
        <v>388.13</v>
      </c>
      <c r="AB77" s="2">
        <v>1</v>
      </c>
      <c r="AC77">
        <v>216.72</v>
      </c>
      <c r="AD77">
        <v>203.19</v>
      </c>
      <c r="AF77" s="2">
        <v>1</v>
      </c>
      <c r="AG77">
        <v>304.39</v>
      </c>
      <c r="AH77">
        <v>357.13</v>
      </c>
      <c r="AJ77" s="2">
        <v>1</v>
      </c>
      <c r="AN77" t="s">
        <v>373</v>
      </c>
      <c r="AR77" t="s">
        <v>373</v>
      </c>
      <c r="AS77" t="s">
        <v>10</v>
      </c>
      <c r="AT77" t="str">
        <f t="shared" si="1"/>
        <v>Crawfordsville - 5167HC</v>
      </c>
    </row>
    <row r="78" spans="1:46" x14ac:dyDescent="0.25">
      <c r="A78" t="s">
        <v>316</v>
      </c>
      <c r="B78" t="s">
        <v>253</v>
      </c>
      <c r="C78" t="s">
        <v>87</v>
      </c>
      <c r="D78" s="50">
        <v>46023</v>
      </c>
      <c r="E78" s="2">
        <v>0.86</v>
      </c>
      <c r="F78" s="2">
        <v>0.85099999999999998</v>
      </c>
      <c r="G78" t="s">
        <v>373</v>
      </c>
      <c r="H78" t="s">
        <v>373</v>
      </c>
      <c r="I78" s="2">
        <v>0</v>
      </c>
      <c r="J78" s="2">
        <v>0</v>
      </c>
      <c r="K78" s="2">
        <v>0</v>
      </c>
      <c r="L78" s="2">
        <v>0</v>
      </c>
      <c r="M78" s="51">
        <v>0</v>
      </c>
      <c r="N78" s="51">
        <v>0</v>
      </c>
      <c r="P78" s="51">
        <v>0</v>
      </c>
      <c r="Q78" s="51">
        <v>34143</v>
      </c>
      <c r="R78" s="51">
        <v>72241</v>
      </c>
      <c r="T78" s="51">
        <v>72241</v>
      </c>
      <c r="U78" s="2">
        <v>0</v>
      </c>
      <c r="V78" s="2">
        <v>0</v>
      </c>
      <c r="W78" t="s">
        <v>373</v>
      </c>
      <c r="X78" t="s">
        <v>373</v>
      </c>
      <c r="Y78">
        <v>392.45</v>
      </c>
      <c r="Z78">
        <v>398.87</v>
      </c>
      <c r="AB78" s="2">
        <v>1</v>
      </c>
      <c r="AC78">
        <v>172.88</v>
      </c>
      <c r="AD78">
        <v>182.7</v>
      </c>
      <c r="AF78" s="2">
        <v>1</v>
      </c>
      <c r="AJ78" t="s">
        <v>373</v>
      </c>
      <c r="AN78" t="s">
        <v>373</v>
      </c>
      <c r="AR78" t="s">
        <v>373</v>
      </c>
      <c r="AS78" t="s">
        <v>10</v>
      </c>
      <c r="AT78" t="str">
        <f t="shared" si="1"/>
        <v>Delphi - 2134HC</v>
      </c>
    </row>
    <row r="79" spans="1:46" x14ac:dyDescent="0.25">
      <c r="A79" t="s">
        <v>316</v>
      </c>
      <c r="B79" t="s">
        <v>253</v>
      </c>
      <c r="C79" t="s">
        <v>87</v>
      </c>
      <c r="D79" s="50">
        <v>46054</v>
      </c>
      <c r="E79" s="2">
        <v>0.84099999999999997</v>
      </c>
      <c r="F79" s="2">
        <v>0.85099999999999998</v>
      </c>
      <c r="G79" t="s">
        <v>373</v>
      </c>
      <c r="H79" t="s">
        <v>373</v>
      </c>
      <c r="I79" s="2">
        <v>0</v>
      </c>
      <c r="J79" s="2">
        <v>0</v>
      </c>
      <c r="K79" s="2">
        <v>0</v>
      </c>
      <c r="L79" s="2">
        <v>0</v>
      </c>
      <c r="M79" s="51">
        <v>0</v>
      </c>
      <c r="N79" s="51">
        <v>0</v>
      </c>
      <c r="P79" s="51">
        <v>0</v>
      </c>
      <c r="Q79" s="51">
        <v>38098</v>
      </c>
      <c r="R79" s="51">
        <v>72241</v>
      </c>
      <c r="T79" s="51">
        <v>72241</v>
      </c>
      <c r="U79" s="2">
        <v>0</v>
      </c>
      <c r="V79" s="2">
        <v>0</v>
      </c>
      <c r="W79" t="s">
        <v>373</v>
      </c>
      <c r="X79" t="s">
        <v>373</v>
      </c>
      <c r="Y79">
        <v>405.3</v>
      </c>
      <c r="Z79">
        <v>398.87</v>
      </c>
      <c r="AB79" s="2">
        <v>1</v>
      </c>
      <c r="AC79">
        <v>192.52</v>
      </c>
      <c r="AD79">
        <v>182.7</v>
      </c>
      <c r="AF79" s="2">
        <v>1</v>
      </c>
      <c r="AJ79" t="s">
        <v>373</v>
      </c>
      <c r="AN79" t="s">
        <v>373</v>
      </c>
      <c r="AR79" t="s">
        <v>373</v>
      </c>
      <c r="AS79" t="s">
        <v>10</v>
      </c>
      <c r="AT79" t="str">
        <f t="shared" si="1"/>
        <v>Delphi - 2134HC</v>
      </c>
    </row>
    <row r="80" spans="1:46" x14ac:dyDescent="0.25">
      <c r="A80" t="s">
        <v>316</v>
      </c>
      <c r="B80" t="s">
        <v>253</v>
      </c>
      <c r="C80" t="s">
        <v>138</v>
      </c>
      <c r="D80" s="50">
        <v>46023</v>
      </c>
      <c r="E80" s="2">
        <v>0.80600000000000005</v>
      </c>
      <c r="F80" s="2">
        <v>0.81200000000000006</v>
      </c>
      <c r="G80" t="s">
        <v>373</v>
      </c>
      <c r="H80" t="s">
        <v>373</v>
      </c>
      <c r="I80" s="2">
        <v>0</v>
      </c>
      <c r="J80" s="2">
        <v>0</v>
      </c>
      <c r="K80" s="2">
        <v>0</v>
      </c>
      <c r="L80" s="2">
        <v>0</v>
      </c>
      <c r="M80" s="51">
        <v>0</v>
      </c>
      <c r="N80" s="51">
        <v>4320</v>
      </c>
      <c r="P80" s="51">
        <v>4320</v>
      </c>
      <c r="Q80" s="51">
        <v>73377</v>
      </c>
      <c r="R80" s="51">
        <v>142379</v>
      </c>
      <c r="T80" s="51">
        <v>142379</v>
      </c>
      <c r="U80" s="2">
        <v>0</v>
      </c>
      <c r="V80" s="2">
        <v>0.03</v>
      </c>
      <c r="W80" t="s">
        <v>373</v>
      </c>
      <c r="X80" t="s">
        <v>373</v>
      </c>
      <c r="Y80">
        <v>421.7</v>
      </c>
      <c r="Z80">
        <v>426.49</v>
      </c>
      <c r="AB80" s="2">
        <v>1</v>
      </c>
      <c r="AC80">
        <v>204.93</v>
      </c>
      <c r="AD80">
        <v>201.76</v>
      </c>
      <c r="AF80" s="2">
        <v>1</v>
      </c>
      <c r="AJ80" t="s">
        <v>373</v>
      </c>
      <c r="AN80" t="s">
        <v>373</v>
      </c>
      <c r="AR80" t="s">
        <v>373</v>
      </c>
      <c r="AS80" t="s">
        <v>10</v>
      </c>
      <c r="AT80" t="str">
        <f t="shared" si="1"/>
        <v>Kokomo WK - 5168HC</v>
      </c>
    </row>
    <row r="81" spans="1:46" x14ac:dyDescent="0.25">
      <c r="A81" t="s">
        <v>316</v>
      </c>
      <c r="B81" t="s">
        <v>253</v>
      </c>
      <c r="C81" t="s">
        <v>138</v>
      </c>
      <c r="D81" s="50">
        <v>46054</v>
      </c>
      <c r="E81" s="2">
        <v>0.81899999999999995</v>
      </c>
      <c r="F81" s="2">
        <v>0.81200000000000006</v>
      </c>
      <c r="G81" t="s">
        <v>373</v>
      </c>
      <c r="H81" t="s">
        <v>373</v>
      </c>
      <c r="I81" s="2">
        <v>0</v>
      </c>
      <c r="J81" s="2">
        <v>0</v>
      </c>
      <c r="K81" s="2">
        <v>0</v>
      </c>
      <c r="L81" s="2">
        <v>0</v>
      </c>
      <c r="M81" s="51">
        <v>4320</v>
      </c>
      <c r="N81" s="51">
        <v>4320</v>
      </c>
      <c r="P81" s="51">
        <v>4320</v>
      </c>
      <c r="Q81" s="51">
        <v>69003</v>
      </c>
      <c r="R81" s="51">
        <v>142379</v>
      </c>
      <c r="T81" s="51">
        <v>142379</v>
      </c>
      <c r="U81" s="2">
        <v>6.3E-2</v>
      </c>
      <c r="V81" s="2">
        <v>0.03</v>
      </c>
      <c r="W81" t="s">
        <v>373</v>
      </c>
      <c r="X81" t="s">
        <v>373</v>
      </c>
      <c r="Y81">
        <v>431.27</v>
      </c>
      <c r="Z81">
        <v>426.49</v>
      </c>
      <c r="AB81" s="2">
        <v>1</v>
      </c>
      <c r="AC81">
        <v>198.59</v>
      </c>
      <c r="AD81">
        <v>201.76</v>
      </c>
      <c r="AF81" s="2">
        <v>1</v>
      </c>
      <c r="AJ81" t="s">
        <v>373</v>
      </c>
      <c r="AN81" t="s">
        <v>373</v>
      </c>
      <c r="AR81" t="s">
        <v>373</v>
      </c>
      <c r="AS81" t="s">
        <v>10</v>
      </c>
      <c r="AT81" t="str">
        <f t="shared" si="1"/>
        <v>Kokomo WK - 5168HC</v>
      </c>
    </row>
    <row r="82" spans="1:46" x14ac:dyDescent="0.25">
      <c r="A82" t="s">
        <v>316</v>
      </c>
      <c r="B82" t="s">
        <v>253</v>
      </c>
      <c r="C82" t="s">
        <v>139</v>
      </c>
      <c r="D82" s="50">
        <v>46023</v>
      </c>
      <c r="E82" s="2">
        <v>0.85899999999999999</v>
      </c>
      <c r="F82" s="2">
        <v>0.871</v>
      </c>
      <c r="G82" t="s">
        <v>373</v>
      </c>
      <c r="H82" t="s">
        <v>373</v>
      </c>
      <c r="I82" s="2">
        <v>0</v>
      </c>
      <c r="J82" s="2">
        <v>0</v>
      </c>
      <c r="K82" s="2">
        <v>0</v>
      </c>
      <c r="L82" s="2">
        <v>0</v>
      </c>
      <c r="M82" s="51">
        <v>4922</v>
      </c>
      <c r="N82" s="51">
        <v>21614</v>
      </c>
      <c r="P82" s="51">
        <v>21614</v>
      </c>
      <c r="Q82" s="51">
        <v>119465</v>
      </c>
      <c r="R82" s="51">
        <v>299804</v>
      </c>
      <c r="T82" s="51">
        <v>299804</v>
      </c>
      <c r="U82" s="2">
        <v>4.1000000000000002E-2</v>
      </c>
      <c r="V82" s="2">
        <v>7.1999999999999995E-2</v>
      </c>
      <c r="W82" t="s">
        <v>373</v>
      </c>
      <c r="X82" t="s">
        <v>373</v>
      </c>
      <c r="Y82">
        <v>356.61</v>
      </c>
      <c r="Z82">
        <v>345.6</v>
      </c>
      <c r="AB82" s="2">
        <v>1</v>
      </c>
      <c r="AC82">
        <v>164.61</v>
      </c>
      <c r="AD82">
        <v>172.97</v>
      </c>
      <c r="AF82" s="2">
        <v>1</v>
      </c>
      <c r="AG82">
        <v>240.5</v>
      </c>
      <c r="AH82">
        <v>253.03</v>
      </c>
      <c r="AJ82" s="2">
        <v>1</v>
      </c>
      <c r="AN82" t="s">
        <v>373</v>
      </c>
      <c r="AO82">
        <v>98.23</v>
      </c>
      <c r="AP82">
        <v>104.18</v>
      </c>
      <c r="AR82" s="2">
        <v>1</v>
      </c>
      <c r="AS82" t="s">
        <v>10</v>
      </c>
      <c r="AT82" t="str">
        <f t="shared" si="1"/>
        <v>Kokomo WP - 106HC</v>
      </c>
    </row>
    <row r="83" spans="1:46" x14ac:dyDescent="0.25">
      <c r="A83" t="s">
        <v>316</v>
      </c>
      <c r="B83" t="s">
        <v>253</v>
      </c>
      <c r="C83" t="s">
        <v>139</v>
      </c>
      <c r="D83" s="50">
        <v>46054</v>
      </c>
      <c r="E83" s="2">
        <v>0.88400000000000001</v>
      </c>
      <c r="F83" s="2">
        <v>0.871</v>
      </c>
      <c r="G83" t="s">
        <v>373</v>
      </c>
      <c r="H83" t="s">
        <v>373</v>
      </c>
      <c r="I83" s="2">
        <v>0</v>
      </c>
      <c r="J83" s="2">
        <v>0</v>
      </c>
      <c r="K83" s="2">
        <v>0</v>
      </c>
      <c r="L83" s="2">
        <v>0</v>
      </c>
      <c r="M83" s="51">
        <v>16692</v>
      </c>
      <c r="N83" s="51">
        <v>21614</v>
      </c>
      <c r="P83" s="51">
        <v>21614</v>
      </c>
      <c r="Q83" s="51">
        <v>180339</v>
      </c>
      <c r="R83" s="51">
        <v>299804</v>
      </c>
      <c r="T83" s="51">
        <v>299804</v>
      </c>
      <c r="U83" s="2">
        <v>9.2999999999999999E-2</v>
      </c>
      <c r="V83" s="2">
        <v>7.1999999999999995E-2</v>
      </c>
      <c r="W83" t="s">
        <v>373</v>
      </c>
      <c r="X83" t="s">
        <v>373</v>
      </c>
      <c r="Y83">
        <v>334.58</v>
      </c>
      <c r="Z83">
        <v>345.6</v>
      </c>
      <c r="AB83" s="2">
        <v>1</v>
      </c>
      <c r="AC83">
        <v>181.34</v>
      </c>
      <c r="AD83">
        <v>172.97</v>
      </c>
      <c r="AF83" s="2">
        <v>1</v>
      </c>
      <c r="AG83">
        <v>265.57</v>
      </c>
      <c r="AH83">
        <v>253.03</v>
      </c>
      <c r="AJ83" s="2">
        <v>1</v>
      </c>
      <c r="AN83" t="s">
        <v>373</v>
      </c>
      <c r="AO83">
        <v>110.12</v>
      </c>
      <c r="AP83">
        <v>104.18</v>
      </c>
      <c r="AR83" s="2">
        <v>1</v>
      </c>
      <c r="AS83" t="s">
        <v>10</v>
      </c>
      <c r="AT83" t="str">
        <f t="shared" si="1"/>
        <v>Kokomo WP - 106HC</v>
      </c>
    </row>
    <row r="84" spans="1:46" x14ac:dyDescent="0.25">
      <c r="A84" t="s">
        <v>316</v>
      </c>
      <c r="B84" t="s">
        <v>253</v>
      </c>
      <c r="C84" t="s">
        <v>143</v>
      </c>
      <c r="D84" s="50">
        <v>46023</v>
      </c>
      <c r="E84" s="2">
        <v>0.94399999999999995</v>
      </c>
      <c r="F84" s="2">
        <v>0.92600000000000005</v>
      </c>
      <c r="G84" t="s">
        <v>373</v>
      </c>
      <c r="H84" t="s">
        <v>373</v>
      </c>
      <c r="I84" s="2">
        <v>0</v>
      </c>
      <c r="J84" s="2">
        <v>0</v>
      </c>
      <c r="K84" s="2">
        <v>0</v>
      </c>
      <c r="L84" s="2">
        <v>0</v>
      </c>
      <c r="M84" s="51">
        <v>1984</v>
      </c>
      <c r="N84" s="51">
        <v>4196</v>
      </c>
      <c r="P84" s="51">
        <v>4196</v>
      </c>
      <c r="Q84" s="51">
        <v>171803</v>
      </c>
      <c r="R84" s="51">
        <v>366954</v>
      </c>
      <c r="T84" s="51">
        <v>366954</v>
      </c>
      <c r="U84" s="2">
        <v>1.2E-2</v>
      </c>
      <c r="V84" s="2">
        <v>1.0999999999999999E-2</v>
      </c>
      <c r="W84" t="s">
        <v>373</v>
      </c>
      <c r="X84" t="s">
        <v>373</v>
      </c>
      <c r="Y84">
        <v>449.75</v>
      </c>
      <c r="Z84">
        <v>456.64</v>
      </c>
      <c r="AB84" s="2">
        <v>1</v>
      </c>
      <c r="AC84">
        <v>189.44</v>
      </c>
      <c r="AD84">
        <v>198.88</v>
      </c>
      <c r="AF84" s="2">
        <v>1</v>
      </c>
      <c r="AG84">
        <v>267.75</v>
      </c>
      <c r="AH84">
        <v>281.45999999999998</v>
      </c>
      <c r="AJ84" s="2">
        <v>1</v>
      </c>
      <c r="AN84" t="s">
        <v>373</v>
      </c>
      <c r="AO84">
        <v>115.28</v>
      </c>
      <c r="AP84">
        <v>121.41</v>
      </c>
      <c r="AR84" s="2">
        <v>1</v>
      </c>
      <c r="AS84" t="s">
        <v>10</v>
      </c>
      <c r="AT84" t="str">
        <f t="shared" si="1"/>
        <v>Lafayette CS - 133HC</v>
      </c>
    </row>
    <row r="85" spans="1:46" x14ac:dyDescent="0.25">
      <c r="A85" t="s">
        <v>316</v>
      </c>
      <c r="B85" t="s">
        <v>253</v>
      </c>
      <c r="C85" t="s">
        <v>143</v>
      </c>
      <c r="D85" s="50">
        <v>46054</v>
      </c>
      <c r="E85" s="2">
        <v>0.90700000000000003</v>
      </c>
      <c r="F85" s="2">
        <v>0.92600000000000005</v>
      </c>
      <c r="G85" t="s">
        <v>373</v>
      </c>
      <c r="H85" t="s">
        <v>373</v>
      </c>
      <c r="I85" s="2">
        <v>0</v>
      </c>
      <c r="J85" s="2">
        <v>0</v>
      </c>
      <c r="K85" s="2">
        <v>0</v>
      </c>
      <c r="L85" s="2">
        <v>0</v>
      </c>
      <c r="M85" s="51">
        <v>2212</v>
      </c>
      <c r="N85" s="51">
        <v>4196</v>
      </c>
      <c r="P85" s="51">
        <v>4196</v>
      </c>
      <c r="Q85" s="51">
        <v>195151</v>
      </c>
      <c r="R85" s="51">
        <v>366954</v>
      </c>
      <c r="T85" s="51">
        <v>366954</v>
      </c>
      <c r="U85" s="2">
        <v>1.0999999999999999E-2</v>
      </c>
      <c r="V85" s="2">
        <v>1.0999999999999999E-2</v>
      </c>
      <c r="W85" t="s">
        <v>373</v>
      </c>
      <c r="X85" t="s">
        <v>373</v>
      </c>
      <c r="Y85">
        <v>463.54</v>
      </c>
      <c r="Z85">
        <v>456.64</v>
      </c>
      <c r="AB85" s="2">
        <v>1</v>
      </c>
      <c r="AC85">
        <v>208.31</v>
      </c>
      <c r="AD85">
        <v>198.88</v>
      </c>
      <c r="AF85" s="2">
        <v>1</v>
      </c>
      <c r="AG85">
        <v>295.16000000000003</v>
      </c>
      <c r="AH85">
        <v>281.45999999999998</v>
      </c>
      <c r="AJ85" s="2">
        <v>1</v>
      </c>
      <c r="AN85" t="s">
        <v>373</v>
      </c>
      <c r="AO85">
        <v>127.54</v>
      </c>
      <c r="AP85">
        <v>121.41</v>
      </c>
      <c r="AR85" s="2">
        <v>1</v>
      </c>
      <c r="AS85" t="s">
        <v>10</v>
      </c>
      <c r="AT85" t="str">
        <f t="shared" si="1"/>
        <v>Lafayette CS - 133HC</v>
      </c>
    </row>
    <row r="86" spans="1:46" x14ac:dyDescent="0.25">
      <c r="A86" t="s">
        <v>316</v>
      </c>
      <c r="B86" t="s">
        <v>253</v>
      </c>
      <c r="C86" t="s">
        <v>144</v>
      </c>
      <c r="D86" s="50">
        <v>46023</v>
      </c>
      <c r="E86" s="2">
        <v>0.88400000000000001</v>
      </c>
      <c r="F86" s="2">
        <v>0.86599999999999999</v>
      </c>
      <c r="G86" t="s">
        <v>373</v>
      </c>
      <c r="H86" t="s">
        <v>373</v>
      </c>
      <c r="I86" s="2">
        <v>0</v>
      </c>
      <c r="J86" s="2">
        <v>0</v>
      </c>
      <c r="K86" s="2">
        <v>0</v>
      </c>
      <c r="L86" s="2">
        <v>0</v>
      </c>
      <c r="M86" s="51">
        <v>4920</v>
      </c>
      <c r="N86" s="51">
        <v>6760</v>
      </c>
      <c r="P86" s="51">
        <v>6760</v>
      </c>
      <c r="Q86" s="51">
        <v>123787</v>
      </c>
      <c r="R86" s="51">
        <v>236469</v>
      </c>
      <c r="T86" s="51">
        <v>236469</v>
      </c>
      <c r="U86" s="2">
        <v>0.04</v>
      </c>
      <c r="V86" s="2">
        <v>2.9000000000000001E-2</v>
      </c>
      <c r="W86" t="s">
        <v>373</v>
      </c>
      <c r="X86" t="s">
        <v>373</v>
      </c>
      <c r="Y86">
        <v>467.12</v>
      </c>
      <c r="Z86">
        <v>494.4</v>
      </c>
      <c r="AB86" s="2">
        <v>1</v>
      </c>
      <c r="AC86">
        <v>200.04</v>
      </c>
      <c r="AD86">
        <v>209.45</v>
      </c>
      <c r="AF86" s="2">
        <v>1</v>
      </c>
      <c r="AG86">
        <v>241.41</v>
      </c>
      <c r="AH86">
        <v>253.45</v>
      </c>
      <c r="AJ86" s="2">
        <v>1</v>
      </c>
      <c r="AN86" t="s">
        <v>373</v>
      </c>
      <c r="AR86" t="s">
        <v>373</v>
      </c>
      <c r="AS86" t="s">
        <v>10</v>
      </c>
      <c r="AT86" t="str">
        <f t="shared" si="1"/>
        <v>Lafayette SL - 5162HC</v>
      </c>
    </row>
    <row r="87" spans="1:46" x14ac:dyDescent="0.25">
      <c r="A87" t="s">
        <v>316</v>
      </c>
      <c r="B87" t="s">
        <v>253</v>
      </c>
      <c r="C87" t="s">
        <v>144</v>
      </c>
      <c r="D87" s="50">
        <v>46054</v>
      </c>
      <c r="E87" s="2">
        <v>0.84499999999999997</v>
      </c>
      <c r="F87" s="2">
        <v>0.86599999999999999</v>
      </c>
      <c r="G87" t="s">
        <v>373</v>
      </c>
      <c r="H87" t="s">
        <v>373</v>
      </c>
      <c r="I87" s="2">
        <v>0</v>
      </c>
      <c r="J87" s="2">
        <v>0</v>
      </c>
      <c r="K87" s="2">
        <v>0</v>
      </c>
      <c r="L87" s="2">
        <v>0</v>
      </c>
      <c r="M87" s="51">
        <v>1840</v>
      </c>
      <c r="N87" s="51">
        <v>6760</v>
      </c>
      <c r="P87" s="51">
        <v>6760</v>
      </c>
      <c r="Q87" s="51">
        <v>112682</v>
      </c>
      <c r="R87" s="51">
        <v>236469</v>
      </c>
      <c r="T87" s="51">
        <v>236469</v>
      </c>
      <c r="U87" s="2">
        <v>1.6E-2</v>
      </c>
      <c r="V87" s="2">
        <v>2.9000000000000001E-2</v>
      </c>
      <c r="W87" t="s">
        <v>373</v>
      </c>
      <c r="X87" t="s">
        <v>373</v>
      </c>
      <c r="Y87">
        <v>521.67999999999995</v>
      </c>
      <c r="Z87">
        <v>494.4</v>
      </c>
      <c r="AB87" s="2">
        <v>1</v>
      </c>
      <c r="AC87">
        <v>218.85</v>
      </c>
      <c r="AD87">
        <v>209.45</v>
      </c>
      <c r="AF87" s="2">
        <v>1</v>
      </c>
      <c r="AG87">
        <v>265.5</v>
      </c>
      <c r="AH87">
        <v>253.45</v>
      </c>
      <c r="AJ87" s="2">
        <v>1</v>
      </c>
      <c r="AN87" t="s">
        <v>373</v>
      </c>
      <c r="AR87" t="s">
        <v>373</v>
      </c>
      <c r="AS87" t="s">
        <v>10</v>
      </c>
      <c r="AT87" t="str">
        <f t="shared" si="1"/>
        <v>Lafayette SL - 5162HC</v>
      </c>
    </row>
    <row r="88" spans="1:46" x14ac:dyDescent="0.25">
      <c r="A88" t="s">
        <v>316</v>
      </c>
      <c r="B88" t="s">
        <v>253</v>
      </c>
      <c r="C88" t="s">
        <v>146</v>
      </c>
      <c r="D88" s="50">
        <v>46023</v>
      </c>
      <c r="E88" s="2">
        <v>0.91800000000000004</v>
      </c>
      <c r="F88" s="2">
        <v>0.93899999999999995</v>
      </c>
      <c r="G88" t="s">
        <v>373</v>
      </c>
      <c r="H88" t="s">
        <v>373</v>
      </c>
      <c r="I88" s="2">
        <v>0</v>
      </c>
      <c r="J88" s="2">
        <v>0</v>
      </c>
      <c r="K88" s="2">
        <v>0</v>
      </c>
      <c r="L88" s="2">
        <v>0</v>
      </c>
      <c r="M88" s="51">
        <v>2608</v>
      </c>
      <c r="N88" s="51">
        <v>4512</v>
      </c>
      <c r="P88" s="51">
        <v>4512</v>
      </c>
      <c r="Q88" s="51">
        <v>172151</v>
      </c>
      <c r="R88" s="51">
        <v>385451</v>
      </c>
      <c r="T88" s="51">
        <v>385451</v>
      </c>
      <c r="U88" s="2">
        <v>1.4999999999999999E-2</v>
      </c>
      <c r="V88" s="2">
        <v>1.2E-2</v>
      </c>
      <c r="W88" t="s">
        <v>373</v>
      </c>
      <c r="X88" t="s">
        <v>373</v>
      </c>
      <c r="Y88">
        <v>409.88</v>
      </c>
      <c r="Z88">
        <v>414.06</v>
      </c>
      <c r="AB88" s="2">
        <v>1</v>
      </c>
      <c r="AF88" t="s">
        <v>373</v>
      </c>
      <c r="AJ88" t="s">
        <v>373</v>
      </c>
      <c r="AN88" t="s">
        <v>373</v>
      </c>
      <c r="AR88" t="s">
        <v>373</v>
      </c>
      <c r="AS88" t="s">
        <v>10</v>
      </c>
      <c r="AT88" t="str">
        <f t="shared" si="1"/>
        <v>Lafayette SM - 2136HC</v>
      </c>
    </row>
    <row r="89" spans="1:46" x14ac:dyDescent="0.25">
      <c r="A89" t="s">
        <v>316</v>
      </c>
      <c r="B89" t="s">
        <v>253</v>
      </c>
      <c r="C89" t="s">
        <v>146</v>
      </c>
      <c r="D89" s="50">
        <v>46054</v>
      </c>
      <c r="E89" s="2">
        <v>0.96299999999999997</v>
      </c>
      <c r="F89" s="2">
        <v>0.93899999999999995</v>
      </c>
      <c r="G89" t="s">
        <v>373</v>
      </c>
      <c r="H89" t="s">
        <v>373</v>
      </c>
      <c r="I89" s="2">
        <v>0</v>
      </c>
      <c r="J89" s="2">
        <v>0</v>
      </c>
      <c r="K89" s="2">
        <v>0</v>
      </c>
      <c r="L89" s="2">
        <v>0</v>
      </c>
      <c r="M89" s="51">
        <v>1904</v>
      </c>
      <c r="N89" s="51">
        <v>4512</v>
      </c>
      <c r="P89" s="51">
        <v>4512</v>
      </c>
      <c r="Q89" s="51">
        <v>213300</v>
      </c>
      <c r="R89" s="51">
        <v>385451</v>
      </c>
      <c r="T89" s="51">
        <v>385451</v>
      </c>
      <c r="U89" s="2">
        <v>8.9999999999999993E-3</v>
      </c>
      <c r="V89" s="2">
        <v>1.2E-2</v>
      </c>
      <c r="W89" t="s">
        <v>373</v>
      </c>
      <c r="X89" t="s">
        <v>373</v>
      </c>
      <c r="Y89">
        <v>418.24</v>
      </c>
      <c r="Z89">
        <v>414.06</v>
      </c>
      <c r="AB89" s="2">
        <v>1</v>
      </c>
      <c r="AF89" t="s">
        <v>373</v>
      </c>
      <c r="AJ89" t="s">
        <v>373</v>
      </c>
      <c r="AN89" t="s">
        <v>373</v>
      </c>
      <c r="AR89" t="s">
        <v>373</v>
      </c>
      <c r="AS89" t="s">
        <v>10</v>
      </c>
      <c r="AT89" t="str">
        <f t="shared" si="1"/>
        <v>Lafayette SM - 2136HC</v>
      </c>
    </row>
    <row r="90" spans="1:46" x14ac:dyDescent="0.25">
      <c r="A90" t="s">
        <v>316</v>
      </c>
      <c r="B90" t="s">
        <v>253</v>
      </c>
      <c r="C90" t="s">
        <v>151</v>
      </c>
      <c r="D90" s="50">
        <v>46023</v>
      </c>
      <c r="E90" s="2">
        <v>0.77100000000000002</v>
      </c>
      <c r="F90" s="2">
        <v>0.79800000000000004</v>
      </c>
      <c r="G90" t="s">
        <v>373</v>
      </c>
      <c r="H90" t="s">
        <v>373</v>
      </c>
      <c r="I90" s="2">
        <v>0</v>
      </c>
      <c r="J90" s="2">
        <v>0</v>
      </c>
      <c r="K90" s="2">
        <v>0</v>
      </c>
      <c r="L90" s="2">
        <v>0</v>
      </c>
      <c r="M90" s="51">
        <v>0</v>
      </c>
      <c r="N90" s="51">
        <v>0</v>
      </c>
      <c r="P90" s="51">
        <v>0</v>
      </c>
      <c r="Q90" s="51">
        <v>19207</v>
      </c>
      <c r="R90" s="51">
        <v>75731</v>
      </c>
      <c r="T90" s="51">
        <v>75731</v>
      </c>
      <c r="U90" s="2">
        <v>0</v>
      </c>
      <c r="V90" s="2">
        <v>0</v>
      </c>
      <c r="W90" t="s">
        <v>373</v>
      </c>
      <c r="X90" t="s">
        <v>373</v>
      </c>
      <c r="Y90">
        <v>349.22</v>
      </c>
      <c r="Z90">
        <v>323.36</v>
      </c>
      <c r="AB90" s="2">
        <v>1</v>
      </c>
      <c r="AC90">
        <v>177.36</v>
      </c>
      <c r="AD90">
        <v>185.98</v>
      </c>
      <c r="AF90" s="2">
        <v>1</v>
      </c>
      <c r="AG90">
        <v>272.51</v>
      </c>
      <c r="AH90">
        <v>287.45</v>
      </c>
      <c r="AJ90" s="2">
        <v>1</v>
      </c>
      <c r="AN90" t="s">
        <v>373</v>
      </c>
      <c r="AR90" t="s">
        <v>373</v>
      </c>
      <c r="AS90" t="s">
        <v>10</v>
      </c>
      <c r="AT90" t="str">
        <f t="shared" si="1"/>
        <v>Lebanon - 104HC</v>
      </c>
    </row>
    <row r="91" spans="1:46" x14ac:dyDescent="0.25">
      <c r="A91" t="s">
        <v>316</v>
      </c>
      <c r="B91" t="s">
        <v>253</v>
      </c>
      <c r="C91" t="s">
        <v>151</v>
      </c>
      <c r="D91" s="50">
        <v>46054</v>
      </c>
      <c r="E91" s="2">
        <v>0.82699999999999996</v>
      </c>
      <c r="F91" s="2">
        <v>0.79800000000000004</v>
      </c>
      <c r="G91" t="s">
        <v>373</v>
      </c>
      <c r="H91" t="s">
        <v>373</v>
      </c>
      <c r="I91" s="2">
        <v>0</v>
      </c>
      <c r="J91" s="2">
        <v>0</v>
      </c>
      <c r="K91" s="2">
        <v>0</v>
      </c>
      <c r="L91" s="2">
        <v>0</v>
      </c>
      <c r="M91" s="51">
        <v>0</v>
      </c>
      <c r="N91" s="51">
        <v>0</v>
      </c>
      <c r="P91" s="51">
        <v>0</v>
      </c>
      <c r="Q91" s="51">
        <v>56524</v>
      </c>
      <c r="R91" s="51">
        <v>75731</v>
      </c>
      <c r="T91" s="51">
        <v>75731</v>
      </c>
      <c r="U91" s="2">
        <v>0</v>
      </c>
      <c r="V91" s="2">
        <v>0</v>
      </c>
      <c r="W91" t="s">
        <v>373</v>
      </c>
      <c r="X91" t="s">
        <v>373</v>
      </c>
      <c r="Y91">
        <v>297.49</v>
      </c>
      <c r="Z91">
        <v>323.36</v>
      </c>
      <c r="AB91" s="2">
        <v>1</v>
      </c>
      <c r="AC91">
        <v>194.6</v>
      </c>
      <c r="AD91">
        <v>185.98</v>
      </c>
      <c r="AF91" s="2">
        <v>1</v>
      </c>
      <c r="AG91">
        <v>302.39</v>
      </c>
      <c r="AH91">
        <v>287.45</v>
      </c>
      <c r="AJ91" s="2">
        <v>1</v>
      </c>
      <c r="AN91" t="s">
        <v>373</v>
      </c>
      <c r="AR91" t="s">
        <v>373</v>
      </c>
      <c r="AS91" t="s">
        <v>10</v>
      </c>
      <c r="AT91" t="str">
        <f t="shared" si="1"/>
        <v>Lebanon - 104HC</v>
      </c>
    </row>
    <row r="92" spans="1:46" x14ac:dyDescent="0.25">
      <c r="A92" t="s">
        <v>316</v>
      </c>
      <c r="B92" t="s">
        <v>253</v>
      </c>
      <c r="C92" t="s">
        <v>190</v>
      </c>
      <c r="D92" s="50">
        <v>46023</v>
      </c>
      <c r="E92" s="2">
        <v>0.91300000000000003</v>
      </c>
      <c r="F92" s="2">
        <v>0.91300000000000003</v>
      </c>
      <c r="G92" t="s">
        <v>373</v>
      </c>
      <c r="H92" t="s">
        <v>373</v>
      </c>
      <c r="I92" s="2">
        <v>0</v>
      </c>
      <c r="J92" s="2">
        <v>0</v>
      </c>
      <c r="K92" s="2">
        <v>0</v>
      </c>
      <c r="L92" s="2">
        <v>0</v>
      </c>
      <c r="M92" s="51">
        <v>1788</v>
      </c>
      <c r="N92" s="51">
        <v>1928</v>
      </c>
      <c r="P92" s="51">
        <v>1928</v>
      </c>
      <c r="Q92" s="51">
        <v>204390</v>
      </c>
      <c r="R92" s="51">
        <v>396455</v>
      </c>
      <c r="T92" s="51">
        <v>396455</v>
      </c>
      <c r="U92" s="2">
        <v>8.9999999999999993E-3</v>
      </c>
      <c r="V92" s="2">
        <v>5.0000000000000001E-3</v>
      </c>
      <c r="W92" t="s">
        <v>373</v>
      </c>
      <c r="X92" t="s">
        <v>373</v>
      </c>
      <c r="Y92">
        <v>409.6</v>
      </c>
      <c r="Z92">
        <v>403.62</v>
      </c>
      <c r="AB92" s="2">
        <v>1</v>
      </c>
      <c r="AC92">
        <v>230.74</v>
      </c>
      <c r="AD92">
        <v>242.21</v>
      </c>
      <c r="AF92" s="2">
        <v>1</v>
      </c>
      <c r="AG92">
        <v>248.58</v>
      </c>
      <c r="AH92">
        <v>261.83</v>
      </c>
      <c r="AJ92" s="2">
        <v>1</v>
      </c>
      <c r="AN92" t="s">
        <v>373</v>
      </c>
      <c r="AO92">
        <v>112.58</v>
      </c>
      <c r="AP92">
        <v>118.52</v>
      </c>
      <c r="AR92" s="2">
        <v>1</v>
      </c>
      <c r="AS92" t="s">
        <v>10</v>
      </c>
      <c r="AT92" t="str">
        <f t="shared" si="1"/>
        <v>Muncie - 128HC</v>
      </c>
    </row>
    <row r="93" spans="1:46" x14ac:dyDescent="0.25">
      <c r="A93" t="s">
        <v>316</v>
      </c>
      <c r="B93" t="s">
        <v>253</v>
      </c>
      <c r="C93" t="s">
        <v>190</v>
      </c>
      <c r="D93" s="50">
        <v>46054</v>
      </c>
      <c r="E93" s="2">
        <v>0.91300000000000003</v>
      </c>
      <c r="F93" s="2">
        <v>0.91300000000000003</v>
      </c>
      <c r="G93" t="s">
        <v>373</v>
      </c>
      <c r="H93" t="s">
        <v>373</v>
      </c>
      <c r="I93" s="2">
        <v>0</v>
      </c>
      <c r="J93" s="2">
        <v>0</v>
      </c>
      <c r="K93" s="2">
        <v>0</v>
      </c>
      <c r="L93" s="2">
        <v>0</v>
      </c>
      <c r="M93" s="51">
        <v>140</v>
      </c>
      <c r="N93" s="51">
        <v>1928</v>
      </c>
      <c r="P93" s="51">
        <v>1928</v>
      </c>
      <c r="Q93" s="51">
        <v>192065</v>
      </c>
      <c r="R93" s="51">
        <v>396455</v>
      </c>
      <c r="T93" s="51">
        <v>396455</v>
      </c>
      <c r="U93" s="2">
        <v>1E-3</v>
      </c>
      <c r="V93" s="2">
        <v>5.0000000000000001E-3</v>
      </c>
      <c r="W93" t="s">
        <v>373</v>
      </c>
      <c r="X93" t="s">
        <v>373</v>
      </c>
      <c r="Y93">
        <v>397.65</v>
      </c>
      <c r="Z93">
        <v>403.62</v>
      </c>
      <c r="AB93" s="2">
        <v>1</v>
      </c>
      <c r="AC93">
        <v>253.69</v>
      </c>
      <c r="AD93">
        <v>242.21</v>
      </c>
      <c r="AF93" s="2">
        <v>1</v>
      </c>
      <c r="AG93">
        <v>275.08</v>
      </c>
      <c r="AH93">
        <v>261.83</v>
      </c>
      <c r="AJ93" s="2">
        <v>1</v>
      </c>
      <c r="AN93" t="s">
        <v>373</v>
      </c>
      <c r="AO93">
        <v>124.46</v>
      </c>
      <c r="AP93">
        <v>118.52</v>
      </c>
      <c r="AR93" s="2">
        <v>1</v>
      </c>
      <c r="AS93" t="s">
        <v>10</v>
      </c>
      <c r="AT93" t="str">
        <f t="shared" si="1"/>
        <v>Muncie - 128HC</v>
      </c>
    </row>
    <row r="94" spans="1:46" x14ac:dyDescent="0.25">
      <c r="A94" t="s">
        <v>316</v>
      </c>
      <c r="B94" t="s">
        <v>253</v>
      </c>
      <c r="C94" t="s">
        <v>201</v>
      </c>
      <c r="D94" s="50">
        <v>46023</v>
      </c>
      <c r="E94" s="2">
        <v>0.97799999999999998</v>
      </c>
      <c r="F94" s="2">
        <v>0.97799999999999998</v>
      </c>
      <c r="G94" t="s">
        <v>373</v>
      </c>
      <c r="H94" t="s">
        <v>373</v>
      </c>
      <c r="I94" s="2">
        <v>0</v>
      </c>
      <c r="J94" s="2">
        <v>0</v>
      </c>
      <c r="K94" s="2">
        <v>0</v>
      </c>
      <c r="L94" s="2">
        <v>0</v>
      </c>
      <c r="M94" s="51">
        <v>360</v>
      </c>
      <c r="N94" s="51">
        <v>360</v>
      </c>
      <c r="P94" s="51">
        <v>360</v>
      </c>
      <c r="Q94" s="51">
        <v>192501</v>
      </c>
      <c r="R94" s="51">
        <v>371613</v>
      </c>
      <c r="T94" s="51">
        <v>371613</v>
      </c>
      <c r="U94" s="2">
        <v>2E-3</v>
      </c>
      <c r="V94" s="2">
        <v>1E-3</v>
      </c>
      <c r="W94" t="s">
        <v>373</v>
      </c>
      <c r="X94" t="s">
        <v>373</v>
      </c>
      <c r="Y94">
        <v>415.77</v>
      </c>
      <c r="Z94">
        <v>416.15</v>
      </c>
      <c r="AB94" s="2">
        <v>1</v>
      </c>
      <c r="AC94">
        <v>170.57</v>
      </c>
      <c r="AD94">
        <v>177.97</v>
      </c>
      <c r="AF94" s="2">
        <v>1</v>
      </c>
      <c r="AG94">
        <v>237.51</v>
      </c>
      <c r="AH94">
        <v>250.16</v>
      </c>
      <c r="AJ94" s="2">
        <v>1</v>
      </c>
      <c r="AN94" t="s">
        <v>373</v>
      </c>
      <c r="AR94" t="s">
        <v>373</v>
      </c>
      <c r="AS94" t="s">
        <v>10</v>
      </c>
      <c r="AT94" t="str">
        <f t="shared" si="1"/>
        <v>Noblesville - 141HC</v>
      </c>
    </row>
    <row r="95" spans="1:46" x14ac:dyDescent="0.25">
      <c r="A95" t="s">
        <v>316</v>
      </c>
      <c r="B95" t="s">
        <v>253</v>
      </c>
      <c r="C95" t="s">
        <v>201</v>
      </c>
      <c r="D95" s="50">
        <v>46054</v>
      </c>
      <c r="E95" s="2">
        <v>0.97799999999999998</v>
      </c>
      <c r="F95" s="2">
        <v>0.97799999999999998</v>
      </c>
      <c r="G95" t="s">
        <v>373</v>
      </c>
      <c r="H95" t="s">
        <v>373</v>
      </c>
      <c r="I95" s="2">
        <v>0</v>
      </c>
      <c r="J95" s="2">
        <v>0</v>
      </c>
      <c r="K95" s="2">
        <v>0</v>
      </c>
      <c r="L95" s="2">
        <v>0</v>
      </c>
      <c r="M95" s="51">
        <v>0</v>
      </c>
      <c r="N95" s="51">
        <v>360</v>
      </c>
      <c r="P95" s="51">
        <v>360</v>
      </c>
      <c r="Q95" s="51">
        <v>179112</v>
      </c>
      <c r="R95" s="51">
        <v>371613</v>
      </c>
      <c r="T95" s="51">
        <v>371613</v>
      </c>
      <c r="U95" s="2">
        <v>0</v>
      </c>
      <c r="V95" s="2">
        <v>1E-3</v>
      </c>
      <c r="W95" t="s">
        <v>373</v>
      </c>
      <c r="X95" t="s">
        <v>373</v>
      </c>
      <c r="Y95">
        <v>416.54</v>
      </c>
      <c r="Z95">
        <v>416.15</v>
      </c>
      <c r="AB95" s="2">
        <v>1</v>
      </c>
      <c r="AC95">
        <v>185.37</v>
      </c>
      <c r="AD95">
        <v>177.97</v>
      </c>
      <c r="AF95" s="2">
        <v>1</v>
      </c>
      <c r="AG95">
        <v>262.81</v>
      </c>
      <c r="AH95">
        <v>250.16</v>
      </c>
      <c r="AJ95" s="2">
        <v>1</v>
      </c>
      <c r="AN95" t="s">
        <v>373</v>
      </c>
      <c r="AR95" t="s">
        <v>373</v>
      </c>
      <c r="AS95" t="s">
        <v>10</v>
      </c>
      <c r="AT95" t="str">
        <f t="shared" si="1"/>
        <v>Noblesville - 141HC</v>
      </c>
    </row>
    <row r="96" spans="1:46" x14ac:dyDescent="0.25">
      <c r="A96" t="s">
        <v>316</v>
      </c>
      <c r="B96" t="s">
        <v>253</v>
      </c>
      <c r="C96" t="s">
        <v>245</v>
      </c>
      <c r="D96" s="50">
        <v>46023</v>
      </c>
      <c r="E96" s="2">
        <v>0.83599999999999997</v>
      </c>
      <c r="F96" s="2">
        <v>0.84299999999999997</v>
      </c>
      <c r="G96" t="s">
        <v>373</v>
      </c>
      <c r="H96" t="s">
        <v>373</v>
      </c>
      <c r="I96" s="2">
        <v>0</v>
      </c>
      <c r="J96" s="2">
        <v>0</v>
      </c>
      <c r="K96" s="2">
        <v>0</v>
      </c>
      <c r="L96" s="2">
        <v>0</v>
      </c>
      <c r="M96" s="51">
        <v>0</v>
      </c>
      <c r="N96" s="51">
        <v>0</v>
      </c>
      <c r="P96" s="51">
        <v>0</v>
      </c>
      <c r="Q96" s="51">
        <v>109300</v>
      </c>
      <c r="R96" s="51">
        <v>156381</v>
      </c>
      <c r="T96" s="51">
        <v>156381</v>
      </c>
      <c r="U96" s="2">
        <v>0</v>
      </c>
      <c r="V96" s="2">
        <v>0</v>
      </c>
      <c r="W96" t="s">
        <v>373</v>
      </c>
      <c r="X96" t="s">
        <v>373</v>
      </c>
      <c r="Y96">
        <v>435.46</v>
      </c>
      <c r="Z96">
        <v>455.51</v>
      </c>
      <c r="AB96" s="2">
        <v>1</v>
      </c>
      <c r="AC96">
        <v>168.74</v>
      </c>
      <c r="AD96">
        <v>171.83</v>
      </c>
      <c r="AF96" s="2">
        <v>1</v>
      </c>
      <c r="AJ96" t="s">
        <v>373</v>
      </c>
      <c r="AN96" t="s">
        <v>373</v>
      </c>
      <c r="AR96" t="s">
        <v>373</v>
      </c>
      <c r="AS96" t="s">
        <v>10</v>
      </c>
      <c r="AT96" t="str">
        <f t="shared" si="1"/>
        <v>West Lafayette - 2135HC</v>
      </c>
    </row>
    <row r="97" spans="1:46" x14ac:dyDescent="0.25">
      <c r="A97" t="s">
        <v>316</v>
      </c>
      <c r="B97" t="s">
        <v>253</v>
      </c>
      <c r="C97" t="s">
        <v>245</v>
      </c>
      <c r="D97" s="50">
        <v>46054</v>
      </c>
      <c r="E97" s="2">
        <v>0.85199999999999998</v>
      </c>
      <c r="F97" s="2">
        <v>0.84299999999999997</v>
      </c>
      <c r="G97" t="s">
        <v>373</v>
      </c>
      <c r="H97" t="s">
        <v>373</v>
      </c>
      <c r="I97" s="2">
        <v>0</v>
      </c>
      <c r="J97" s="2">
        <v>0</v>
      </c>
      <c r="K97" s="2">
        <v>0</v>
      </c>
      <c r="L97" s="2">
        <v>0</v>
      </c>
      <c r="M97" s="51">
        <v>0</v>
      </c>
      <c r="N97" s="51">
        <v>0</v>
      </c>
      <c r="P97" s="51">
        <v>0</v>
      </c>
      <c r="Q97" s="51">
        <v>47081</v>
      </c>
      <c r="R97" s="51">
        <v>156381</v>
      </c>
      <c r="T97" s="51">
        <v>156381</v>
      </c>
      <c r="U97" s="2">
        <v>0</v>
      </c>
      <c r="V97" s="2">
        <v>0</v>
      </c>
      <c r="W97" t="s">
        <v>373</v>
      </c>
      <c r="X97" t="s">
        <v>373</v>
      </c>
      <c r="Y97">
        <v>475.57</v>
      </c>
      <c r="Z97">
        <v>455.51</v>
      </c>
      <c r="AB97" s="2">
        <v>1</v>
      </c>
      <c r="AC97">
        <v>174.92</v>
      </c>
      <c r="AD97">
        <v>171.83</v>
      </c>
      <c r="AF97" s="2">
        <v>1</v>
      </c>
      <c r="AJ97" t="s">
        <v>373</v>
      </c>
      <c r="AN97" t="s">
        <v>373</v>
      </c>
      <c r="AR97" t="s">
        <v>373</v>
      </c>
      <c r="AS97" t="s">
        <v>10</v>
      </c>
      <c r="AT97" t="str">
        <f t="shared" si="1"/>
        <v>West Lafayette - 2135HC</v>
      </c>
    </row>
    <row r="98" spans="1:46" x14ac:dyDescent="0.25">
      <c r="A98" t="s">
        <v>316</v>
      </c>
      <c r="B98" t="s">
        <v>254</v>
      </c>
      <c r="C98" t="s">
        <v>272</v>
      </c>
      <c r="D98" s="50">
        <v>46023</v>
      </c>
      <c r="E98" s="2">
        <v>0.83499999999999996</v>
      </c>
      <c r="F98" s="2">
        <v>0.83499999999999996</v>
      </c>
      <c r="G98" t="s">
        <v>373</v>
      </c>
      <c r="H98" t="s">
        <v>373</v>
      </c>
      <c r="I98" s="2">
        <v>0.5</v>
      </c>
      <c r="J98" s="2">
        <v>0.5</v>
      </c>
      <c r="K98" s="2">
        <v>0</v>
      </c>
      <c r="L98" s="2">
        <v>0.5</v>
      </c>
      <c r="M98" s="51">
        <v>1150</v>
      </c>
      <c r="N98" s="51">
        <v>1970</v>
      </c>
      <c r="P98" s="51">
        <v>1970</v>
      </c>
      <c r="Q98" s="51">
        <v>166615</v>
      </c>
      <c r="R98" s="51">
        <v>292990</v>
      </c>
      <c r="T98" s="51">
        <v>292990</v>
      </c>
      <c r="U98" s="2">
        <v>7.0000000000000001E-3</v>
      </c>
      <c r="V98" s="2">
        <v>7.0000000000000001E-3</v>
      </c>
      <c r="W98" t="s">
        <v>373</v>
      </c>
      <c r="X98" t="s">
        <v>373</v>
      </c>
      <c r="Y98">
        <v>402.45</v>
      </c>
      <c r="Z98">
        <v>408.4</v>
      </c>
      <c r="AB98" s="2">
        <v>1</v>
      </c>
      <c r="AF98" t="s">
        <v>373</v>
      </c>
      <c r="AJ98" t="s">
        <v>373</v>
      </c>
      <c r="AN98" t="s">
        <v>373</v>
      </c>
      <c r="AR98" t="s">
        <v>373</v>
      </c>
      <c r="AS98" t="s">
        <v>10</v>
      </c>
      <c r="AT98" t="str">
        <f t="shared" si="1"/>
        <v>Ashland KOA-0554HC</v>
      </c>
    </row>
    <row r="99" spans="1:46" x14ac:dyDescent="0.25">
      <c r="A99" t="s">
        <v>316</v>
      </c>
      <c r="B99" t="s">
        <v>254</v>
      </c>
      <c r="C99" t="s">
        <v>272</v>
      </c>
      <c r="D99" s="50">
        <v>46054</v>
      </c>
      <c r="E99" s="2">
        <v>0.83399999999999996</v>
      </c>
      <c r="F99" s="2">
        <v>0.83499999999999996</v>
      </c>
      <c r="G99" t="s">
        <v>373</v>
      </c>
      <c r="H99" t="s">
        <v>373</v>
      </c>
      <c r="I99" s="2">
        <v>0.5</v>
      </c>
      <c r="J99" s="2">
        <v>0.5</v>
      </c>
      <c r="K99" s="2">
        <v>0</v>
      </c>
      <c r="L99" s="2">
        <v>0.5</v>
      </c>
      <c r="M99" s="51">
        <v>820</v>
      </c>
      <c r="N99" s="51">
        <v>1970</v>
      </c>
      <c r="P99" s="51">
        <v>1970</v>
      </c>
      <c r="Q99" s="51">
        <v>126375</v>
      </c>
      <c r="R99" s="51">
        <v>292990</v>
      </c>
      <c r="T99" s="51">
        <v>292990</v>
      </c>
      <c r="U99" s="2">
        <v>6.0000000000000001E-3</v>
      </c>
      <c r="V99" s="2">
        <v>7.0000000000000001E-3</v>
      </c>
      <c r="W99" t="s">
        <v>373</v>
      </c>
      <c r="X99" t="s">
        <v>373</v>
      </c>
      <c r="Y99">
        <v>414.34</v>
      </c>
      <c r="Z99">
        <v>408.4</v>
      </c>
      <c r="AB99" s="2">
        <v>1</v>
      </c>
      <c r="AF99" t="s">
        <v>373</v>
      </c>
      <c r="AJ99" t="s">
        <v>373</v>
      </c>
      <c r="AN99" t="s">
        <v>373</v>
      </c>
      <c r="AR99" t="s">
        <v>373</v>
      </c>
      <c r="AS99" t="s">
        <v>10</v>
      </c>
      <c r="AT99" t="str">
        <f t="shared" si="1"/>
        <v>Ashland KOA-0554HC</v>
      </c>
    </row>
    <row r="100" spans="1:46" x14ac:dyDescent="0.25">
      <c r="A100" t="s">
        <v>316</v>
      </c>
      <c r="B100" t="s">
        <v>254</v>
      </c>
      <c r="C100" t="s">
        <v>93</v>
      </c>
      <c r="D100" s="50">
        <v>46023</v>
      </c>
      <c r="E100" s="2">
        <v>0.94899999999999995</v>
      </c>
      <c r="F100" s="2">
        <v>0.95499999999999996</v>
      </c>
      <c r="G100" t="s">
        <v>373</v>
      </c>
      <c r="H100" t="s">
        <v>373</v>
      </c>
      <c r="I100" s="2">
        <v>0</v>
      </c>
      <c r="J100" s="2">
        <v>0</v>
      </c>
      <c r="K100" s="2">
        <v>0</v>
      </c>
      <c r="L100" s="2">
        <v>0</v>
      </c>
      <c r="M100" s="51">
        <v>0</v>
      </c>
      <c r="N100" s="51">
        <v>0</v>
      </c>
      <c r="P100" s="51">
        <v>0</v>
      </c>
      <c r="Q100" s="51">
        <v>151669</v>
      </c>
      <c r="R100" s="51">
        <v>278268</v>
      </c>
      <c r="T100" s="51">
        <v>278268</v>
      </c>
      <c r="U100" s="2">
        <v>0</v>
      </c>
      <c r="V100" s="2">
        <v>0</v>
      </c>
      <c r="W100" t="s">
        <v>373</v>
      </c>
      <c r="X100" t="s">
        <v>373</v>
      </c>
      <c r="Y100">
        <v>459.6</v>
      </c>
      <c r="Z100">
        <v>479.01</v>
      </c>
      <c r="AB100" s="2">
        <v>1</v>
      </c>
      <c r="AC100">
        <v>135.91999999999999</v>
      </c>
      <c r="AD100">
        <v>143.26</v>
      </c>
      <c r="AF100" s="2">
        <v>1</v>
      </c>
      <c r="AG100">
        <v>223.5</v>
      </c>
      <c r="AH100">
        <v>239.63</v>
      </c>
      <c r="AJ100" s="2">
        <v>1</v>
      </c>
      <c r="AN100" t="s">
        <v>373</v>
      </c>
      <c r="AR100" t="s">
        <v>373</v>
      </c>
      <c r="AS100" t="s">
        <v>10</v>
      </c>
      <c r="AT100" t="str">
        <f t="shared" si="1"/>
        <v>Elkhart - 132HC</v>
      </c>
    </row>
    <row r="101" spans="1:46" x14ac:dyDescent="0.25">
      <c r="A101" t="s">
        <v>316</v>
      </c>
      <c r="B101" t="s">
        <v>254</v>
      </c>
      <c r="C101" t="s">
        <v>93</v>
      </c>
      <c r="D101" s="50">
        <v>46054</v>
      </c>
      <c r="E101" s="2">
        <v>0.96</v>
      </c>
      <c r="F101" s="2">
        <v>0.95499999999999996</v>
      </c>
      <c r="G101" t="s">
        <v>373</v>
      </c>
      <c r="H101" t="s">
        <v>373</v>
      </c>
      <c r="I101" s="2">
        <v>0</v>
      </c>
      <c r="J101" s="2">
        <v>0</v>
      </c>
      <c r="K101" s="2">
        <v>0</v>
      </c>
      <c r="L101" s="2">
        <v>0</v>
      </c>
      <c r="M101" s="51">
        <v>0</v>
      </c>
      <c r="N101" s="51">
        <v>0</v>
      </c>
      <c r="P101" s="51">
        <v>0</v>
      </c>
      <c r="Q101" s="51">
        <v>126599</v>
      </c>
      <c r="R101" s="51">
        <v>278268</v>
      </c>
      <c r="T101" s="51">
        <v>278268</v>
      </c>
      <c r="U101" s="2">
        <v>0</v>
      </c>
      <c r="V101" s="2">
        <v>0</v>
      </c>
      <c r="W101" t="s">
        <v>373</v>
      </c>
      <c r="X101" t="s">
        <v>373</v>
      </c>
      <c r="Y101">
        <v>498.42</v>
      </c>
      <c r="Z101">
        <v>479.01</v>
      </c>
      <c r="AB101" s="2">
        <v>1</v>
      </c>
      <c r="AC101">
        <v>150.6</v>
      </c>
      <c r="AD101">
        <v>143.26</v>
      </c>
      <c r="AF101" s="2">
        <v>1</v>
      </c>
      <c r="AG101">
        <v>255.76</v>
      </c>
      <c r="AH101">
        <v>239.63</v>
      </c>
      <c r="AJ101" s="2">
        <v>1</v>
      </c>
      <c r="AN101" t="s">
        <v>373</v>
      </c>
      <c r="AR101" t="s">
        <v>373</v>
      </c>
      <c r="AS101" t="s">
        <v>10</v>
      </c>
      <c r="AT101" t="str">
        <f t="shared" si="1"/>
        <v>Elkhart - 132HC</v>
      </c>
    </row>
    <row r="102" spans="1:46" x14ac:dyDescent="0.25">
      <c r="A102" t="s">
        <v>316</v>
      </c>
      <c r="B102" t="s">
        <v>254</v>
      </c>
      <c r="C102" t="s">
        <v>273</v>
      </c>
      <c r="D102" s="50">
        <v>46023</v>
      </c>
      <c r="E102" s="2">
        <v>0.80200000000000005</v>
      </c>
      <c r="F102" s="2">
        <v>0.78600000000000003</v>
      </c>
      <c r="G102" t="s">
        <v>373</v>
      </c>
      <c r="H102" t="s">
        <v>373</v>
      </c>
      <c r="I102" s="2">
        <v>0</v>
      </c>
      <c r="J102" s="2">
        <v>0</v>
      </c>
      <c r="K102" s="2">
        <v>0</v>
      </c>
      <c r="L102" s="2">
        <v>0</v>
      </c>
      <c r="M102" s="51">
        <v>0</v>
      </c>
      <c r="N102" s="51">
        <v>0</v>
      </c>
      <c r="P102" s="51">
        <v>0</v>
      </c>
      <c r="Q102" s="51">
        <v>225210</v>
      </c>
      <c r="R102" s="51">
        <v>474965</v>
      </c>
      <c r="T102" s="51">
        <v>474965</v>
      </c>
      <c r="U102" s="2">
        <v>0</v>
      </c>
      <c r="V102" s="2">
        <v>0</v>
      </c>
      <c r="W102" t="s">
        <v>373</v>
      </c>
      <c r="X102" t="s">
        <v>373</v>
      </c>
      <c r="Y102">
        <v>379.14</v>
      </c>
      <c r="Z102">
        <v>377.36</v>
      </c>
      <c r="AB102" s="2">
        <v>1</v>
      </c>
      <c r="AF102" t="s">
        <v>373</v>
      </c>
      <c r="AJ102" t="s">
        <v>373</v>
      </c>
      <c r="AN102" t="s">
        <v>373</v>
      </c>
      <c r="AR102" t="s">
        <v>373</v>
      </c>
      <c r="AS102" t="s">
        <v>10</v>
      </c>
      <c r="AT102" t="str">
        <f t="shared" si="1"/>
        <v>Fort Wayne KHC-0551HC</v>
      </c>
    </row>
    <row r="103" spans="1:46" x14ac:dyDescent="0.25">
      <c r="A103" t="s">
        <v>316</v>
      </c>
      <c r="B103" t="s">
        <v>254</v>
      </c>
      <c r="C103" t="s">
        <v>273</v>
      </c>
      <c r="D103" s="50">
        <v>46054</v>
      </c>
      <c r="E103" s="2">
        <v>0.76700000000000002</v>
      </c>
      <c r="F103" s="2">
        <v>0.78600000000000003</v>
      </c>
      <c r="G103" t="s">
        <v>373</v>
      </c>
      <c r="H103" t="s">
        <v>373</v>
      </c>
      <c r="I103" s="2">
        <v>0</v>
      </c>
      <c r="J103" s="2">
        <v>0</v>
      </c>
      <c r="K103" s="2">
        <v>0</v>
      </c>
      <c r="L103" s="2">
        <v>0</v>
      </c>
      <c r="M103" s="51">
        <v>0</v>
      </c>
      <c r="N103" s="51">
        <v>0</v>
      </c>
      <c r="P103" s="51">
        <v>0</v>
      </c>
      <c r="Q103" s="51">
        <v>249755</v>
      </c>
      <c r="R103" s="51">
        <v>474965</v>
      </c>
      <c r="T103" s="51">
        <v>474965</v>
      </c>
      <c r="U103" s="2">
        <v>0</v>
      </c>
      <c r="V103" s="2">
        <v>0</v>
      </c>
      <c r="W103" t="s">
        <v>373</v>
      </c>
      <c r="X103" t="s">
        <v>373</v>
      </c>
      <c r="Y103">
        <v>375.57</v>
      </c>
      <c r="Z103">
        <v>377.36</v>
      </c>
      <c r="AB103" s="2">
        <v>1</v>
      </c>
      <c r="AF103" t="s">
        <v>373</v>
      </c>
      <c r="AJ103" t="s">
        <v>373</v>
      </c>
      <c r="AN103" t="s">
        <v>373</v>
      </c>
      <c r="AR103" t="s">
        <v>373</v>
      </c>
      <c r="AS103" t="s">
        <v>10</v>
      </c>
      <c r="AT103" t="str">
        <f t="shared" si="1"/>
        <v>Fort Wayne KHC-0551HC</v>
      </c>
    </row>
    <row r="104" spans="1:46" x14ac:dyDescent="0.25">
      <c r="A104" t="s">
        <v>316</v>
      </c>
      <c r="B104" t="s">
        <v>254</v>
      </c>
      <c r="C104" t="s">
        <v>116</v>
      </c>
      <c r="D104" s="50">
        <v>46023</v>
      </c>
      <c r="E104" s="2">
        <v>0.97199999999999998</v>
      </c>
      <c r="F104" s="2">
        <v>0.95799999999999996</v>
      </c>
      <c r="G104" t="s">
        <v>373</v>
      </c>
      <c r="H104" t="s">
        <v>373</v>
      </c>
      <c r="I104" s="2">
        <v>0</v>
      </c>
      <c r="J104" s="2">
        <v>0</v>
      </c>
      <c r="K104" s="2">
        <v>0</v>
      </c>
      <c r="L104" s="2">
        <v>0</v>
      </c>
      <c r="M104" s="51">
        <v>11494</v>
      </c>
      <c r="N104" s="51">
        <v>13278</v>
      </c>
      <c r="P104" s="51">
        <v>13278</v>
      </c>
      <c r="Q104" s="51">
        <v>481340</v>
      </c>
      <c r="R104" s="51">
        <v>872813</v>
      </c>
      <c r="T104" s="51">
        <v>872813</v>
      </c>
      <c r="U104" s="2">
        <v>2.4E-2</v>
      </c>
      <c r="V104" s="2">
        <v>1.4999999999999999E-2</v>
      </c>
      <c r="W104" t="s">
        <v>373</v>
      </c>
      <c r="X104" t="s">
        <v>373</v>
      </c>
      <c r="Y104">
        <v>475.16</v>
      </c>
      <c r="Z104">
        <v>482.87</v>
      </c>
      <c r="AB104" s="2">
        <v>1</v>
      </c>
      <c r="AF104" t="s">
        <v>373</v>
      </c>
      <c r="AJ104" t="s">
        <v>373</v>
      </c>
      <c r="AN104" t="s">
        <v>373</v>
      </c>
      <c r="AR104" t="s">
        <v>373</v>
      </c>
      <c r="AS104" t="s">
        <v>10</v>
      </c>
      <c r="AT104" t="str">
        <f t="shared" si="1"/>
        <v>Goshen MW - 124HC</v>
      </c>
    </row>
    <row r="105" spans="1:46" x14ac:dyDescent="0.25">
      <c r="A105" t="s">
        <v>316</v>
      </c>
      <c r="B105" t="s">
        <v>254</v>
      </c>
      <c r="C105" t="s">
        <v>116</v>
      </c>
      <c r="D105" s="50">
        <v>46054</v>
      </c>
      <c r="E105" s="2">
        <v>0.94199999999999995</v>
      </c>
      <c r="F105" s="2">
        <v>0.95799999999999996</v>
      </c>
      <c r="G105" t="s">
        <v>373</v>
      </c>
      <c r="H105" t="s">
        <v>373</v>
      </c>
      <c r="I105" s="2">
        <v>0</v>
      </c>
      <c r="J105" s="2">
        <v>0</v>
      </c>
      <c r="K105" s="2">
        <v>0</v>
      </c>
      <c r="L105" s="2">
        <v>0</v>
      </c>
      <c r="M105" s="51">
        <v>1784</v>
      </c>
      <c r="N105" s="51">
        <v>13278</v>
      </c>
      <c r="P105" s="51">
        <v>13278</v>
      </c>
      <c r="Q105" s="51">
        <v>391473</v>
      </c>
      <c r="R105" s="51">
        <v>872813</v>
      </c>
      <c r="T105" s="51">
        <v>872813</v>
      </c>
      <c r="U105" s="2">
        <v>5.0000000000000001E-3</v>
      </c>
      <c r="V105" s="2">
        <v>1.4999999999999999E-2</v>
      </c>
      <c r="W105" t="s">
        <v>373</v>
      </c>
      <c r="X105" t="s">
        <v>373</v>
      </c>
      <c r="Y105">
        <v>490.57</v>
      </c>
      <c r="Z105">
        <v>482.87</v>
      </c>
      <c r="AB105" s="2">
        <v>1</v>
      </c>
      <c r="AF105" t="s">
        <v>373</v>
      </c>
      <c r="AJ105" t="s">
        <v>373</v>
      </c>
      <c r="AN105" t="s">
        <v>373</v>
      </c>
      <c r="AR105" t="s">
        <v>373</v>
      </c>
      <c r="AS105" t="s">
        <v>10</v>
      </c>
      <c r="AT105" t="str">
        <f t="shared" si="1"/>
        <v>Goshen MW - 124HC</v>
      </c>
    </row>
    <row r="106" spans="1:46" x14ac:dyDescent="0.25">
      <c r="A106" t="s">
        <v>316</v>
      </c>
      <c r="B106" t="s">
        <v>254</v>
      </c>
      <c r="C106" t="s">
        <v>137</v>
      </c>
      <c r="D106" s="50">
        <v>46023</v>
      </c>
      <c r="E106" s="2">
        <v>0.90500000000000003</v>
      </c>
      <c r="F106" s="2">
        <v>0.90200000000000002</v>
      </c>
      <c r="G106" t="s">
        <v>373</v>
      </c>
      <c r="H106" t="s">
        <v>373</v>
      </c>
      <c r="I106" s="2">
        <v>0</v>
      </c>
      <c r="J106" s="2">
        <v>0.25</v>
      </c>
      <c r="K106" s="2">
        <v>0</v>
      </c>
      <c r="L106" s="2">
        <v>0.25</v>
      </c>
      <c r="M106" s="51">
        <v>0</v>
      </c>
      <c r="N106" s="51">
        <v>394</v>
      </c>
      <c r="P106" s="51">
        <v>394</v>
      </c>
      <c r="Q106" s="51">
        <v>126243</v>
      </c>
      <c r="R106" s="51">
        <v>238666</v>
      </c>
      <c r="T106" s="51">
        <v>238666</v>
      </c>
      <c r="U106" s="2">
        <v>0</v>
      </c>
      <c r="V106" s="2">
        <v>2E-3</v>
      </c>
      <c r="W106" t="s">
        <v>373</v>
      </c>
      <c r="X106" t="s">
        <v>373</v>
      </c>
      <c r="Y106">
        <v>415.27</v>
      </c>
      <c r="Z106">
        <v>404.87</v>
      </c>
      <c r="AB106" s="2">
        <v>1</v>
      </c>
      <c r="AC106">
        <v>204.05</v>
      </c>
      <c r="AD106">
        <v>210.54</v>
      </c>
      <c r="AF106" s="2">
        <v>1</v>
      </c>
      <c r="AG106">
        <v>261.94</v>
      </c>
      <c r="AH106">
        <v>275.97000000000003</v>
      </c>
      <c r="AJ106" s="2">
        <v>1</v>
      </c>
      <c r="AN106" t="s">
        <v>373</v>
      </c>
      <c r="AR106" t="s">
        <v>373</v>
      </c>
      <c r="AS106" t="s">
        <v>10</v>
      </c>
      <c r="AT106" t="str">
        <f t="shared" si="1"/>
        <v>Kendallville - 2185HC</v>
      </c>
    </row>
    <row r="107" spans="1:46" x14ac:dyDescent="0.25">
      <c r="A107" t="s">
        <v>316</v>
      </c>
      <c r="B107" t="s">
        <v>254</v>
      </c>
      <c r="C107" t="s">
        <v>137</v>
      </c>
      <c r="D107" s="50">
        <v>46054</v>
      </c>
      <c r="E107" s="2">
        <v>0.89900000000000002</v>
      </c>
      <c r="F107" s="2">
        <v>0.90200000000000002</v>
      </c>
      <c r="G107" t="s">
        <v>373</v>
      </c>
      <c r="H107" t="s">
        <v>373</v>
      </c>
      <c r="I107" s="2">
        <v>0.5</v>
      </c>
      <c r="J107" s="2">
        <v>0.25</v>
      </c>
      <c r="K107" s="2">
        <v>0</v>
      </c>
      <c r="L107" s="2">
        <v>0.25</v>
      </c>
      <c r="M107" s="51">
        <v>394</v>
      </c>
      <c r="N107" s="51">
        <v>394</v>
      </c>
      <c r="P107" s="51">
        <v>394</v>
      </c>
      <c r="Q107" s="51">
        <v>112423</v>
      </c>
      <c r="R107" s="51">
        <v>238666</v>
      </c>
      <c r="T107" s="51">
        <v>238666</v>
      </c>
      <c r="U107" s="2">
        <v>4.0000000000000001E-3</v>
      </c>
      <c r="V107" s="2">
        <v>2E-3</v>
      </c>
      <c r="W107" t="s">
        <v>373</v>
      </c>
      <c r="X107" t="s">
        <v>373</v>
      </c>
      <c r="Y107">
        <v>394.47</v>
      </c>
      <c r="Z107">
        <v>404.87</v>
      </c>
      <c r="AB107" s="2">
        <v>1</v>
      </c>
      <c r="AC107">
        <v>217.04</v>
      </c>
      <c r="AD107">
        <v>210.54</v>
      </c>
      <c r="AF107" s="2">
        <v>1</v>
      </c>
      <c r="AG107">
        <v>290</v>
      </c>
      <c r="AH107">
        <v>275.97000000000003</v>
      </c>
      <c r="AJ107" s="2">
        <v>1</v>
      </c>
      <c r="AN107" t="s">
        <v>373</v>
      </c>
      <c r="AR107" t="s">
        <v>373</v>
      </c>
      <c r="AS107" t="s">
        <v>10</v>
      </c>
      <c r="AT107" t="str">
        <f t="shared" si="1"/>
        <v>Kendallville - 2185HC</v>
      </c>
    </row>
    <row r="108" spans="1:46" x14ac:dyDescent="0.25">
      <c r="A108" t="s">
        <v>316</v>
      </c>
      <c r="B108" t="s">
        <v>254</v>
      </c>
      <c r="C108" t="s">
        <v>274</v>
      </c>
      <c r="D108" s="50">
        <v>46023</v>
      </c>
      <c r="E108" s="2">
        <v>0.82399999999999995</v>
      </c>
      <c r="F108" s="2">
        <v>0.80100000000000005</v>
      </c>
      <c r="G108" t="s">
        <v>373</v>
      </c>
      <c r="H108" t="s">
        <v>373</v>
      </c>
      <c r="I108" s="2">
        <v>0.5</v>
      </c>
      <c r="J108" s="2">
        <v>0.5</v>
      </c>
      <c r="K108" s="2">
        <v>0</v>
      </c>
      <c r="L108" s="2">
        <v>0.5</v>
      </c>
      <c r="M108" s="51">
        <v>0</v>
      </c>
      <c r="N108" s="51">
        <v>728</v>
      </c>
      <c r="P108" s="51">
        <v>728</v>
      </c>
      <c r="Q108" s="51">
        <v>111944</v>
      </c>
      <c r="R108" s="51">
        <v>279050</v>
      </c>
      <c r="T108" s="51">
        <v>279050</v>
      </c>
      <c r="U108" s="2">
        <v>0</v>
      </c>
      <c r="V108" s="2">
        <v>3.0000000000000001E-3</v>
      </c>
      <c r="W108" t="s">
        <v>373</v>
      </c>
      <c r="X108" t="s">
        <v>373</v>
      </c>
      <c r="Y108">
        <v>386.01</v>
      </c>
      <c r="Z108">
        <v>377.04</v>
      </c>
      <c r="AB108" s="2">
        <v>1</v>
      </c>
      <c r="AF108" t="s">
        <v>373</v>
      </c>
      <c r="AJ108" t="s">
        <v>373</v>
      </c>
      <c r="AN108" t="s">
        <v>373</v>
      </c>
      <c r="AR108" t="s">
        <v>373</v>
      </c>
      <c r="AS108" t="s">
        <v>10</v>
      </c>
      <c r="AT108" t="str">
        <f t="shared" si="1"/>
        <v>Miamisburg KOM-0556HC</v>
      </c>
    </row>
    <row r="109" spans="1:46" x14ac:dyDescent="0.25">
      <c r="A109" t="s">
        <v>316</v>
      </c>
      <c r="B109" t="s">
        <v>254</v>
      </c>
      <c r="C109" t="s">
        <v>274</v>
      </c>
      <c r="D109" s="50">
        <v>46054</v>
      </c>
      <c r="E109" s="2">
        <v>0.77500000000000002</v>
      </c>
      <c r="F109" s="2">
        <v>0.80100000000000005</v>
      </c>
      <c r="G109" t="s">
        <v>373</v>
      </c>
      <c r="H109" t="s">
        <v>373</v>
      </c>
      <c r="I109" s="2">
        <v>0</v>
      </c>
      <c r="J109" s="2">
        <v>0.5</v>
      </c>
      <c r="K109" s="2">
        <v>0</v>
      </c>
      <c r="L109" s="2">
        <v>0.5</v>
      </c>
      <c r="M109" s="51">
        <v>728</v>
      </c>
      <c r="N109" s="51">
        <v>728</v>
      </c>
      <c r="P109" s="51">
        <v>728</v>
      </c>
      <c r="Q109" s="51">
        <v>167106</v>
      </c>
      <c r="R109" s="51">
        <v>279050</v>
      </c>
      <c r="T109" s="51">
        <v>279050</v>
      </c>
      <c r="U109" s="2">
        <v>4.0000000000000001E-3</v>
      </c>
      <c r="V109" s="2">
        <v>3.0000000000000001E-3</v>
      </c>
      <c r="W109" t="s">
        <v>373</v>
      </c>
      <c r="X109" t="s">
        <v>373</v>
      </c>
      <c r="Y109">
        <v>368.07</v>
      </c>
      <c r="Z109">
        <v>377.04</v>
      </c>
      <c r="AB109" s="2">
        <v>1</v>
      </c>
      <c r="AF109" t="s">
        <v>373</v>
      </c>
      <c r="AJ109" t="s">
        <v>373</v>
      </c>
      <c r="AN109" t="s">
        <v>373</v>
      </c>
      <c r="AR109" t="s">
        <v>373</v>
      </c>
      <c r="AS109" t="s">
        <v>10</v>
      </c>
      <c r="AT109" t="str">
        <f t="shared" si="1"/>
        <v>Miamisburg KOM-0556HC</v>
      </c>
    </row>
    <row r="110" spans="1:46" x14ac:dyDescent="0.25">
      <c r="A110" t="s">
        <v>316</v>
      </c>
      <c r="B110" t="s">
        <v>254</v>
      </c>
      <c r="C110" t="s">
        <v>275</v>
      </c>
      <c r="D110" s="50">
        <v>46023</v>
      </c>
      <c r="E110" s="2">
        <v>0.97599999999999998</v>
      </c>
      <c r="F110" s="2">
        <v>0.95499999999999996</v>
      </c>
      <c r="G110" t="s">
        <v>373</v>
      </c>
      <c r="H110" t="s">
        <v>373</v>
      </c>
      <c r="I110" s="2">
        <v>0</v>
      </c>
      <c r="J110" s="2">
        <v>0.33300000000000002</v>
      </c>
      <c r="K110" s="2">
        <v>0</v>
      </c>
      <c r="L110" s="2">
        <v>0.33300000000000002</v>
      </c>
      <c r="M110" s="51">
        <v>0</v>
      </c>
      <c r="N110" s="51">
        <v>1994</v>
      </c>
      <c r="P110" s="51">
        <v>1994</v>
      </c>
      <c r="Q110" s="51">
        <v>126815</v>
      </c>
      <c r="R110" s="51">
        <v>242831</v>
      </c>
      <c r="T110" s="51">
        <v>242831</v>
      </c>
      <c r="U110" s="2">
        <v>0</v>
      </c>
      <c r="V110" s="2">
        <v>8.0000000000000002E-3</v>
      </c>
      <c r="W110" t="s">
        <v>373</v>
      </c>
      <c r="X110" t="s">
        <v>373</v>
      </c>
      <c r="Y110">
        <v>393.84</v>
      </c>
      <c r="Z110">
        <v>389.64</v>
      </c>
      <c r="AB110" s="2">
        <v>1</v>
      </c>
      <c r="AF110" t="s">
        <v>373</v>
      </c>
      <c r="AJ110" t="s">
        <v>373</v>
      </c>
      <c r="AN110" t="s">
        <v>373</v>
      </c>
      <c r="AR110" t="s">
        <v>373</v>
      </c>
      <c r="AS110" t="s">
        <v>10</v>
      </c>
      <c r="AT110" t="str">
        <f t="shared" si="1"/>
        <v>Perrysburg KHC-0557HC</v>
      </c>
    </row>
    <row r="111" spans="1:46" x14ac:dyDescent="0.25">
      <c r="A111" t="s">
        <v>316</v>
      </c>
      <c r="B111" t="s">
        <v>254</v>
      </c>
      <c r="C111" t="s">
        <v>275</v>
      </c>
      <c r="D111" s="50">
        <v>46054</v>
      </c>
      <c r="E111" s="2">
        <v>0.93100000000000005</v>
      </c>
      <c r="F111" s="2">
        <v>0.95499999999999996</v>
      </c>
      <c r="G111" t="s">
        <v>373</v>
      </c>
      <c r="H111" t="s">
        <v>373</v>
      </c>
      <c r="I111" s="2">
        <v>0.5</v>
      </c>
      <c r="J111" s="2">
        <v>0.33300000000000002</v>
      </c>
      <c r="K111" s="2">
        <v>0</v>
      </c>
      <c r="L111" s="2">
        <v>0.33300000000000002</v>
      </c>
      <c r="M111" s="51">
        <v>1994</v>
      </c>
      <c r="N111" s="51">
        <v>1994</v>
      </c>
      <c r="P111" s="51">
        <v>1994</v>
      </c>
      <c r="Q111" s="51">
        <v>116016</v>
      </c>
      <c r="R111" s="51">
        <v>242831</v>
      </c>
      <c r="T111" s="51">
        <v>242831</v>
      </c>
      <c r="U111" s="2">
        <v>1.7000000000000001E-2</v>
      </c>
      <c r="V111" s="2">
        <v>8.0000000000000002E-3</v>
      </c>
      <c r="W111" t="s">
        <v>373</v>
      </c>
      <c r="X111" t="s">
        <v>373</v>
      </c>
      <c r="Y111">
        <v>385.44</v>
      </c>
      <c r="Z111">
        <v>389.64</v>
      </c>
      <c r="AB111" s="2">
        <v>1</v>
      </c>
      <c r="AF111" t="s">
        <v>373</v>
      </c>
      <c r="AJ111" t="s">
        <v>373</v>
      </c>
      <c r="AN111" t="s">
        <v>373</v>
      </c>
      <c r="AR111" t="s">
        <v>373</v>
      </c>
      <c r="AS111" t="s">
        <v>10</v>
      </c>
      <c r="AT111" t="str">
        <f t="shared" si="1"/>
        <v>Perrysburg KHC-0557HC</v>
      </c>
    </row>
    <row r="112" spans="1:46" x14ac:dyDescent="0.25">
      <c r="A112" t="s">
        <v>316</v>
      </c>
      <c r="B112" t="s">
        <v>254</v>
      </c>
      <c r="C112" t="s">
        <v>276</v>
      </c>
      <c r="D112" s="50">
        <v>46023</v>
      </c>
      <c r="E112" s="2">
        <v>0.96899999999999997</v>
      </c>
      <c r="F112" s="2">
        <v>0.96199999999999997</v>
      </c>
      <c r="G112" t="s">
        <v>373</v>
      </c>
      <c r="H112" t="s">
        <v>373</v>
      </c>
      <c r="I112" s="2">
        <v>0</v>
      </c>
      <c r="J112" s="2">
        <v>0</v>
      </c>
      <c r="K112" s="2">
        <v>0</v>
      </c>
      <c r="L112" s="2">
        <v>0</v>
      </c>
      <c r="M112" s="51">
        <v>0</v>
      </c>
      <c r="N112" s="51">
        <v>0</v>
      </c>
      <c r="P112" s="51">
        <v>0</v>
      </c>
      <c r="Q112" s="51">
        <v>118428</v>
      </c>
      <c r="R112" s="51">
        <v>231418</v>
      </c>
      <c r="T112" s="51">
        <v>231418</v>
      </c>
      <c r="U112" s="2">
        <v>0</v>
      </c>
      <c r="V112" s="2">
        <v>0</v>
      </c>
      <c r="W112" t="s">
        <v>373</v>
      </c>
      <c r="X112" t="s">
        <v>373</v>
      </c>
      <c r="Y112">
        <v>371.25</v>
      </c>
      <c r="Z112">
        <v>374.57</v>
      </c>
      <c r="AB112" s="2">
        <v>1</v>
      </c>
      <c r="AF112" t="s">
        <v>373</v>
      </c>
      <c r="AJ112" t="s">
        <v>373</v>
      </c>
      <c r="AN112" t="s">
        <v>373</v>
      </c>
      <c r="AR112" t="s">
        <v>373</v>
      </c>
      <c r="AS112" t="s">
        <v>10</v>
      </c>
      <c r="AT112" t="str">
        <f t="shared" si="1"/>
        <v>Sylvania KHC-0559HC</v>
      </c>
    </row>
    <row r="113" spans="1:46" x14ac:dyDescent="0.25">
      <c r="A113" t="s">
        <v>316</v>
      </c>
      <c r="B113" t="s">
        <v>254</v>
      </c>
      <c r="C113" t="s">
        <v>276</v>
      </c>
      <c r="D113" s="50">
        <v>46054</v>
      </c>
      <c r="E113" s="2">
        <v>0.95499999999999996</v>
      </c>
      <c r="F113" s="2">
        <v>0.96199999999999997</v>
      </c>
      <c r="G113" t="s">
        <v>373</v>
      </c>
      <c r="H113" t="s">
        <v>373</v>
      </c>
      <c r="I113" s="2">
        <v>0</v>
      </c>
      <c r="J113" s="2">
        <v>0</v>
      </c>
      <c r="K113" s="2">
        <v>0</v>
      </c>
      <c r="L113" s="2">
        <v>0</v>
      </c>
      <c r="M113" s="51">
        <v>0</v>
      </c>
      <c r="N113" s="51">
        <v>0</v>
      </c>
      <c r="P113" s="51">
        <v>0</v>
      </c>
      <c r="Q113" s="51">
        <v>112990</v>
      </c>
      <c r="R113" s="51">
        <v>231418</v>
      </c>
      <c r="T113" s="51">
        <v>231418</v>
      </c>
      <c r="U113" s="2">
        <v>0</v>
      </c>
      <c r="V113" s="2">
        <v>0</v>
      </c>
      <c r="W113" t="s">
        <v>373</v>
      </c>
      <c r="X113" t="s">
        <v>373</v>
      </c>
      <c r="Y113">
        <v>377.89</v>
      </c>
      <c r="Z113">
        <v>374.57</v>
      </c>
      <c r="AB113" s="2">
        <v>1</v>
      </c>
      <c r="AF113" t="s">
        <v>373</v>
      </c>
      <c r="AJ113" t="s">
        <v>373</v>
      </c>
      <c r="AN113" t="s">
        <v>373</v>
      </c>
      <c r="AR113" t="s">
        <v>373</v>
      </c>
      <c r="AS113" t="s">
        <v>10</v>
      </c>
      <c r="AT113" t="str">
        <f t="shared" si="1"/>
        <v>Sylvania KHC-0559HC</v>
      </c>
    </row>
    <row r="114" spans="1:46" x14ac:dyDescent="0.25">
      <c r="A114" t="s">
        <v>316</v>
      </c>
      <c r="B114" t="s">
        <v>254</v>
      </c>
      <c r="C114" t="s">
        <v>277</v>
      </c>
      <c r="D114" s="50">
        <v>46023</v>
      </c>
      <c r="E114" s="2">
        <v>0.86899999999999999</v>
      </c>
      <c r="F114" s="2">
        <v>0.85</v>
      </c>
      <c r="G114" t="s">
        <v>373</v>
      </c>
      <c r="H114" t="s">
        <v>373</v>
      </c>
      <c r="I114" s="2">
        <v>0</v>
      </c>
      <c r="J114" s="2">
        <v>0</v>
      </c>
      <c r="K114" s="2">
        <v>0</v>
      </c>
      <c r="L114" s="2">
        <v>0</v>
      </c>
      <c r="M114" s="51">
        <v>0</v>
      </c>
      <c r="N114" s="51">
        <v>0</v>
      </c>
      <c r="P114" s="51">
        <v>0</v>
      </c>
      <c r="Q114" s="51">
        <v>201615</v>
      </c>
      <c r="R114" s="51">
        <v>390180</v>
      </c>
      <c r="T114" s="51">
        <v>390180</v>
      </c>
      <c r="U114" s="2">
        <v>0</v>
      </c>
      <c r="V114" s="2">
        <v>0</v>
      </c>
      <c r="W114" t="s">
        <v>373</v>
      </c>
      <c r="X114" t="s">
        <v>373</v>
      </c>
      <c r="Y114">
        <v>338.85</v>
      </c>
      <c r="Z114">
        <v>339.3</v>
      </c>
      <c r="AB114" s="2">
        <v>1</v>
      </c>
      <c r="AF114" t="s">
        <v>373</v>
      </c>
      <c r="AJ114" t="s">
        <v>373</v>
      </c>
      <c r="AN114" t="s">
        <v>373</v>
      </c>
      <c r="AR114" t="s">
        <v>373</v>
      </c>
      <c r="AS114" t="s">
        <v>10</v>
      </c>
      <c r="AT114" t="str">
        <f t="shared" si="1"/>
        <v>Vermilion KHC-0561HC</v>
      </c>
    </row>
    <row r="115" spans="1:46" x14ac:dyDescent="0.25">
      <c r="A115" t="s">
        <v>316</v>
      </c>
      <c r="B115" t="s">
        <v>254</v>
      </c>
      <c r="C115" t="s">
        <v>277</v>
      </c>
      <c r="D115" s="50">
        <v>46054</v>
      </c>
      <c r="E115" s="2">
        <v>0.82899999999999996</v>
      </c>
      <c r="F115" s="2">
        <v>0.85</v>
      </c>
      <c r="G115" t="s">
        <v>373</v>
      </c>
      <c r="H115" t="s">
        <v>373</v>
      </c>
      <c r="I115" s="2">
        <v>0</v>
      </c>
      <c r="J115" s="2">
        <v>0</v>
      </c>
      <c r="K115" s="2">
        <v>0</v>
      </c>
      <c r="L115" s="2">
        <v>0</v>
      </c>
      <c r="M115" s="51">
        <v>0</v>
      </c>
      <c r="N115" s="51">
        <v>0</v>
      </c>
      <c r="P115" s="51">
        <v>0</v>
      </c>
      <c r="Q115" s="51">
        <v>188565</v>
      </c>
      <c r="R115" s="51">
        <v>390180</v>
      </c>
      <c r="T115" s="51">
        <v>390180</v>
      </c>
      <c r="U115" s="2">
        <v>0</v>
      </c>
      <c r="V115" s="2">
        <v>0</v>
      </c>
      <c r="W115" t="s">
        <v>373</v>
      </c>
      <c r="X115" t="s">
        <v>373</v>
      </c>
      <c r="Y115">
        <v>339.76</v>
      </c>
      <c r="Z115">
        <v>339.3</v>
      </c>
      <c r="AB115" s="2">
        <v>1</v>
      </c>
      <c r="AF115" t="s">
        <v>373</v>
      </c>
      <c r="AJ115" t="s">
        <v>373</v>
      </c>
      <c r="AN115" t="s">
        <v>373</v>
      </c>
      <c r="AR115" t="s">
        <v>373</v>
      </c>
      <c r="AS115" t="s">
        <v>10</v>
      </c>
      <c r="AT115" t="str">
        <f t="shared" si="1"/>
        <v>Vermilion KHC-0561HC</v>
      </c>
    </row>
    <row r="116" spans="1:46" x14ac:dyDescent="0.25">
      <c r="A116" t="s">
        <v>316</v>
      </c>
      <c r="B116" t="s">
        <v>255</v>
      </c>
      <c r="C116" t="s">
        <v>42</v>
      </c>
      <c r="D116" s="50">
        <v>46023</v>
      </c>
      <c r="E116" s="2">
        <v>0.95399999999999996</v>
      </c>
      <c r="F116" s="2">
        <v>0.96599999999999997</v>
      </c>
      <c r="G116" t="s">
        <v>373</v>
      </c>
      <c r="H116" t="s">
        <v>373</v>
      </c>
      <c r="I116" s="2">
        <v>0</v>
      </c>
      <c r="J116" s="2">
        <v>0</v>
      </c>
      <c r="K116" s="2">
        <v>0</v>
      </c>
      <c r="L116" s="2">
        <v>0</v>
      </c>
      <c r="M116" s="51">
        <v>789</v>
      </c>
      <c r="N116" s="51">
        <v>789</v>
      </c>
      <c r="P116" s="51">
        <v>789</v>
      </c>
      <c r="Q116" s="51">
        <v>193955</v>
      </c>
      <c r="R116" s="51">
        <v>346869</v>
      </c>
      <c r="T116" s="51">
        <v>346869</v>
      </c>
      <c r="U116" s="2">
        <v>4.0000000000000001E-3</v>
      </c>
      <c r="V116" s="2">
        <v>2E-3</v>
      </c>
      <c r="W116" t="s">
        <v>373</v>
      </c>
      <c r="X116" t="s">
        <v>373</v>
      </c>
      <c r="Y116">
        <v>444.85</v>
      </c>
      <c r="Z116">
        <v>444.68</v>
      </c>
      <c r="AB116" s="2">
        <v>1</v>
      </c>
      <c r="AC116">
        <v>233.75</v>
      </c>
      <c r="AD116">
        <v>244.69</v>
      </c>
      <c r="AF116" s="2">
        <v>1</v>
      </c>
      <c r="AG116">
        <v>255.57</v>
      </c>
      <c r="AH116">
        <v>276.73</v>
      </c>
      <c r="AJ116" s="2">
        <v>1</v>
      </c>
      <c r="AN116" t="s">
        <v>373</v>
      </c>
      <c r="AO116">
        <v>75.3</v>
      </c>
      <c r="AP116">
        <v>79.12</v>
      </c>
      <c r="AR116" s="2">
        <v>1</v>
      </c>
      <c r="AS116" t="s">
        <v>10</v>
      </c>
      <c r="AT116" t="str">
        <f t="shared" si="1"/>
        <v>Bellevue - 414HC</v>
      </c>
    </row>
    <row r="117" spans="1:46" x14ac:dyDescent="0.25">
      <c r="A117" t="s">
        <v>316</v>
      </c>
      <c r="B117" t="s">
        <v>255</v>
      </c>
      <c r="C117" t="s">
        <v>42</v>
      </c>
      <c r="D117" s="50">
        <v>46054</v>
      </c>
      <c r="E117" s="2">
        <v>0.98</v>
      </c>
      <c r="F117" s="2">
        <v>0.96599999999999997</v>
      </c>
      <c r="G117" t="s">
        <v>373</v>
      </c>
      <c r="H117" t="s">
        <v>373</v>
      </c>
      <c r="I117" s="2">
        <v>0</v>
      </c>
      <c r="J117" s="2">
        <v>0</v>
      </c>
      <c r="K117" s="2">
        <v>0</v>
      </c>
      <c r="L117" s="2">
        <v>0</v>
      </c>
      <c r="M117" s="51">
        <v>0</v>
      </c>
      <c r="N117" s="51">
        <v>789</v>
      </c>
      <c r="P117" s="51">
        <v>789</v>
      </c>
      <c r="Q117" s="51">
        <v>152913</v>
      </c>
      <c r="R117" s="51">
        <v>346869</v>
      </c>
      <c r="T117" s="51">
        <v>346869</v>
      </c>
      <c r="U117" s="2">
        <v>0</v>
      </c>
      <c r="V117" s="2">
        <v>2E-3</v>
      </c>
      <c r="W117" t="s">
        <v>373</v>
      </c>
      <c r="X117" t="s">
        <v>373</v>
      </c>
      <c r="Y117">
        <v>444.52</v>
      </c>
      <c r="Z117">
        <v>444.68</v>
      </c>
      <c r="AB117" s="2">
        <v>1</v>
      </c>
      <c r="AC117">
        <v>255.64</v>
      </c>
      <c r="AD117">
        <v>244.69</v>
      </c>
      <c r="AF117" s="2">
        <v>1</v>
      </c>
      <c r="AG117">
        <v>297.89</v>
      </c>
      <c r="AH117">
        <v>276.73</v>
      </c>
      <c r="AJ117" s="2">
        <v>1</v>
      </c>
      <c r="AN117" t="s">
        <v>373</v>
      </c>
      <c r="AO117">
        <v>82.94</v>
      </c>
      <c r="AP117">
        <v>79.12</v>
      </c>
      <c r="AR117" s="2">
        <v>1</v>
      </c>
      <c r="AS117" t="s">
        <v>10</v>
      </c>
      <c r="AT117" t="str">
        <f t="shared" si="1"/>
        <v>Bellevue - 414HC</v>
      </c>
    </row>
    <row r="118" spans="1:46" x14ac:dyDescent="0.25">
      <c r="A118" t="s">
        <v>316</v>
      </c>
      <c r="B118" t="s">
        <v>255</v>
      </c>
      <c r="C118" t="s">
        <v>57</v>
      </c>
      <c r="D118" s="50">
        <v>46023</v>
      </c>
      <c r="E118" s="2">
        <v>0.82</v>
      </c>
      <c r="F118" s="2">
        <v>0.82199999999999995</v>
      </c>
      <c r="G118" t="s">
        <v>373</v>
      </c>
      <c r="H118" t="s">
        <v>373</v>
      </c>
      <c r="I118" s="2">
        <v>0</v>
      </c>
      <c r="J118" s="2">
        <v>0.33300000000000002</v>
      </c>
      <c r="K118" s="2">
        <v>0</v>
      </c>
      <c r="L118" s="2">
        <v>0.33300000000000002</v>
      </c>
      <c r="M118" s="51">
        <v>1934</v>
      </c>
      <c r="N118" s="51">
        <v>2324</v>
      </c>
      <c r="P118" s="51">
        <v>2324</v>
      </c>
      <c r="Q118" s="51">
        <v>154007</v>
      </c>
      <c r="R118" s="51">
        <v>295473</v>
      </c>
      <c r="T118" s="51">
        <v>295473</v>
      </c>
      <c r="U118" s="2">
        <v>1.2999999999999999E-2</v>
      </c>
      <c r="V118" s="2">
        <v>8.0000000000000002E-3</v>
      </c>
      <c r="W118" t="s">
        <v>373</v>
      </c>
      <c r="X118" t="s">
        <v>373</v>
      </c>
      <c r="Y118">
        <v>417.36</v>
      </c>
      <c r="Z118">
        <v>424.33</v>
      </c>
      <c r="AB118" s="2">
        <v>1</v>
      </c>
      <c r="AC118">
        <v>185.98</v>
      </c>
      <c r="AD118">
        <v>196.26</v>
      </c>
      <c r="AF118" s="2">
        <v>1</v>
      </c>
      <c r="AG118">
        <v>219.73</v>
      </c>
      <c r="AH118">
        <v>228.86</v>
      </c>
      <c r="AJ118" s="2">
        <v>1</v>
      </c>
      <c r="AK118">
        <v>115.94</v>
      </c>
      <c r="AL118">
        <v>122.12</v>
      </c>
      <c r="AN118" s="2">
        <v>1</v>
      </c>
      <c r="AR118" t="s">
        <v>373</v>
      </c>
      <c r="AS118" t="s">
        <v>10</v>
      </c>
      <c r="AT118" t="str">
        <f t="shared" si="1"/>
        <v>Bowling Green - 443HC</v>
      </c>
    </row>
    <row r="119" spans="1:46" x14ac:dyDescent="0.25">
      <c r="A119" t="s">
        <v>316</v>
      </c>
      <c r="B119" t="s">
        <v>255</v>
      </c>
      <c r="C119" t="s">
        <v>57</v>
      </c>
      <c r="D119" s="50">
        <v>46054</v>
      </c>
      <c r="E119" s="2">
        <v>0.82399999999999995</v>
      </c>
      <c r="F119" s="2">
        <v>0.82199999999999995</v>
      </c>
      <c r="G119" t="s">
        <v>373</v>
      </c>
      <c r="H119" t="s">
        <v>373</v>
      </c>
      <c r="I119" s="2">
        <v>1</v>
      </c>
      <c r="J119" s="2">
        <v>0.33300000000000002</v>
      </c>
      <c r="K119" s="2">
        <v>0</v>
      </c>
      <c r="L119" s="2">
        <v>0.33300000000000002</v>
      </c>
      <c r="M119" s="51">
        <v>390</v>
      </c>
      <c r="N119" s="51">
        <v>2324</v>
      </c>
      <c r="P119" s="51">
        <v>2324</v>
      </c>
      <c r="Q119" s="51">
        <v>141466</v>
      </c>
      <c r="R119" s="51">
        <v>295473</v>
      </c>
      <c r="T119" s="51">
        <v>295473</v>
      </c>
      <c r="U119" s="2">
        <v>3.0000000000000001E-3</v>
      </c>
      <c r="V119" s="2">
        <v>8.0000000000000002E-3</v>
      </c>
      <c r="W119" t="s">
        <v>373</v>
      </c>
      <c r="X119" t="s">
        <v>373</v>
      </c>
      <c r="Y119">
        <v>431.3</v>
      </c>
      <c r="Z119">
        <v>424.33</v>
      </c>
      <c r="AB119" s="2">
        <v>1</v>
      </c>
      <c r="AC119">
        <v>206.54</v>
      </c>
      <c r="AD119">
        <v>196.26</v>
      </c>
      <c r="AF119" s="2">
        <v>1</v>
      </c>
      <c r="AG119">
        <v>237.98</v>
      </c>
      <c r="AH119">
        <v>228.86</v>
      </c>
      <c r="AJ119" s="2">
        <v>1</v>
      </c>
      <c r="AK119">
        <v>128.30000000000001</v>
      </c>
      <c r="AL119">
        <v>122.12</v>
      </c>
      <c r="AN119" s="2">
        <v>1</v>
      </c>
      <c r="AR119" t="s">
        <v>373</v>
      </c>
      <c r="AS119" t="s">
        <v>10</v>
      </c>
      <c r="AT119" t="str">
        <f t="shared" si="1"/>
        <v>Bowling Green - 443HC</v>
      </c>
    </row>
    <row r="120" spans="1:46" x14ac:dyDescent="0.25">
      <c r="A120" t="s">
        <v>316</v>
      </c>
      <c r="B120" t="s">
        <v>255</v>
      </c>
      <c r="C120" t="s">
        <v>104</v>
      </c>
      <c r="D120" s="50">
        <v>46023</v>
      </c>
      <c r="E120" s="2">
        <v>0.84699999999999998</v>
      </c>
      <c r="F120" s="2">
        <v>0.876</v>
      </c>
      <c r="G120" t="s">
        <v>373</v>
      </c>
      <c r="H120" t="s">
        <v>373</v>
      </c>
      <c r="I120" s="2">
        <v>0</v>
      </c>
      <c r="J120" s="2">
        <v>0</v>
      </c>
      <c r="K120" s="2">
        <v>0</v>
      </c>
      <c r="L120" s="2">
        <v>0</v>
      </c>
      <c r="M120" s="51">
        <v>0</v>
      </c>
      <c r="N120" s="51">
        <v>0</v>
      </c>
      <c r="P120" s="51">
        <v>0</v>
      </c>
      <c r="Q120" s="51">
        <v>70652</v>
      </c>
      <c r="R120" s="51">
        <v>138568</v>
      </c>
      <c r="T120" s="51">
        <v>138568</v>
      </c>
      <c r="U120" s="2">
        <v>0</v>
      </c>
      <c r="V120" s="2">
        <v>0</v>
      </c>
      <c r="W120" t="s">
        <v>373</v>
      </c>
      <c r="X120" t="s">
        <v>373</v>
      </c>
      <c r="Y120">
        <v>438.83</v>
      </c>
      <c r="Z120">
        <v>439.92</v>
      </c>
      <c r="AB120" s="2">
        <v>1</v>
      </c>
      <c r="AC120">
        <v>155.91999999999999</v>
      </c>
      <c r="AD120">
        <v>161.66999999999999</v>
      </c>
      <c r="AF120" s="2">
        <v>1</v>
      </c>
      <c r="AG120">
        <v>245.84</v>
      </c>
      <c r="AH120">
        <v>256.69</v>
      </c>
      <c r="AJ120" s="2">
        <v>1</v>
      </c>
      <c r="AN120" t="s">
        <v>373</v>
      </c>
      <c r="AR120" t="s">
        <v>373</v>
      </c>
      <c r="AS120" t="s">
        <v>10</v>
      </c>
      <c r="AT120" t="str">
        <f t="shared" si="1"/>
        <v>Findlay - 408HC</v>
      </c>
    </row>
    <row r="121" spans="1:46" x14ac:dyDescent="0.25">
      <c r="A121" t="s">
        <v>316</v>
      </c>
      <c r="B121" t="s">
        <v>255</v>
      </c>
      <c r="C121" t="s">
        <v>104</v>
      </c>
      <c r="D121" s="50">
        <v>46054</v>
      </c>
      <c r="E121" s="2">
        <v>0.91200000000000003</v>
      </c>
      <c r="F121" s="2">
        <v>0.876</v>
      </c>
      <c r="G121" t="s">
        <v>373</v>
      </c>
      <c r="H121" t="s">
        <v>373</v>
      </c>
      <c r="I121" s="2">
        <v>0</v>
      </c>
      <c r="J121" s="2">
        <v>0</v>
      </c>
      <c r="K121" s="2">
        <v>0</v>
      </c>
      <c r="L121" s="2">
        <v>0</v>
      </c>
      <c r="M121" s="51">
        <v>0</v>
      </c>
      <c r="N121" s="51">
        <v>0</v>
      </c>
      <c r="P121" s="51">
        <v>0</v>
      </c>
      <c r="Q121" s="51">
        <v>67916</v>
      </c>
      <c r="R121" s="51">
        <v>138568</v>
      </c>
      <c r="T121" s="51">
        <v>138568</v>
      </c>
      <c r="U121" s="2">
        <v>0</v>
      </c>
      <c r="V121" s="2">
        <v>0</v>
      </c>
      <c r="W121" t="s">
        <v>373</v>
      </c>
      <c r="X121" t="s">
        <v>373</v>
      </c>
      <c r="Y121">
        <v>441.01</v>
      </c>
      <c r="Z121">
        <v>439.92</v>
      </c>
      <c r="AB121" s="2">
        <v>1</v>
      </c>
      <c r="AC121">
        <v>167.42</v>
      </c>
      <c r="AD121">
        <v>161.66999999999999</v>
      </c>
      <c r="AF121" s="2">
        <v>1</v>
      </c>
      <c r="AG121">
        <v>267.54000000000002</v>
      </c>
      <c r="AH121">
        <v>256.69</v>
      </c>
      <c r="AJ121" s="2">
        <v>1</v>
      </c>
      <c r="AN121" t="s">
        <v>373</v>
      </c>
      <c r="AR121" t="s">
        <v>373</v>
      </c>
      <c r="AS121" t="s">
        <v>10</v>
      </c>
      <c r="AT121" t="str">
        <f t="shared" si="1"/>
        <v>Findlay - 408HC</v>
      </c>
    </row>
    <row r="122" spans="1:46" x14ac:dyDescent="0.25">
      <c r="A122" t="s">
        <v>316</v>
      </c>
      <c r="B122" t="s">
        <v>255</v>
      </c>
      <c r="C122" t="s">
        <v>109</v>
      </c>
      <c r="D122" s="50">
        <v>46023</v>
      </c>
      <c r="E122" s="2">
        <v>0.97899999999999998</v>
      </c>
      <c r="F122" s="2">
        <v>0.98299999999999998</v>
      </c>
      <c r="G122" t="s">
        <v>373</v>
      </c>
      <c r="H122" t="s">
        <v>373</v>
      </c>
      <c r="I122" s="2">
        <v>0</v>
      </c>
      <c r="J122" s="2">
        <v>0</v>
      </c>
      <c r="K122" s="2">
        <v>0</v>
      </c>
      <c r="L122" s="2">
        <v>0</v>
      </c>
      <c r="M122" s="51">
        <v>0</v>
      </c>
      <c r="N122" s="51">
        <v>0</v>
      </c>
      <c r="P122" s="51">
        <v>0</v>
      </c>
      <c r="Q122" s="51">
        <v>201520</v>
      </c>
      <c r="R122" s="51">
        <v>359319</v>
      </c>
      <c r="T122" s="51">
        <v>359319</v>
      </c>
      <c r="U122" s="2">
        <v>0</v>
      </c>
      <c r="V122" s="2">
        <v>0</v>
      </c>
      <c r="W122" t="s">
        <v>373</v>
      </c>
      <c r="X122" t="s">
        <v>373</v>
      </c>
      <c r="Y122">
        <v>431.52</v>
      </c>
      <c r="Z122">
        <v>431.33</v>
      </c>
      <c r="AB122" s="2">
        <v>1</v>
      </c>
      <c r="AC122">
        <v>169.42</v>
      </c>
      <c r="AD122">
        <v>179.94</v>
      </c>
      <c r="AF122" s="2">
        <v>1</v>
      </c>
      <c r="AG122">
        <v>228.94</v>
      </c>
      <c r="AH122">
        <v>241.21</v>
      </c>
      <c r="AJ122" s="2">
        <v>1</v>
      </c>
      <c r="AN122" t="s">
        <v>373</v>
      </c>
      <c r="AR122" t="s">
        <v>373</v>
      </c>
      <c r="AS122" t="s">
        <v>10</v>
      </c>
      <c r="AT122" t="str">
        <f t="shared" si="1"/>
        <v>Fremont - 403HC</v>
      </c>
    </row>
    <row r="123" spans="1:46" x14ac:dyDescent="0.25">
      <c r="A123" t="s">
        <v>316</v>
      </c>
      <c r="B123" t="s">
        <v>255</v>
      </c>
      <c r="C123" t="s">
        <v>109</v>
      </c>
      <c r="D123" s="50">
        <v>46054</v>
      </c>
      <c r="E123" s="2">
        <v>0.98799999999999999</v>
      </c>
      <c r="F123" s="2">
        <v>0.98299999999999998</v>
      </c>
      <c r="G123" t="s">
        <v>373</v>
      </c>
      <c r="H123" t="s">
        <v>373</v>
      </c>
      <c r="I123" s="2">
        <v>0</v>
      </c>
      <c r="J123" s="2">
        <v>0</v>
      </c>
      <c r="K123" s="2">
        <v>0</v>
      </c>
      <c r="L123" s="2">
        <v>0</v>
      </c>
      <c r="M123" s="51">
        <v>0</v>
      </c>
      <c r="N123" s="51">
        <v>0</v>
      </c>
      <c r="P123" s="51">
        <v>0</v>
      </c>
      <c r="Q123" s="51">
        <v>157799</v>
      </c>
      <c r="R123" s="51">
        <v>359319</v>
      </c>
      <c r="T123" s="51">
        <v>359319</v>
      </c>
      <c r="U123" s="2">
        <v>0</v>
      </c>
      <c r="V123" s="2">
        <v>0</v>
      </c>
      <c r="W123" t="s">
        <v>373</v>
      </c>
      <c r="X123" t="s">
        <v>373</v>
      </c>
      <c r="Y123">
        <v>431.14</v>
      </c>
      <c r="Z123">
        <v>431.33</v>
      </c>
      <c r="AB123" s="2">
        <v>1</v>
      </c>
      <c r="AC123">
        <v>190.47</v>
      </c>
      <c r="AD123">
        <v>179.94</v>
      </c>
      <c r="AF123" s="2">
        <v>1</v>
      </c>
      <c r="AG123">
        <v>253.47</v>
      </c>
      <c r="AH123">
        <v>241.21</v>
      </c>
      <c r="AJ123" s="2">
        <v>1</v>
      </c>
      <c r="AN123" t="s">
        <v>373</v>
      </c>
      <c r="AR123" t="s">
        <v>373</v>
      </c>
      <c r="AS123" t="s">
        <v>10</v>
      </c>
      <c r="AT123" t="str">
        <f t="shared" si="1"/>
        <v>Fremont - 403HC</v>
      </c>
    </row>
    <row r="124" spans="1:46" x14ac:dyDescent="0.25">
      <c r="A124" t="s">
        <v>316</v>
      </c>
      <c r="B124" t="s">
        <v>255</v>
      </c>
      <c r="C124" t="s">
        <v>114</v>
      </c>
      <c r="D124" s="50">
        <v>46023</v>
      </c>
      <c r="E124" s="2">
        <v>0.95799999999999996</v>
      </c>
      <c r="F124" s="2">
        <v>0.94099999999999995</v>
      </c>
      <c r="G124" t="s">
        <v>373</v>
      </c>
      <c r="H124" t="s">
        <v>373</v>
      </c>
      <c r="I124" s="2">
        <v>0</v>
      </c>
      <c r="J124" s="2">
        <v>0</v>
      </c>
      <c r="K124" s="2">
        <v>0</v>
      </c>
      <c r="L124" s="2">
        <v>0</v>
      </c>
      <c r="M124" s="51">
        <v>960</v>
      </c>
      <c r="N124" s="51">
        <v>960</v>
      </c>
      <c r="P124" s="51">
        <v>960</v>
      </c>
      <c r="Q124" s="51">
        <v>172606</v>
      </c>
      <c r="R124" s="51">
        <v>390744</v>
      </c>
      <c r="T124" s="51">
        <v>390744</v>
      </c>
      <c r="U124" s="2">
        <v>6.0000000000000001E-3</v>
      </c>
      <c r="V124" s="2">
        <v>2E-3</v>
      </c>
      <c r="W124" t="s">
        <v>373</v>
      </c>
      <c r="X124" t="s">
        <v>373</v>
      </c>
      <c r="Y124">
        <v>450.67</v>
      </c>
      <c r="Z124">
        <v>453.04</v>
      </c>
      <c r="AB124" s="2">
        <v>1</v>
      </c>
      <c r="AC124">
        <v>155.87</v>
      </c>
      <c r="AD124">
        <v>163.77000000000001</v>
      </c>
      <c r="AF124" s="2">
        <v>1</v>
      </c>
      <c r="AG124">
        <v>202.99</v>
      </c>
      <c r="AH124">
        <v>211.93</v>
      </c>
      <c r="AJ124" s="2">
        <v>1</v>
      </c>
      <c r="AN124" t="s">
        <v>373</v>
      </c>
      <c r="AR124" t="s">
        <v>373</v>
      </c>
      <c r="AS124" t="s">
        <v>10</v>
      </c>
      <c r="AT124" t="str">
        <f t="shared" si="1"/>
        <v>Genoa - 411HC</v>
      </c>
    </row>
    <row r="125" spans="1:46" x14ac:dyDescent="0.25">
      <c r="A125" t="s">
        <v>316</v>
      </c>
      <c r="B125" t="s">
        <v>255</v>
      </c>
      <c r="C125" t="s">
        <v>114</v>
      </c>
      <c r="D125" s="50">
        <v>46054</v>
      </c>
      <c r="E125" s="2">
        <v>0.92300000000000004</v>
      </c>
      <c r="F125" s="2">
        <v>0.94099999999999995</v>
      </c>
      <c r="G125" t="s">
        <v>373</v>
      </c>
      <c r="H125" t="s">
        <v>373</v>
      </c>
      <c r="I125" s="2">
        <v>0</v>
      </c>
      <c r="J125" s="2">
        <v>0</v>
      </c>
      <c r="K125" s="2">
        <v>0</v>
      </c>
      <c r="L125" s="2">
        <v>0</v>
      </c>
      <c r="M125" s="51">
        <v>0</v>
      </c>
      <c r="N125" s="51">
        <v>960</v>
      </c>
      <c r="P125" s="51">
        <v>960</v>
      </c>
      <c r="Q125" s="51">
        <v>218138</v>
      </c>
      <c r="R125" s="51">
        <v>390744</v>
      </c>
      <c r="T125" s="51">
        <v>390744</v>
      </c>
      <c r="U125" s="2">
        <v>0</v>
      </c>
      <c r="V125" s="2">
        <v>2E-3</v>
      </c>
      <c r="W125" t="s">
        <v>373</v>
      </c>
      <c r="X125" t="s">
        <v>373</v>
      </c>
      <c r="Y125">
        <v>455.4</v>
      </c>
      <c r="Z125">
        <v>453.04</v>
      </c>
      <c r="AB125" s="2">
        <v>1</v>
      </c>
      <c r="AC125">
        <v>171.66</v>
      </c>
      <c r="AD125">
        <v>163.77000000000001</v>
      </c>
      <c r="AF125" s="2">
        <v>1</v>
      </c>
      <c r="AG125">
        <v>220.88</v>
      </c>
      <c r="AH125">
        <v>211.93</v>
      </c>
      <c r="AJ125" s="2">
        <v>1</v>
      </c>
      <c r="AN125" t="s">
        <v>373</v>
      </c>
      <c r="AR125" t="s">
        <v>373</v>
      </c>
      <c r="AS125" t="s">
        <v>10</v>
      </c>
      <c r="AT125" t="str">
        <f t="shared" si="1"/>
        <v>Genoa - 411HC</v>
      </c>
    </row>
    <row r="126" spans="1:46" x14ac:dyDescent="0.25">
      <c r="A126" t="s">
        <v>316</v>
      </c>
      <c r="B126" t="s">
        <v>255</v>
      </c>
      <c r="C126" t="s">
        <v>136</v>
      </c>
      <c r="D126" s="50">
        <v>46023</v>
      </c>
      <c r="E126" s="2">
        <v>0.876</v>
      </c>
      <c r="F126" s="2">
        <v>0.875</v>
      </c>
      <c r="G126" t="s">
        <v>373</v>
      </c>
      <c r="H126" t="s">
        <v>373</v>
      </c>
      <c r="I126" s="2">
        <v>0</v>
      </c>
      <c r="J126" s="2">
        <v>0</v>
      </c>
      <c r="K126" s="2">
        <v>0</v>
      </c>
      <c r="L126" s="2">
        <v>0</v>
      </c>
      <c r="M126" s="51">
        <v>0</v>
      </c>
      <c r="N126" s="51">
        <v>0</v>
      </c>
      <c r="P126" s="51">
        <v>0</v>
      </c>
      <c r="Q126" s="51">
        <v>67505</v>
      </c>
      <c r="R126" s="51">
        <v>162313</v>
      </c>
      <c r="T126" s="51">
        <v>162313</v>
      </c>
      <c r="U126" s="2">
        <v>0</v>
      </c>
      <c r="V126" s="2">
        <v>0</v>
      </c>
      <c r="W126" t="s">
        <v>373</v>
      </c>
      <c r="X126" t="s">
        <v>373</v>
      </c>
      <c r="Y126">
        <v>438.34</v>
      </c>
      <c r="Z126">
        <v>427.08</v>
      </c>
      <c r="AB126" s="2">
        <v>1</v>
      </c>
      <c r="AC126">
        <v>199.4</v>
      </c>
      <c r="AD126">
        <v>207.3</v>
      </c>
      <c r="AF126" s="2">
        <v>1</v>
      </c>
      <c r="AG126">
        <v>315.47000000000003</v>
      </c>
      <c r="AH126">
        <v>335.47</v>
      </c>
      <c r="AJ126" s="2">
        <v>1</v>
      </c>
      <c r="AN126" t="s">
        <v>373</v>
      </c>
      <c r="AR126" t="s">
        <v>373</v>
      </c>
      <c r="AS126" t="s">
        <v>10</v>
      </c>
      <c r="AT126" t="str">
        <f t="shared" si="1"/>
        <v>Kalida - 406HC</v>
      </c>
    </row>
    <row r="127" spans="1:46" x14ac:dyDescent="0.25">
      <c r="A127" t="s">
        <v>316</v>
      </c>
      <c r="B127" t="s">
        <v>255</v>
      </c>
      <c r="C127" t="s">
        <v>136</v>
      </c>
      <c r="D127" s="50">
        <v>46054</v>
      </c>
      <c r="E127" s="2">
        <v>0.874</v>
      </c>
      <c r="F127" s="2">
        <v>0.875</v>
      </c>
      <c r="G127" t="s">
        <v>373</v>
      </c>
      <c r="H127" t="s">
        <v>373</v>
      </c>
      <c r="I127" s="2">
        <v>0</v>
      </c>
      <c r="J127" s="2">
        <v>0</v>
      </c>
      <c r="K127" s="2">
        <v>0</v>
      </c>
      <c r="L127" s="2">
        <v>0</v>
      </c>
      <c r="M127" s="51">
        <v>0</v>
      </c>
      <c r="N127" s="51">
        <v>0</v>
      </c>
      <c r="P127" s="51">
        <v>0</v>
      </c>
      <c r="Q127" s="51">
        <v>94808</v>
      </c>
      <c r="R127" s="51">
        <v>162313</v>
      </c>
      <c r="T127" s="51">
        <v>162313</v>
      </c>
      <c r="U127" s="2">
        <v>0</v>
      </c>
      <c r="V127" s="2">
        <v>0</v>
      </c>
      <c r="W127" t="s">
        <v>373</v>
      </c>
      <c r="X127" t="s">
        <v>373</v>
      </c>
      <c r="Y127">
        <v>415.82</v>
      </c>
      <c r="Z127">
        <v>427.08</v>
      </c>
      <c r="AB127" s="2">
        <v>1</v>
      </c>
      <c r="AC127">
        <v>215.2</v>
      </c>
      <c r="AD127">
        <v>207.3</v>
      </c>
      <c r="AF127" s="2">
        <v>1</v>
      </c>
      <c r="AG127">
        <v>355.47</v>
      </c>
      <c r="AH127">
        <v>335.47</v>
      </c>
      <c r="AJ127" s="2">
        <v>1</v>
      </c>
      <c r="AN127" t="s">
        <v>373</v>
      </c>
      <c r="AR127" t="s">
        <v>373</v>
      </c>
      <c r="AS127" t="s">
        <v>10</v>
      </c>
      <c r="AT127" t="str">
        <f t="shared" si="1"/>
        <v>Kalida - 406HC</v>
      </c>
    </row>
    <row r="128" spans="1:46" x14ac:dyDescent="0.25">
      <c r="A128" t="s">
        <v>316</v>
      </c>
      <c r="B128" t="s">
        <v>255</v>
      </c>
      <c r="C128" t="s">
        <v>152</v>
      </c>
      <c r="D128" s="50">
        <v>46023</v>
      </c>
      <c r="E128" s="2">
        <v>0.83899999999999997</v>
      </c>
      <c r="F128" s="2">
        <v>0.83599999999999997</v>
      </c>
      <c r="G128" t="s">
        <v>373</v>
      </c>
      <c r="H128" t="s">
        <v>373</v>
      </c>
      <c r="I128" s="2">
        <v>0</v>
      </c>
      <c r="J128" s="2">
        <v>0</v>
      </c>
      <c r="K128" s="2">
        <v>0</v>
      </c>
      <c r="L128" s="2">
        <v>0</v>
      </c>
      <c r="M128" s="51">
        <v>234</v>
      </c>
      <c r="N128" s="51">
        <v>234</v>
      </c>
      <c r="P128" s="51">
        <v>234</v>
      </c>
      <c r="Q128" s="51">
        <v>82083</v>
      </c>
      <c r="R128" s="51">
        <v>156603</v>
      </c>
      <c r="T128" s="51">
        <v>156603</v>
      </c>
      <c r="U128" s="2">
        <v>3.0000000000000001E-3</v>
      </c>
      <c r="V128" s="2">
        <v>1E-3</v>
      </c>
      <c r="W128" t="s">
        <v>373</v>
      </c>
      <c r="X128" t="s">
        <v>373</v>
      </c>
      <c r="Y128">
        <v>385.37</v>
      </c>
      <c r="Z128">
        <v>375.33</v>
      </c>
      <c r="AB128" s="2">
        <v>1</v>
      </c>
      <c r="AC128">
        <v>176.66</v>
      </c>
      <c r="AD128">
        <v>185.16</v>
      </c>
      <c r="AF128" s="2">
        <v>1</v>
      </c>
      <c r="AJ128" t="s">
        <v>373</v>
      </c>
      <c r="AN128" t="s">
        <v>373</v>
      </c>
      <c r="AO128">
        <v>48.68</v>
      </c>
      <c r="AP128">
        <v>51.08</v>
      </c>
      <c r="AR128" s="2">
        <v>1</v>
      </c>
      <c r="AS128" t="s">
        <v>10</v>
      </c>
      <c r="AT128" t="str">
        <f t="shared" si="1"/>
        <v>Leipsic - 409HC</v>
      </c>
    </row>
    <row r="129" spans="1:46" x14ac:dyDescent="0.25">
      <c r="A129" t="s">
        <v>316</v>
      </c>
      <c r="B129" t="s">
        <v>255</v>
      </c>
      <c r="C129" t="s">
        <v>152</v>
      </c>
      <c r="D129" s="50">
        <v>46054</v>
      </c>
      <c r="E129" s="2">
        <v>0.83399999999999996</v>
      </c>
      <c r="F129" s="2">
        <v>0.83599999999999997</v>
      </c>
      <c r="G129" t="s">
        <v>373</v>
      </c>
      <c r="H129" t="s">
        <v>373</v>
      </c>
      <c r="I129" s="2">
        <v>0</v>
      </c>
      <c r="J129" s="2">
        <v>0</v>
      </c>
      <c r="K129" s="2">
        <v>0</v>
      </c>
      <c r="L129" s="2">
        <v>0</v>
      </c>
      <c r="M129" s="51">
        <v>0</v>
      </c>
      <c r="N129" s="51">
        <v>234</v>
      </c>
      <c r="P129" s="51">
        <v>234</v>
      </c>
      <c r="Q129" s="51">
        <v>74520</v>
      </c>
      <c r="R129" s="51">
        <v>156603</v>
      </c>
      <c r="T129" s="51">
        <v>156603</v>
      </c>
      <c r="U129" s="2">
        <v>0</v>
      </c>
      <c r="V129" s="2">
        <v>1E-3</v>
      </c>
      <c r="W129" t="s">
        <v>373</v>
      </c>
      <c r="X129" t="s">
        <v>373</v>
      </c>
      <c r="Y129">
        <v>365.29</v>
      </c>
      <c r="Z129">
        <v>375.33</v>
      </c>
      <c r="AB129" s="2">
        <v>1</v>
      </c>
      <c r="AC129">
        <v>193.66</v>
      </c>
      <c r="AD129">
        <v>185.16</v>
      </c>
      <c r="AF129" s="2">
        <v>1</v>
      </c>
      <c r="AJ129" t="s">
        <v>373</v>
      </c>
      <c r="AN129" t="s">
        <v>373</v>
      </c>
      <c r="AO129">
        <v>53.48</v>
      </c>
      <c r="AP129">
        <v>51.08</v>
      </c>
      <c r="AR129" s="2">
        <v>1</v>
      </c>
      <c r="AS129" t="s">
        <v>10</v>
      </c>
      <c r="AT129" t="str">
        <f t="shared" si="1"/>
        <v>Leipsic - 409HC</v>
      </c>
    </row>
    <row r="130" spans="1:46" x14ac:dyDescent="0.25">
      <c r="A130" t="s">
        <v>316</v>
      </c>
      <c r="B130" t="s">
        <v>255</v>
      </c>
      <c r="C130" t="s">
        <v>185</v>
      </c>
      <c r="D130" s="50">
        <v>46023</v>
      </c>
      <c r="E130" s="2">
        <v>0.95699999999999996</v>
      </c>
      <c r="F130" s="2">
        <v>0.95399999999999996</v>
      </c>
      <c r="G130" t="s">
        <v>373</v>
      </c>
      <c r="H130" t="s">
        <v>373</v>
      </c>
      <c r="I130" s="2">
        <v>0</v>
      </c>
      <c r="J130" s="2">
        <v>0</v>
      </c>
      <c r="K130" s="2">
        <v>0</v>
      </c>
      <c r="L130" s="2">
        <v>0</v>
      </c>
      <c r="M130" s="51">
        <v>877</v>
      </c>
      <c r="N130" s="51">
        <v>2913</v>
      </c>
      <c r="P130" s="51">
        <v>2913</v>
      </c>
      <c r="Q130" s="51">
        <v>132631</v>
      </c>
      <c r="R130" s="51">
        <v>261215</v>
      </c>
      <c r="T130" s="51">
        <v>261215</v>
      </c>
      <c r="U130" s="2">
        <v>7.0000000000000001E-3</v>
      </c>
      <c r="V130" s="2">
        <v>1.0999999999999999E-2</v>
      </c>
      <c r="W130" t="s">
        <v>373</v>
      </c>
      <c r="X130" t="s">
        <v>373</v>
      </c>
      <c r="Y130">
        <v>504.3</v>
      </c>
      <c r="Z130">
        <v>503.29</v>
      </c>
      <c r="AB130" s="2">
        <v>1</v>
      </c>
      <c r="AC130">
        <v>176.66</v>
      </c>
      <c r="AD130">
        <v>186.12</v>
      </c>
      <c r="AF130" s="2">
        <v>1</v>
      </c>
      <c r="AG130">
        <v>243.31</v>
      </c>
      <c r="AH130">
        <v>257.02999999999997</v>
      </c>
      <c r="AJ130" s="2">
        <v>1</v>
      </c>
      <c r="AN130" t="s">
        <v>373</v>
      </c>
      <c r="AO130">
        <v>102.14</v>
      </c>
      <c r="AP130">
        <v>107.47</v>
      </c>
      <c r="AR130" s="2">
        <v>1</v>
      </c>
      <c r="AS130" t="s">
        <v>10</v>
      </c>
      <c r="AT130" t="str">
        <f t="shared" si="1"/>
        <v>Monclova - 2422HC</v>
      </c>
    </row>
    <row r="131" spans="1:46" x14ac:dyDescent="0.25">
      <c r="A131" t="s">
        <v>316</v>
      </c>
      <c r="B131" t="s">
        <v>255</v>
      </c>
      <c r="C131" t="s">
        <v>185</v>
      </c>
      <c r="D131" s="50">
        <v>46054</v>
      </c>
      <c r="E131" s="2">
        <v>0.95</v>
      </c>
      <c r="F131" s="2">
        <v>0.95399999999999996</v>
      </c>
      <c r="G131" t="s">
        <v>373</v>
      </c>
      <c r="H131" t="s">
        <v>373</v>
      </c>
      <c r="I131" s="2">
        <v>0</v>
      </c>
      <c r="J131" s="2">
        <v>0</v>
      </c>
      <c r="K131" s="2">
        <v>0</v>
      </c>
      <c r="L131" s="2">
        <v>0</v>
      </c>
      <c r="M131" s="51">
        <v>2036</v>
      </c>
      <c r="N131" s="51">
        <v>2913</v>
      </c>
      <c r="P131" s="51">
        <v>2913</v>
      </c>
      <c r="Q131" s="51">
        <v>128584</v>
      </c>
      <c r="R131" s="51">
        <v>261215</v>
      </c>
      <c r="T131" s="51">
        <v>261215</v>
      </c>
      <c r="U131" s="2">
        <v>1.6E-2</v>
      </c>
      <c r="V131" s="2">
        <v>1.0999999999999999E-2</v>
      </c>
      <c r="W131" t="s">
        <v>373</v>
      </c>
      <c r="X131" t="s">
        <v>373</v>
      </c>
      <c r="Y131">
        <v>502.28</v>
      </c>
      <c r="Z131">
        <v>503.29</v>
      </c>
      <c r="AB131" s="2">
        <v>1</v>
      </c>
      <c r="AC131">
        <v>195.59</v>
      </c>
      <c r="AD131">
        <v>186.12</v>
      </c>
      <c r="AF131" s="2">
        <v>1</v>
      </c>
      <c r="AG131">
        <v>270.76</v>
      </c>
      <c r="AH131">
        <v>257.02999999999997</v>
      </c>
      <c r="AJ131" s="2">
        <v>1</v>
      </c>
      <c r="AN131" t="s">
        <v>373</v>
      </c>
      <c r="AO131">
        <v>112.79</v>
      </c>
      <c r="AP131">
        <v>107.47</v>
      </c>
      <c r="AR131" s="2">
        <v>1</v>
      </c>
      <c r="AS131" t="s">
        <v>10</v>
      </c>
      <c r="AT131" t="str">
        <f t="shared" ref="AT131:AT194" si="2">C131&amp;AS131</f>
        <v>Monclova - 2422HC</v>
      </c>
    </row>
    <row r="132" spans="1:46" x14ac:dyDescent="0.25">
      <c r="A132" t="s">
        <v>316</v>
      </c>
      <c r="B132" t="s">
        <v>255</v>
      </c>
      <c r="C132" t="s">
        <v>202</v>
      </c>
      <c r="D132" s="50">
        <v>46023</v>
      </c>
      <c r="E132" s="2">
        <v>0.90800000000000003</v>
      </c>
      <c r="F132" s="2">
        <v>0.94399999999999995</v>
      </c>
      <c r="G132" t="s">
        <v>373</v>
      </c>
      <c r="H132" t="s">
        <v>373</v>
      </c>
      <c r="I132" s="2">
        <v>0</v>
      </c>
      <c r="J132" s="2">
        <v>0</v>
      </c>
      <c r="K132" s="2">
        <v>0</v>
      </c>
      <c r="L132" s="2">
        <v>0</v>
      </c>
      <c r="M132" s="51">
        <v>0</v>
      </c>
      <c r="N132" s="51">
        <v>0</v>
      </c>
      <c r="P132" s="51">
        <v>0</v>
      </c>
      <c r="Q132" s="51">
        <v>85777</v>
      </c>
      <c r="R132" s="51">
        <v>164750</v>
      </c>
      <c r="T132" s="51">
        <v>164750</v>
      </c>
      <c r="U132" s="2">
        <v>0</v>
      </c>
      <c r="V132" s="2">
        <v>0</v>
      </c>
      <c r="W132" t="s">
        <v>373</v>
      </c>
      <c r="X132" t="s">
        <v>373</v>
      </c>
      <c r="Y132">
        <v>343.11</v>
      </c>
      <c r="Z132">
        <v>351.86</v>
      </c>
      <c r="AB132" s="2">
        <v>1</v>
      </c>
      <c r="AC132">
        <v>172.93</v>
      </c>
      <c r="AD132">
        <v>183.17</v>
      </c>
      <c r="AF132" s="2">
        <v>1</v>
      </c>
      <c r="AJ132" t="s">
        <v>373</v>
      </c>
      <c r="AN132" t="s">
        <v>373</v>
      </c>
      <c r="AR132" t="s">
        <v>373</v>
      </c>
      <c r="AS132" t="s">
        <v>10</v>
      </c>
      <c r="AT132" t="str">
        <f t="shared" si="2"/>
        <v>North Baltimore - 415HC</v>
      </c>
    </row>
    <row r="133" spans="1:46" x14ac:dyDescent="0.25">
      <c r="A133" t="s">
        <v>316</v>
      </c>
      <c r="B133" t="s">
        <v>255</v>
      </c>
      <c r="C133" t="s">
        <v>202</v>
      </c>
      <c r="D133" s="50">
        <v>46054</v>
      </c>
      <c r="E133" s="2">
        <v>0.98499999999999999</v>
      </c>
      <c r="F133" s="2">
        <v>0.94399999999999995</v>
      </c>
      <c r="G133" t="s">
        <v>373</v>
      </c>
      <c r="H133" t="s">
        <v>373</v>
      </c>
      <c r="I133" s="2">
        <v>0</v>
      </c>
      <c r="J133" s="2">
        <v>0</v>
      </c>
      <c r="K133" s="2">
        <v>0</v>
      </c>
      <c r="L133" s="2">
        <v>0</v>
      </c>
      <c r="M133" s="51">
        <v>0</v>
      </c>
      <c r="N133" s="51">
        <v>0</v>
      </c>
      <c r="P133" s="51">
        <v>0</v>
      </c>
      <c r="Q133" s="51">
        <v>78973</v>
      </c>
      <c r="R133" s="51">
        <v>164750</v>
      </c>
      <c r="T133" s="51">
        <v>164750</v>
      </c>
      <c r="U133" s="2">
        <v>0</v>
      </c>
      <c r="V133" s="2">
        <v>0</v>
      </c>
      <c r="W133" t="s">
        <v>373</v>
      </c>
      <c r="X133" t="s">
        <v>373</v>
      </c>
      <c r="Y133">
        <v>360.61</v>
      </c>
      <c r="Z133">
        <v>351.86</v>
      </c>
      <c r="AB133" s="2">
        <v>1</v>
      </c>
      <c r="AC133">
        <v>193.41</v>
      </c>
      <c r="AD133">
        <v>183.17</v>
      </c>
      <c r="AF133" s="2">
        <v>1</v>
      </c>
      <c r="AJ133" t="s">
        <v>373</v>
      </c>
      <c r="AN133" t="s">
        <v>373</v>
      </c>
      <c r="AR133" t="s">
        <v>373</v>
      </c>
      <c r="AS133" t="s">
        <v>10</v>
      </c>
      <c r="AT133" t="str">
        <f t="shared" si="2"/>
        <v>North Baltimore - 415HC</v>
      </c>
    </row>
    <row r="134" spans="1:46" x14ac:dyDescent="0.25">
      <c r="A134" t="s">
        <v>316</v>
      </c>
      <c r="B134" t="s">
        <v>255</v>
      </c>
      <c r="C134" t="s">
        <v>205</v>
      </c>
      <c r="D134" s="50">
        <v>46023</v>
      </c>
      <c r="E134" s="2">
        <v>0.96599999999999997</v>
      </c>
      <c r="F134" s="2">
        <v>0.96599999999999997</v>
      </c>
      <c r="G134" t="s">
        <v>373</v>
      </c>
      <c r="H134" t="s">
        <v>373</v>
      </c>
      <c r="I134" s="2">
        <v>0</v>
      </c>
      <c r="J134" s="2">
        <v>0</v>
      </c>
      <c r="K134" s="2">
        <v>0</v>
      </c>
      <c r="L134" s="2">
        <v>0</v>
      </c>
      <c r="M134" s="51">
        <v>5050</v>
      </c>
      <c r="N134" s="51">
        <v>6170</v>
      </c>
      <c r="P134" s="51">
        <v>6170</v>
      </c>
      <c r="Q134" s="51">
        <v>267886</v>
      </c>
      <c r="R134" s="51">
        <v>457283</v>
      </c>
      <c r="T134" s="51">
        <v>457283</v>
      </c>
      <c r="U134" s="2">
        <v>1.9E-2</v>
      </c>
      <c r="V134" s="2">
        <v>1.2999999999999999E-2</v>
      </c>
      <c r="W134" t="s">
        <v>373</v>
      </c>
      <c r="X134" t="s">
        <v>373</v>
      </c>
      <c r="Y134">
        <v>413.4</v>
      </c>
      <c r="Z134">
        <v>421.44</v>
      </c>
      <c r="AB134" s="2">
        <v>1</v>
      </c>
      <c r="AC134">
        <v>213.75</v>
      </c>
      <c r="AD134">
        <v>224.88</v>
      </c>
      <c r="AF134" s="2">
        <v>1</v>
      </c>
      <c r="AJ134" t="s">
        <v>373</v>
      </c>
      <c r="AN134" t="s">
        <v>373</v>
      </c>
      <c r="AP134">
        <v>176.82</v>
      </c>
      <c r="AR134" s="2">
        <v>1</v>
      </c>
      <c r="AS134" t="s">
        <v>10</v>
      </c>
      <c r="AT134" t="str">
        <f t="shared" si="2"/>
        <v>Ottawa MO - 430HC</v>
      </c>
    </row>
    <row r="135" spans="1:46" x14ac:dyDescent="0.25">
      <c r="A135" t="s">
        <v>316</v>
      </c>
      <c r="B135" t="s">
        <v>255</v>
      </c>
      <c r="C135" t="s">
        <v>205</v>
      </c>
      <c r="D135" s="50">
        <v>46054</v>
      </c>
      <c r="E135" s="2">
        <v>0.96699999999999997</v>
      </c>
      <c r="F135" s="2">
        <v>0.96599999999999997</v>
      </c>
      <c r="G135" t="s">
        <v>373</v>
      </c>
      <c r="H135" t="s">
        <v>373</v>
      </c>
      <c r="I135" s="2">
        <v>0</v>
      </c>
      <c r="J135" s="2">
        <v>0</v>
      </c>
      <c r="K135" s="2">
        <v>0</v>
      </c>
      <c r="L135" s="2">
        <v>0</v>
      </c>
      <c r="M135" s="51">
        <v>1120</v>
      </c>
      <c r="N135" s="51">
        <v>6170</v>
      </c>
      <c r="P135" s="51">
        <v>6170</v>
      </c>
      <c r="Q135" s="51">
        <v>189397</v>
      </c>
      <c r="R135" s="51">
        <v>457283</v>
      </c>
      <c r="T135" s="51">
        <v>457283</v>
      </c>
      <c r="U135" s="2">
        <v>6.0000000000000001E-3</v>
      </c>
      <c r="V135" s="2">
        <v>1.2999999999999999E-2</v>
      </c>
      <c r="W135" t="s">
        <v>373</v>
      </c>
      <c r="X135" t="s">
        <v>373</v>
      </c>
      <c r="Y135">
        <v>429.47</v>
      </c>
      <c r="Z135">
        <v>421.44</v>
      </c>
      <c r="AB135" s="2">
        <v>1</v>
      </c>
      <c r="AC135">
        <v>236.01</v>
      </c>
      <c r="AD135">
        <v>224.88</v>
      </c>
      <c r="AF135" s="2">
        <v>1</v>
      </c>
      <c r="AJ135" t="s">
        <v>373</v>
      </c>
      <c r="AN135" t="s">
        <v>373</v>
      </c>
      <c r="AO135">
        <v>176.82</v>
      </c>
      <c r="AP135">
        <v>176.82</v>
      </c>
      <c r="AR135" s="2">
        <v>1</v>
      </c>
      <c r="AS135" t="s">
        <v>10</v>
      </c>
      <c r="AT135" t="str">
        <f t="shared" si="2"/>
        <v>Ottawa MO - 430HC</v>
      </c>
    </row>
    <row r="136" spans="1:46" x14ac:dyDescent="0.25">
      <c r="A136" t="s">
        <v>316</v>
      </c>
      <c r="B136" t="s">
        <v>255</v>
      </c>
      <c r="C136" t="s">
        <v>226</v>
      </c>
      <c r="D136" s="50">
        <v>46023</v>
      </c>
      <c r="E136" s="2">
        <v>0.97299999999999998</v>
      </c>
      <c r="F136" s="2">
        <v>0.96699999999999997</v>
      </c>
      <c r="G136" t="s">
        <v>373</v>
      </c>
      <c r="H136" t="s">
        <v>373</v>
      </c>
      <c r="I136" s="2">
        <v>0</v>
      </c>
      <c r="J136" s="2">
        <v>0</v>
      </c>
      <c r="K136" s="2">
        <v>0</v>
      </c>
      <c r="L136" s="2">
        <v>0</v>
      </c>
      <c r="M136" s="51">
        <v>1330</v>
      </c>
      <c r="N136" s="51">
        <v>1330</v>
      </c>
      <c r="P136" s="51">
        <v>1330</v>
      </c>
      <c r="Q136" s="51">
        <v>172633</v>
      </c>
      <c r="R136" s="51">
        <v>339060</v>
      </c>
      <c r="T136" s="51">
        <v>339060</v>
      </c>
      <c r="U136" s="2">
        <v>8.0000000000000002E-3</v>
      </c>
      <c r="V136" s="2">
        <v>4.0000000000000001E-3</v>
      </c>
      <c r="W136" t="s">
        <v>373</v>
      </c>
      <c r="X136" t="s">
        <v>373</v>
      </c>
      <c r="Y136">
        <v>498.94</v>
      </c>
      <c r="Z136">
        <v>495.66</v>
      </c>
      <c r="AB136" s="2">
        <v>1</v>
      </c>
      <c r="AC136">
        <v>191.76</v>
      </c>
      <c r="AD136">
        <v>202.19</v>
      </c>
      <c r="AF136" s="2">
        <v>1</v>
      </c>
      <c r="AJ136" t="s">
        <v>373</v>
      </c>
      <c r="AN136" t="s">
        <v>373</v>
      </c>
      <c r="AO136">
        <v>115.71</v>
      </c>
      <c r="AP136">
        <v>122.15</v>
      </c>
      <c r="AR136" s="2">
        <v>1</v>
      </c>
      <c r="AS136" t="s">
        <v>10</v>
      </c>
      <c r="AT136" t="str">
        <f t="shared" si="2"/>
        <v>Sylvania - 2427HC</v>
      </c>
    </row>
    <row r="137" spans="1:46" x14ac:dyDescent="0.25">
      <c r="A137" t="s">
        <v>316</v>
      </c>
      <c r="B137" t="s">
        <v>255</v>
      </c>
      <c r="C137" t="s">
        <v>226</v>
      </c>
      <c r="D137" s="50">
        <v>46054</v>
      </c>
      <c r="E137" s="2">
        <v>0.96099999999999997</v>
      </c>
      <c r="F137" s="2">
        <v>0.96699999999999997</v>
      </c>
      <c r="G137" t="s">
        <v>373</v>
      </c>
      <c r="H137" t="s">
        <v>373</v>
      </c>
      <c r="I137" s="2">
        <v>0</v>
      </c>
      <c r="J137" s="2">
        <v>0</v>
      </c>
      <c r="K137" s="2">
        <v>0</v>
      </c>
      <c r="L137" s="2">
        <v>0</v>
      </c>
      <c r="M137" s="51">
        <v>0</v>
      </c>
      <c r="N137" s="51">
        <v>1330</v>
      </c>
      <c r="P137" s="51">
        <v>1330</v>
      </c>
      <c r="Q137" s="51">
        <v>166427</v>
      </c>
      <c r="R137" s="51">
        <v>339060</v>
      </c>
      <c r="T137" s="51">
        <v>339060</v>
      </c>
      <c r="U137" s="2">
        <v>0</v>
      </c>
      <c r="V137" s="2">
        <v>4.0000000000000001E-3</v>
      </c>
      <c r="W137" t="s">
        <v>373</v>
      </c>
      <c r="X137" t="s">
        <v>373</v>
      </c>
      <c r="Y137">
        <v>492.39</v>
      </c>
      <c r="Z137">
        <v>495.66</v>
      </c>
      <c r="AB137" s="2">
        <v>1</v>
      </c>
      <c r="AC137">
        <v>212.61</v>
      </c>
      <c r="AD137">
        <v>202.19</v>
      </c>
      <c r="AF137" s="2">
        <v>1</v>
      </c>
      <c r="AJ137" t="s">
        <v>373</v>
      </c>
      <c r="AN137" t="s">
        <v>373</v>
      </c>
      <c r="AO137">
        <v>128.6</v>
      </c>
      <c r="AP137">
        <v>122.15</v>
      </c>
      <c r="AR137" s="2">
        <v>1</v>
      </c>
      <c r="AS137" t="s">
        <v>10</v>
      </c>
      <c r="AT137" t="str">
        <f t="shared" si="2"/>
        <v>Sylvania - 2427HC</v>
      </c>
    </row>
    <row r="138" spans="1:46" x14ac:dyDescent="0.25">
      <c r="A138" t="s">
        <v>316</v>
      </c>
      <c r="B138" t="s">
        <v>255</v>
      </c>
      <c r="C138" t="s">
        <v>231</v>
      </c>
      <c r="D138" s="50">
        <v>46023</v>
      </c>
      <c r="E138" s="2">
        <v>1.2410000000000001</v>
      </c>
      <c r="F138" s="2">
        <v>1.2370000000000001</v>
      </c>
      <c r="G138" t="s">
        <v>373</v>
      </c>
      <c r="H138" t="s">
        <v>373</v>
      </c>
      <c r="I138" s="2">
        <v>0</v>
      </c>
      <c r="J138" s="2">
        <v>0</v>
      </c>
      <c r="K138" s="2">
        <v>0</v>
      </c>
      <c r="L138" s="2">
        <v>0</v>
      </c>
      <c r="M138" s="51">
        <v>0</v>
      </c>
      <c r="N138" s="51">
        <v>0</v>
      </c>
      <c r="P138" s="51">
        <v>0</v>
      </c>
      <c r="Q138" s="51">
        <v>279873</v>
      </c>
      <c r="R138" s="51">
        <v>549626</v>
      </c>
      <c r="T138" s="51">
        <v>549626</v>
      </c>
      <c r="U138" s="2">
        <v>0</v>
      </c>
      <c r="V138" s="2">
        <v>0</v>
      </c>
      <c r="W138" t="s">
        <v>373</v>
      </c>
      <c r="X138" t="s">
        <v>373</v>
      </c>
      <c r="Y138">
        <v>400.96</v>
      </c>
      <c r="Z138">
        <v>402.39</v>
      </c>
      <c r="AB138" s="2">
        <v>1</v>
      </c>
      <c r="AC138">
        <v>207.69</v>
      </c>
      <c r="AD138">
        <v>218.82</v>
      </c>
      <c r="AF138" s="2">
        <v>1</v>
      </c>
      <c r="AJ138" t="s">
        <v>373</v>
      </c>
      <c r="AN138" t="s">
        <v>373</v>
      </c>
      <c r="AR138" t="s">
        <v>373</v>
      </c>
      <c r="AS138" t="s">
        <v>10</v>
      </c>
      <c r="AT138" t="str">
        <f t="shared" si="2"/>
        <v>Tiffin - 435HC</v>
      </c>
    </row>
    <row r="139" spans="1:46" x14ac:dyDescent="0.25">
      <c r="A139" t="s">
        <v>316</v>
      </c>
      <c r="B139" t="s">
        <v>255</v>
      </c>
      <c r="C139" t="s">
        <v>231</v>
      </c>
      <c r="D139" s="50">
        <v>46054</v>
      </c>
      <c r="E139" s="2">
        <v>1.2310000000000001</v>
      </c>
      <c r="F139" s="2">
        <v>1.2370000000000001</v>
      </c>
      <c r="G139" t="s">
        <v>373</v>
      </c>
      <c r="H139" t="s">
        <v>373</v>
      </c>
      <c r="I139" s="2">
        <v>0</v>
      </c>
      <c r="J139" s="2">
        <v>0</v>
      </c>
      <c r="K139" s="2">
        <v>0</v>
      </c>
      <c r="L139" s="2">
        <v>0</v>
      </c>
      <c r="M139" s="51">
        <v>0</v>
      </c>
      <c r="N139" s="51">
        <v>0</v>
      </c>
      <c r="P139" s="51">
        <v>0</v>
      </c>
      <c r="Q139" s="51">
        <v>269753</v>
      </c>
      <c r="R139" s="51">
        <v>549626</v>
      </c>
      <c r="T139" s="51">
        <v>549626</v>
      </c>
      <c r="U139" s="2">
        <v>0</v>
      </c>
      <c r="V139" s="2">
        <v>0</v>
      </c>
      <c r="W139" t="s">
        <v>373</v>
      </c>
      <c r="X139" t="s">
        <v>373</v>
      </c>
      <c r="Y139">
        <v>403.82</v>
      </c>
      <c r="Z139">
        <v>402.39</v>
      </c>
      <c r="AB139" s="2">
        <v>1</v>
      </c>
      <c r="AC139">
        <v>229.94</v>
      </c>
      <c r="AD139">
        <v>218.82</v>
      </c>
      <c r="AF139" s="2">
        <v>1</v>
      </c>
      <c r="AJ139" t="s">
        <v>373</v>
      </c>
      <c r="AN139" t="s">
        <v>373</v>
      </c>
      <c r="AR139" t="s">
        <v>373</v>
      </c>
      <c r="AS139" t="s">
        <v>10</v>
      </c>
      <c r="AT139" t="str">
        <f t="shared" si="2"/>
        <v>Tiffin - 435HC</v>
      </c>
    </row>
    <row r="140" spans="1:46" x14ac:dyDescent="0.25">
      <c r="A140" t="s">
        <v>316</v>
      </c>
      <c r="B140" t="s">
        <v>255</v>
      </c>
      <c r="C140" t="s">
        <v>248</v>
      </c>
      <c r="D140" s="50">
        <v>46023</v>
      </c>
      <c r="E140" s="2">
        <v>0.98499999999999999</v>
      </c>
      <c r="F140" s="2">
        <v>0.97099999999999997</v>
      </c>
      <c r="G140" t="s">
        <v>373</v>
      </c>
      <c r="H140" t="s">
        <v>373</v>
      </c>
      <c r="I140" s="2">
        <v>0</v>
      </c>
      <c r="J140" s="2">
        <v>0</v>
      </c>
      <c r="K140" s="2">
        <v>0</v>
      </c>
      <c r="L140" s="2">
        <v>0</v>
      </c>
      <c r="M140" s="51">
        <v>0</v>
      </c>
      <c r="N140" s="51">
        <v>0</v>
      </c>
      <c r="P140" s="51">
        <v>0</v>
      </c>
      <c r="Q140" s="51">
        <v>182320</v>
      </c>
      <c r="R140" s="51">
        <v>356678</v>
      </c>
      <c r="T140" s="51">
        <v>356678</v>
      </c>
      <c r="U140" s="2">
        <v>0</v>
      </c>
      <c r="V140" s="2">
        <v>0</v>
      </c>
      <c r="W140" t="s">
        <v>373</v>
      </c>
      <c r="X140" t="s">
        <v>373</v>
      </c>
      <c r="Y140">
        <v>400.7</v>
      </c>
      <c r="Z140">
        <v>404.52</v>
      </c>
      <c r="AB140" s="2">
        <v>1</v>
      </c>
      <c r="AC140">
        <v>202.12</v>
      </c>
      <c r="AD140">
        <v>212.9</v>
      </c>
      <c r="AF140" s="2">
        <v>1</v>
      </c>
      <c r="AG140">
        <v>234.04</v>
      </c>
      <c r="AH140">
        <v>246</v>
      </c>
      <c r="AJ140" s="2">
        <v>1</v>
      </c>
      <c r="AN140" t="s">
        <v>373</v>
      </c>
      <c r="AO140">
        <v>88.31</v>
      </c>
      <c r="AP140">
        <v>93.04</v>
      </c>
      <c r="AR140" s="2">
        <v>1</v>
      </c>
      <c r="AS140" t="s">
        <v>10</v>
      </c>
      <c r="AT140" t="str">
        <f t="shared" si="2"/>
        <v>Willard - 2424HC</v>
      </c>
    </row>
    <row r="141" spans="1:46" x14ac:dyDescent="0.25">
      <c r="A141" t="s">
        <v>316</v>
      </c>
      <c r="B141" t="s">
        <v>255</v>
      </c>
      <c r="C141" t="s">
        <v>248</v>
      </c>
      <c r="D141" s="50">
        <v>46054</v>
      </c>
      <c r="E141" s="2">
        <v>0.95399999999999996</v>
      </c>
      <c r="F141" s="2">
        <v>0.97099999999999997</v>
      </c>
      <c r="G141" t="s">
        <v>373</v>
      </c>
      <c r="H141" t="s">
        <v>373</v>
      </c>
      <c r="I141" s="2">
        <v>0</v>
      </c>
      <c r="J141" s="2">
        <v>0</v>
      </c>
      <c r="K141" s="2">
        <v>0</v>
      </c>
      <c r="L141" s="2">
        <v>0</v>
      </c>
      <c r="M141" s="51">
        <v>0</v>
      </c>
      <c r="N141" s="51">
        <v>0</v>
      </c>
      <c r="P141" s="51">
        <v>0</v>
      </c>
      <c r="Q141" s="51">
        <v>174358</v>
      </c>
      <c r="R141" s="51">
        <v>356678</v>
      </c>
      <c r="T141" s="51">
        <v>356678</v>
      </c>
      <c r="U141" s="2">
        <v>0</v>
      </c>
      <c r="V141" s="2">
        <v>0</v>
      </c>
      <c r="W141" t="s">
        <v>373</v>
      </c>
      <c r="X141" t="s">
        <v>373</v>
      </c>
      <c r="Y141">
        <v>408.33</v>
      </c>
      <c r="Z141">
        <v>404.52</v>
      </c>
      <c r="AB141" s="2">
        <v>1</v>
      </c>
      <c r="AC141">
        <v>223.69</v>
      </c>
      <c r="AD141">
        <v>212.9</v>
      </c>
      <c r="AF141" s="2">
        <v>1</v>
      </c>
      <c r="AG141">
        <v>257.95999999999998</v>
      </c>
      <c r="AH141">
        <v>246</v>
      </c>
      <c r="AJ141" s="2">
        <v>1</v>
      </c>
      <c r="AN141" t="s">
        <v>373</v>
      </c>
      <c r="AO141">
        <v>97.77</v>
      </c>
      <c r="AP141">
        <v>93.04</v>
      </c>
      <c r="AR141" s="2">
        <v>1</v>
      </c>
      <c r="AS141" t="s">
        <v>10</v>
      </c>
      <c r="AT141" t="str">
        <f t="shared" si="2"/>
        <v>Willard - 2424HC</v>
      </c>
    </row>
    <row r="142" spans="1:46" x14ac:dyDescent="0.25">
      <c r="A142" t="s">
        <v>316</v>
      </c>
      <c r="B142" t="s">
        <v>256</v>
      </c>
      <c r="C142" t="s">
        <v>165</v>
      </c>
      <c r="D142" s="50">
        <v>46023</v>
      </c>
      <c r="E142" s="2">
        <v>0.88400000000000001</v>
      </c>
      <c r="F142" s="2">
        <v>0.89300000000000002</v>
      </c>
      <c r="G142" t="s">
        <v>373</v>
      </c>
      <c r="H142" t="s">
        <v>373</v>
      </c>
      <c r="I142" s="2">
        <v>0</v>
      </c>
      <c r="J142" s="2">
        <v>0.33300000000000002</v>
      </c>
      <c r="K142" s="2">
        <v>0</v>
      </c>
      <c r="L142" s="2">
        <v>0.33300000000000002</v>
      </c>
      <c r="M142" s="51">
        <v>0</v>
      </c>
      <c r="N142" s="51">
        <v>540</v>
      </c>
      <c r="P142" s="51">
        <v>540</v>
      </c>
      <c r="Q142" s="51">
        <v>181468</v>
      </c>
      <c r="R142" s="51">
        <v>358309</v>
      </c>
      <c r="T142" s="51">
        <v>358309</v>
      </c>
      <c r="U142" s="2">
        <v>0</v>
      </c>
      <c r="V142" s="2">
        <v>2E-3</v>
      </c>
      <c r="W142" t="s">
        <v>373</v>
      </c>
      <c r="X142" t="s">
        <v>373</v>
      </c>
      <c r="Y142">
        <v>430.02</v>
      </c>
      <c r="Z142">
        <v>423.06</v>
      </c>
      <c r="AB142" s="2">
        <v>1</v>
      </c>
      <c r="AC142">
        <v>166.49</v>
      </c>
      <c r="AD142">
        <v>173.04</v>
      </c>
      <c r="AF142" s="2">
        <v>1</v>
      </c>
      <c r="AJ142" t="s">
        <v>373</v>
      </c>
      <c r="AN142" t="s">
        <v>373</v>
      </c>
      <c r="AR142" t="s">
        <v>373</v>
      </c>
      <c r="AS142" t="s">
        <v>10</v>
      </c>
      <c r="AT142" t="str">
        <f t="shared" si="2"/>
        <v>Logansport - 130HC</v>
      </c>
    </row>
    <row r="143" spans="1:46" x14ac:dyDescent="0.25">
      <c r="A143" t="s">
        <v>316</v>
      </c>
      <c r="B143" t="s">
        <v>256</v>
      </c>
      <c r="C143" t="s">
        <v>165</v>
      </c>
      <c r="D143" s="50">
        <v>46054</v>
      </c>
      <c r="E143" s="2">
        <v>0.90200000000000002</v>
      </c>
      <c r="F143" s="2">
        <v>0.89300000000000002</v>
      </c>
      <c r="G143" t="s">
        <v>373</v>
      </c>
      <c r="H143" t="s">
        <v>373</v>
      </c>
      <c r="I143" s="2">
        <v>1</v>
      </c>
      <c r="J143" s="2">
        <v>0.33300000000000002</v>
      </c>
      <c r="K143" s="2">
        <v>0</v>
      </c>
      <c r="L143" s="2">
        <v>0.33300000000000002</v>
      </c>
      <c r="M143" s="51">
        <v>540</v>
      </c>
      <c r="N143" s="51">
        <v>540</v>
      </c>
      <c r="P143" s="51">
        <v>540</v>
      </c>
      <c r="Q143" s="51">
        <v>176841</v>
      </c>
      <c r="R143" s="51">
        <v>358309</v>
      </c>
      <c r="T143" s="51">
        <v>358309</v>
      </c>
      <c r="U143" s="2">
        <v>3.0000000000000001E-3</v>
      </c>
      <c r="V143" s="2">
        <v>2E-3</v>
      </c>
      <c r="W143" t="s">
        <v>373</v>
      </c>
      <c r="X143" t="s">
        <v>373</v>
      </c>
      <c r="Y143">
        <v>416.1</v>
      </c>
      <c r="Z143">
        <v>423.06</v>
      </c>
      <c r="AB143" s="2">
        <v>1</v>
      </c>
      <c r="AC143">
        <v>179.58</v>
      </c>
      <c r="AD143">
        <v>173.04</v>
      </c>
      <c r="AF143" s="2">
        <v>1</v>
      </c>
      <c r="AJ143" t="s">
        <v>373</v>
      </c>
      <c r="AN143" t="s">
        <v>373</v>
      </c>
      <c r="AR143" t="s">
        <v>373</v>
      </c>
      <c r="AS143" t="s">
        <v>10</v>
      </c>
      <c r="AT143" t="str">
        <f t="shared" si="2"/>
        <v>Logansport - 130HC</v>
      </c>
    </row>
    <row r="144" spans="1:46" x14ac:dyDescent="0.25">
      <c r="A144" t="s">
        <v>316</v>
      </c>
      <c r="B144" t="s">
        <v>256</v>
      </c>
      <c r="C144" t="s">
        <v>186</v>
      </c>
      <c r="D144" s="50">
        <v>46023</v>
      </c>
      <c r="E144" s="2">
        <v>0.88300000000000001</v>
      </c>
      <c r="F144" s="2">
        <v>0.88300000000000001</v>
      </c>
      <c r="G144" t="s">
        <v>373</v>
      </c>
      <c r="H144" t="s">
        <v>373</v>
      </c>
      <c r="I144" s="2">
        <v>0</v>
      </c>
      <c r="J144" s="2">
        <v>0</v>
      </c>
      <c r="K144" s="2">
        <v>0</v>
      </c>
      <c r="L144" s="2">
        <v>0</v>
      </c>
      <c r="M144" s="51">
        <v>0</v>
      </c>
      <c r="N144" s="51">
        <v>0</v>
      </c>
      <c r="P144" s="51">
        <v>0</v>
      </c>
      <c r="Q144" s="51">
        <v>70840</v>
      </c>
      <c r="R144" s="51">
        <v>125051</v>
      </c>
      <c r="T144" s="51">
        <v>125051</v>
      </c>
      <c r="U144" s="2">
        <v>0</v>
      </c>
      <c r="V144" s="2">
        <v>0</v>
      </c>
      <c r="W144" t="s">
        <v>373</v>
      </c>
      <c r="X144" t="s">
        <v>373</v>
      </c>
      <c r="Y144">
        <v>385</v>
      </c>
      <c r="Z144">
        <v>384.74</v>
      </c>
      <c r="AB144" s="2">
        <v>1</v>
      </c>
      <c r="AC144">
        <v>196.57</v>
      </c>
      <c r="AD144">
        <v>204.06</v>
      </c>
      <c r="AF144" s="2">
        <v>1</v>
      </c>
      <c r="AG144">
        <v>233.06</v>
      </c>
      <c r="AH144">
        <v>245.93</v>
      </c>
      <c r="AJ144" s="2">
        <v>1</v>
      </c>
      <c r="AN144" t="s">
        <v>373</v>
      </c>
      <c r="AR144" t="s">
        <v>373</v>
      </c>
      <c r="AS144" t="s">
        <v>10</v>
      </c>
      <c r="AT144" t="str">
        <f t="shared" si="2"/>
        <v>Monticello - 140HC</v>
      </c>
    </row>
    <row r="145" spans="1:46" x14ac:dyDescent="0.25">
      <c r="A145" t="s">
        <v>316</v>
      </c>
      <c r="B145" t="s">
        <v>256</v>
      </c>
      <c r="C145" t="s">
        <v>186</v>
      </c>
      <c r="D145" s="50">
        <v>46054</v>
      </c>
      <c r="E145" s="2">
        <v>0.88300000000000001</v>
      </c>
      <c r="F145" s="2">
        <v>0.88300000000000001</v>
      </c>
      <c r="G145" t="s">
        <v>373</v>
      </c>
      <c r="H145" t="s">
        <v>373</v>
      </c>
      <c r="I145" s="2">
        <v>0</v>
      </c>
      <c r="J145" s="2">
        <v>0</v>
      </c>
      <c r="K145" s="2">
        <v>0</v>
      </c>
      <c r="L145" s="2">
        <v>0</v>
      </c>
      <c r="M145" s="51">
        <v>0</v>
      </c>
      <c r="N145" s="51">
        <v>0</v>
      </c>
      <c r="P145" s="51">
        <v>0</v>
      </c>
      <c r="Q145" s="51">
        <v>54211</v>
      </c>
      <c r="R145" s="51">
        <v>125051</v>
      </c>
      <c r="T145" s="51">
        <v>125051</v>
      </c>
      <c r="U145" s="2">
        <v>0</v>
      </c>
      <c r="V145" s="2">
        <v>0</v>
      </c>
      <c r="W145" t="s">
        <v>373</v>
      </c>
      <c r="X145" t="s">
        <v>373</v>
      </c>
      <c r="Y145">
        <v>384.48</v>
      </c>
      <c r="Z145">
        <v>384.74</v>
      </c>
      <c r="AB145" s="2">
        <v>1</v>
      </c>
      <c r="AC145">
        <v>211.56</v>
      </c>
      <c r="AD145">
        <v>204.06</v>
      </c>
      <c r="AF145" s="2">
        <v>1</v>
      </c>
      <c r="AG145">
        <v>258.79000000000002</v>
      </c>
      <c r="AH145">
        <v>245.93</v>
      </c>
      <c r="AJ145" s="2">
        <v>1</v>
      </c>
      <c r="AN145" t="s">
        <v>373</v>
      </c>
      <c r="AR145" t="s">
        <v>373</v>
      </c>
      <c r="AS145" t="s">
        <v>10</v>
      </c>
      <c r="AT145" t="str">
        <f t="shared" si="2"/>
        <v>Monticello - 140HC</v>
      </c>
    </row>
    <row r="146" spans="1:46" x14ac:dyDescent="0.25">
      <c r="A146" t="s">
        <v>316</v>
      </c>
      <c r="B146" t="s">
        <v>256</v>
      </c>
      <c r="C146" t="s">
        <v>208</v>
      </c>
      <c r="D146" s="50">
        <v>46023</v>
      </c>
      <c r="E146" s="2">
        <v>0.90200000000000002</v>
      </c>
      <c r="F146" s="2">
        <v>0.90600000000000003</v>
      </c>
      <c r="G146" t="s">
        <v>373</v>
      </c>
      <c r="H146" t="s">
        <v>373</v>
      </c>
      <c r="I146" s="2">
        <v>0</v>
      </c>
      <c r="J146" s="2">
        <v>0</v>
      </c>
      <c r="K146" s="2">
        <v>0</v>
      </c>
      <c r="L146" s="2">
        <v>0</v>
      </c>
      <c r="M146" s="51">
        <v>0</v>
      </c>
      <c r="N146" s="51">
        <v>1767</v>
      </c>
      <c r="P146" s="51">
        <v>1767</v>
      </c>
      <c r="Q146" s="51">
        <v>151424</v>
      </c>
      <c r="R146" s="51">
        <v>302200</v>
      </c>
      <c r="T146" s="51">
        <v>302200</v>
      </c>
      <c r="U146" s="2">
        <v>0</v>
      </c>
      <c r="V146" s="2">
        <v>6.0000000000000001E-3</v>
      </c>
      <c r="W146" t="s">
        <v>373</v>
      </c>
      <c r="X146" t="s">
        <v>373</v>
      </c>
      <c r="Y146">
        <v>401.66</v>
      </c>
      <c r="Z146">
        <v>405.69</v>
      </c>
      <c r="AB146" s="2">
        <v>1</v>
      </c>
      <c r="AC146">
        <v>163.92</v>
      </c>
      <c r="AD146">
        <v>171.87</v>
      </c>
      <c r="AF146" s="2">
        <v>1</v>
      </c>
      <c r="AJ146" t="s">
        <v>373</v>
      </c>
      <c r="AN146" t="s">
        <v>373</v>
      </c>
      <c r="AO146">
        <v>103.3</v>
      </c>
      <c r="AP146">
        <v>108.83</v>
      </c>
      <c r="AR146" s="2">
        <v>1</v>
      </c>
      <c r="AS146" t="s">
        <v>10</v>
      </c>
      <c r="AT146" t="str">
        <f t="shared" si="2"/>
        <v>Peru - 2144HC</v>
      </c>
    </row>
    <row r="147" spans="1:46" x14ac:dyDescent="0.25">
      <c r="A147" t="s">
        <v>316</v>
      </c>
      <c r="B147" t="s">
        <v>256</v>
      </c>
      <c r="C147" t="s">
        <v>208</v>
      </c>
      <c r="D147" s="50">
        <v>46054</v>
      </c>
      <c r="E147" s="2">
        <v>0.91100000000000003</v>
      </c>
      <c r="F147" s="2">
        <v>0.90600000000000003</v>
      </c>
      <c r="G147" t="s">
        <v>373</v>
      </c>
      <c r="H147" t="s">
        <v>373</v>
      </c>
      <c r="I147" s="2">
        <v>0</v>
      </c>
      <c r="J147" s="2">
        <v>0</v>
      </c>
      <c r="K147" s="2">
        <v>0</v>
      </c>
      <c r="L147" s="2">
        <v>0</v>
      </c>
      <c r="M147" s="51">
        <v>1767</v>
      </c>
      <c r="N147" s="51">
        <v>1767</v>
      </c>
      <c r="P147" s="51">
        <v>1767</v>
      </c>
      <c r="Q147" s="51">
        <v>150776</v>
      </c>
      <c r="R147" s="51">
        <v>302200</v>
      </c>
      <c r="T147" s="51">
        <v>302200</v>
      </c>
      <c r="U147" s="2">
        <v>1.2E-2</v>
      </c>
      <c r="V147" s="2">
        <v>6.0000000000000001E-3</v>
      </c>
      <c r="W147" t="s">
        <v>373</v>
      </c>
      <c r="X147" t="s">
        <v>373</v>
      </c>
      <c r="Y147">
        <v>409.72</v>
      </c>
      <c r="Z147">
        <v>405.69</v>
      </c>
      <c r="AB147" s="2">
        <v>1</v>
      </c>
      <c r="AC147">
        <v>179.81</v>
      </c>
      <c r="AD147">
        <v>171.87</v>
      </c>
      <c r="AF147" s="2">
        <v>1</v>
      </c>
      <c r="AJ147" t="s">
        <v>373</v>
      </c>
      <c r="AN147" t="s">
        <v>373</v>
      </c>
      <c r="AO147">
        <v>114.36</v>
      </c>
      <c r="AP147">
        <v>108.83</v>
      </c>
      <c r="AR147" s="2">
        <v>1</v>
      </c>
      <c r="AS147" t="s">
        <v>10</v>
      </c>
      <c r="AT147" t="str">
        <f t="shared" si="2"/>
        <v>Peru - 2144HC</v>
      </c>
    </row>
    <row r="148" spans="1:46" x14ac:dyDescent="0.25">
      <c r="A148" t="s">
        <v>316</v>
      </c>
      <c r="B148" t="s">
        <v>256</v>
      </c>
      <c r="C148" t="s">
        <v>221</v>
      </c>
      <c r="D148" s="50">
        <v>46023</v>
      </c>
      <c r="E148" s="2">
        <v>0.83399999999999996</v>
      </c>
      <c r="F148" s="2">
        <v>0.86499999999999999</v>
      </c>
      <c r="G148" t="s">
        <v>373</v>
      </c>
      <c r="H148" t="s">
        <v>373</v>
      </c>
      <c r="I148" s="2">
        <v>0</v>
      </c>
      <c r="J148" s="2">
        <v>0</v>
      </c>
      <c r="K148" s="2">
        <v>0</v>
      </c>
      <c r="L148" s="2">
        <v>0</v>
      </c>
      <c r="M148" s="51">
        <v>3940</v>
      </c>
      <c r="N148" s="51">
        <v>8017</v>
      </c>
      <c r="P148" s="51">
        <v>8017</v>
      </c>
      <c r="Q148" s="51">
        <v>73496</v>
      </c>
      <c r="R148" s="51">
        <v>169732</v>
      </c>
      <c r="T148" s="51">
        <v>169732</v>
      </c>
      <c r="U148" s="2">
        <v>5.3999999999999999E-2</v>
      </c>
      <c r="V148" s="2">
        <v>4.7E-2</v>
      </c>
      <c r="W148" t="s">
        <v>373</v>
      </c>
      <c r="X148" t="s">
        <v>373</v>
      </c>
      <c r="Y148">
        <v>346.68</v>
      </c>
      <c r="Z148">
        <v>385.31</v>
      </c>
      <c r="AB148" s="2">
        <v>1</v>
      </c>
      <c r="AC148">
        <v>183.24</v>
      </c>
      <c r="AD148">
        <v>190.1</v>
      </c>
      <c r="AF148" s="2">
        <v>1</v>
      </c>
      <c r="AG148">
        <v>241.91</v>
      </c>
      <c r="AH148">
        <v>254.52</v>
      </c>
      <c r="AJ148" s="2">
        <v>1</v>
      </c>
      <c r="AN148" t="s">
        <v>373</v>
      </c>
      <c r="AR148" t="s">
        <v>373</v>
      </c>
      <c r="AS148" t="s">
        <v>10</v>
      </c>
      <c r="AT148" t="str">
        <f t="shared" si="2"/>
        <v>South Bend - 5169HC</v>
      </c>
    </row>
    <row r="149" spans="1:46" x14ac:dyDescent="0.25">
      <c r="A149" t="s">
        <v>316</v>
      </c>
      <c r="B149" t="s">
        <v>256</v>
      </c>
      <c r="C149" t="s">
        <v>221</v>
      </c>
      <c r="D149" s="50">
        <v>46054</v>
      </c>
      <c r="E149" s="2">
        <v>0.9</v>
      </c>
      <c r="F149" s="2">
        <v>0.86499999999999999</v>
      </c>
      <c r="G149" t="s">
        <v>373</v>
      </c>
      <c r="H149" t="s">
        <v>373</v>
      </c>
      <c r="I149" s="2">
        <v>0</v>
      </c>
      <c r="J149" s="2">
        <v>0</v>
      </c>
      <c r="K149" s="2">
        <v>0</v>
      </c>
      <c r="L149" s="2">
        <v>0</v>
      </c>
      <c r="M149" s="51">
        <v>4077</v>
      </c>
      <c r="N149" s="51">
        <v>8017</v>
      </c>
      <c r="P149" s="51">
        <v>8017</v>
      </c>
      <c r="Q149" s="51">
        <v>96237</v>
      </c>
      <c r="R149" s="51">
        <v>169732</v>
      </c>
      <c r="T149" s="51">
        <v>169732</v>
      </c>
      <c r="U149" s="2">
        <v>4.2000000000000003E-2</v>
      </c>
      <c r="V149" s="2">
        <v>4.7E-2</v>
      </c>
      <c r="W149" t="s">
        <v>373</v>
      </c>
      <c r="X149" t="s">
        <v>373</v>
      </c>
      <c r="Y149">
        <v>423.95</v>
      </c>
      <c r="Z149">
        <v>385.31</v>
      </c>
      <c r="AB149" s="2">
        <v>1</v>
      </c>
      <c r="AC149">
        <v>196.96</v>
      </c>
      <c r="AD149">
        <v>190.1</v>
      </c>
      <c r="AF149" s="2">
        <v>1</v>
      </c>
      <c r="AG149">
        <v>267.12</v>
      </c>
      <c r="AH149">
        <v>254.52</v>
      </c>
      <c r="AJ149" s="2">
        <v>1</v>
      </c>
      <c r="AN149" t="s">
        <v>373</v>
      </c>
      <c r="AR149" t="s">
        <v>373</v>
      </c>
      <c r="AS149" t="s">
        <v>10</v>
      </c>
      <c r="AT149" t="str">
        <f t="shared" si="2"/>
        <v>South Bend - 5169HC</v>
      </c>
    </row>
    <row r="150" spans="1:46" x14ac:dyDescent="0.25">
      <c r="A150" t="s">
        <v>316</v>
      </c>
      <c r="B150" t="s">
        <v>256</v>
      </c>
      <c r="C150" t="s">
        <v>237</v>
      </c>
      <c r="D150" s="50">
        <v>46023</v>
      </c>
      <c r="E150" s="2">
        <v>0.90200000000000002</v>
      </c>
      <c r="F150" s="2">
        <v>0.88800000000000001</v>
      </c>
      <c r="G150" t="s">
        <v>373</v>
      </c>
      <c r="H150" t="s">
        <v>373</v>
      </c>
      <c r="I150" s="2">
        <v>0</v>
      </c>
      <c r="J150" s="2">
        <v>0</v>
      </c>
      <c r="K150" s="2">
        <v>0</v>
      </c>
      <c r="L150" s="2">
        <v>0</v>
      </c>
      <c r="M150" s="51">
        <v>4564</v>
      </c>
      <c r="N150" s="51">
        <v>8354</v>
      </c>
      <c r="P150" s="51">
        <v>8354</v>
      </c>
      <c r="Q150" s="51">
        <v>229809</v>
      </c>
      <c r="R150" s="51">
        <v>413060</v>
      </c>
      <c r="T150" s="51">
        <v>413060</v>
      </c>
      <c r="U150" s="2">
        <v>0.02</v>
      </c>
      <c r="V150" s="2">
        <v>0.02</v>
      </c>
      <c r="W150" t="s">
        <v>373</v>
      </c>
      <c r="X150" t="s">
        <v>373</v>
      </c>
      <c r="Y150">
        <v>365.36</v>
      </c>
      <c r="Z150">
        <v>358.21</v>
      </c>
      <c r="AB150" s="2">
        <v>1</v>
      </c>
      <c r="AC150">
        <v>183.73</v>
      </c>
      <c r="AD150">
        <v>193.92</v>
      </c>
      <c r="AF150" s="2">
        <v>1</v>
      </c>
      <c r="AG150">
        <v>209.1</v>
      </c>
      <c r="AH150">
        <v>220.22</v>
      </c>
      <c r="AJ150" s="2">
        <v>1</v>
      </c>
      <c r="AN150" t="s">
        <v>373</v>
      </c>
      <c r="AR150" t="s">
        <v>373</v>
      </c>
      <c r="AS150" t="s">
        <v>10</v>
      </c>
      <c r="AT150" t="str">
        <f t="shared" si="2"/>
        <v>Wabash - 5170HC</v>
      </c>
    </row>
    <row r="151" spans="1:46" x14ac:dyDescent="0.25">
      <c r="A151" t="s">
        <v>316</v>
      </c>
      <c r="B151" t="s">
        <v>256</v>
      </c>
      <c r="C151" t="s">
        <v>237</v>
      </c>
      <c r="D151" s="50">
        <v>46054</v>
      </c>
      <c r="E151" s="2">
        <v>0.872</v>
      </c>
      <c r="F151" s="2">
        <v>0.88800000000000001</v>
      </c>
      <c r="G151" t="s">
        <v>373</v>
      </c>
      <c r="H151" t="s">
        <v>373</v>
      </c>
      <c r="I151" s="2">
        <v>0</v>
      </c>
      <c r="J151" s="2">
        <v>0</v>
      </c>
      <c r="K151" s="2">
        <v>0</v>
      </c>
      <c r="L151" s="2">
        <v>0</v>
      </c>
      <c r="M151" s="51">
        <v>3790</v>
      </c>
      <c r="N151" s="51">
        <v>8354</v>
      </c>
      <c r="P151" s="51">
        <v>8354</v>
      </c>
      <c r="Q151" s="51">
        <v>183251</v>
      </c>
      <c r="R151" s="51">
        <v>413060</v>
      </c>
      <c r="T151" s="51">
        <v>413060</v>
      </c>
      <c r="U151" s="2">
        <v>2.1000000000000001E-2</v>
      </c>
      <c r="V151" s="2">
        <v>0.02</v>
      </c>
      <c r="W151" t="s">
        <v>373</v>
      </c>
      <c r="X151" t="s">
        <v>373</v>
      </c>
      <c r="Y151">
        <v>351.06</v>
      </c>
      <c r="Z151">
        <v>358.21</v>
      </c>
      <c r="AB151" s="2">
        <v>1</v>
      </c>
      <c r="AC151">
        <v>204.11</v>
      </c>
      <c r="AD151">
        <v>193.92</v>
      </c>
      <c r="AF151" s="2">
        <v>1</v>
      </c>
      <c r="AG151">
        <v>231.34</v>
      </c>
      <c r="AH151">
        <v>220.22</v>
      </c>
      <c r="AJ151" s="2">
        <v>1</v>
      </c>
      <c r="AN151" t="s">
        <v>373</v>
      </c>
      <c r="AR151" t="s">
        <v>373</v>
      </c>
      <c r="AS151" t="s">
        <v>10</v>
      </c>
      <c r="AT151" t="str">
        <f t="shared" si="2"/>
        <v>Wabash - 5170HC</v>
      </c>
    </row>
    <row r="152" spans="1:46" x14ac:dyDescent="0.25">
      <c r="A152" t="s">
        <v>316</v>
      </c>
      <c r="B152" t="s">
        <v>256</v>
      </c>
      <c r="C152" t="s">
        <v>240</v>
      </c>
      <c r="D152" s="50">
        <v>46023</v>
      </c>
      <c r="E152" s="2">
        <v>0.96899999999999997</v>
      </c>
      <c r="F152" s="2">
        <v>0.96399999999999997</v>
      </c>
      <c r="G152" t="s">
        <v>373</v>
      </c>
      <c r="H152" t="s">
        <v>373</v>
      </c>
      <c r="I152" s="2">
        <v>0</v>
      </c>
      <c r="J152" s="2">
        <v>0</v>
      </c>
      <c r="K152" s="2">
        <v>0</v>
      </c>
      <c r="L152" s="2">
        <v>0</v>
      </c>
      <c r="M152" s="51">
        <v>0</v>
      </c>
      <c r="N152" s="51">
        <v>0</v>
      </c>
      <c r="P152" s="51">
        <v>0</v>
      </c>
      <c r="Q152" s="51">
        <v>115519</v>
      </c>
      <c r="R152" s="51">
        <v>210738</v>
      </c>
      <c r="T152" s="51">
        <v>210738</v>
      </c>
      <c r="U152" s="2">
        <v>0</v>
      </c>
      <c r="V152" s="2">
        <v>0</v>
      </c>
      <c r="W152" t="s">
        <v>373</v>
      </c>
      <c r="X152" t="s">
        <v>373</v>
      </c>
      <c r="Y152">
        <v>444.3</v>
      </c>
      <c r="Z152">
        <v>441.55</v>
      </c>
      <c r="AB152" s="2">
        <v>1</v>
      </c>
      <c r="AC152">
        <v>116.17</v>
      </c>
      <c r="AD152">
        <v>168.69</v>
      </c>
      <c r="AF152" s="2">
        <v>1</v>
      </c>
      <c r="AG152">
        <v>257.54000000000002</v>
      </c>
      <c r="AH152">
        <v>277.54000000000002</v>
      </c>
      <c r="AJ152" s="2">
        <v>1</v>
      </c>
      <c r="AN152" t="s">
        <v>373</v>
      </c>
      <c r="AR152" t="s">
        <v>373</v>
      </c>
      <c r="AS152" t="s">
        <v>10</v>
      </c>
      <c r="AT152" t="str">
        <f t="shared" si="2"/>
        <v>Warsaw - 302HC</v>
      </c>
    </row>
    <row r="153" spans="1:46" x14ac:dyDescent="0.25">
      <c r="A153" t="s">
        <v>316</v>
      </c>
      <c r="B153" t="s">
        <v>256</v>
      </c>
      <c r="C153" t="s">
        <v>240</v>
      </c>
      <c r="D153" s="50">
        <v>46054</v>
      </c>
      <c r="E153" s="2">
        <v>0.96</v>
      </c>
      <c r="F153" s="2">
        <v>0.96399999999999997</v>
      </c>
      <c r="G153" t="s">
        <v>373</v>
      </c>
      <c r="H153" t="s">
        <v>373</v>
      </c>
      <c r="I153" s="2">
        <v>0</v>
      </c>
      <c r="J153" s="2">
        <v>0</v>
      </c>
      <c r="K153" s="2">
        <v>0</v>
      </c>
      <c r="L153" s="2">
        <v>0</v>
      </c>
      <c r="M153" s="51">
        <v>0</v>
      </c>
      <c r="N153" s="51">
        <v>0</v>
      </c>
      <c r="P153" s="51">
        <v>0</v>
      </c>
      <c r="Q153" s="51">
        <v>95219</v>
      </c>
      <c r="R153" s="51">
        <v>210738</v>
      </c>
      <c r="T153" s="51">
        <v>210738</v>
      </c>
      <c r="U153" s="2">
        <v>0</v>
      </c>
      <c r="V153" s="2">
        <v>0</v>
      </c>
      <c r="W153" t="s">
        <v>373</v>
      </c>
      <c r="X153" t="s">
        <v>373</v>
      </c>
      <c r="Y153">
        <v>438.8</v>
      </c>
      <c r="Z153">
        <v>441.55</v>
      </c>
      <c r="AB153" s="2">
        <v>1</v>
      </c>
      <c r="AC153">
        <v>221.2</v>
      </c>
      <c r="AD153">
        <v>168.69</v>
      </c>
      <c r="AF153" s="2">
        <v>1</v>
      </c>
      <c r="AG153">
        <v>297.55</v>
      </c>
      <c r="AH153">
        <v>277.54000000000002</v>
      </c>
      <c r="AJ153" s="2">
        <v>1</v>
      </c>
      <c r="AN153" t="s">
        <v>373</v>
      </c>
      <c r="AR153" t="s">
        <v>373</v>
      </c>
      <c r="AS153" t="s">
        <v>10</v>
      </c>
      <c r="AT153" t="str">
        <f t="shared" si="2"/>
        <v>Warsaw - 302HC</v>
      </c>
    </row>
    <row r="154" spans="1:46" x14ac:dyDescent="0.25">
      <c r="A154" t="s">
        <v>316</v>
      </c>
      <c r="B154" t="s">
        <v>257</v>
      </c>
      <c r="C154" t="s">
        <v>84</v>
      </c>
      <c r="D154" s="50">
        <v>46023</v>
      </c>
      <c r="E154" s="2">
        <v>0.95699999999999996</v>
      </c>
      <c r="F154" s="2">
        <v>0.95199999999999996</v>
      </c>
      <c r="G154" t="s">
        <v>373</v>
      </c>
      <c r="H154" t="s">
        <v>373</v>
      </c>
      <c r="I154" s="2">
        <v>0</v>
      </c>
      <c r="J154" s="2">
        <v>0</v>
      </c>
      <c r="K154" s="2">
        <v>0</v>
      </c>
      <c r="L154" s="2">
        <v>0</v>
      </c>
      <c r="M154" s="51">
        <v>0</v>
      </c>
      <c r="N154" s="51">
        <v>0</v>
      </c>
      <c r="P154" s="51">
        <v>0</v>
      </c>
      <c r="Q154" s="51">
        <v>236054</v>
      </c>
      <c r="R154" s="51">
        <v>448132</v>
      </c>
      <c r="T154" s="51">
        <v>448132</v>
      </c>
      <c r="U154" s="2">
        <v>0</v>
      </c>
      <c r="V154" s="2">
        <v>0</v>
      </c>
      <c r="W154" t="s">
        <v>373</v>
      </c>
      <c r="X154" t="s">
        <v>373</v>
      </c>
      <c r="Y154">
        <v>389.53</v>
      </c>
      <c r="Z154">
        <v>391.86</v>
      </c>
      <c r="AB154" s="2">
        <v>1</v>
      </c>
      <c r="AC154">
        <v>172.87</v>
      </c>
      <c r="AD154">
        <v>180.83</v>
      </c>
      <c r="AF154" s="2">
        <v>1</v>
      </c>
      <c r="AJ154" t="s">
        <v>373</v>
      </c>
      <c r="AK154">
        <v>85.45</v>
      </c>
      <c r="AL154">
        <v>90.03</v>
      </c>
      <c r="AN154" s="2">
        <v>1</v>
      </c>
      <c r="AR154" t="s">
        <v>373</v>
      </c>
      <c r="AS154" t="s">
        <v>10</v>
      </c>
      <c r="AT154" t="str">
        <f t="shared" si="2"/>
        <v>Cynthiana - 114HC</v>
      </c>
    </row>
    <row r="155" spans="1:46" x14ac:dyDescent="0.25">
      <c r="A155" t="s">
        <v>316</v>
      </c>
      <c r="B155" t="s">
        <v>257</v>
      </c>
      <c r="C155" t="s">
        <v>84</v>
      </c>
      <c r="D155" s="50">
        <v>46054</v>
      </c>
      <c r="E155" s="2">
        <v>0.94699999999999995</v>
      </c>
      <c r="F155" s="2">
        <v>0.95199999999999996</v>
      </c>
      <c r="G155" t="s">
        <v>373</v>
      </c>
      <c r="H155" t="s">
        <v>373</v>
      </c>
      <c r="I155" s="2">
        <v>0</v>
      </c>
      <c r="J155" s="2">
        <v>0</v>
      </c>
      <c r="K155" s="2">
        <v>0</v>
      </c>
      <c r="L155" s="2">
        <v>0</v>
      </c>
      <c r="M155" s="51">
        <v>0</v>
      </c>
      <c r="N155" s="51">
        <v>0</v>
      </c>
      <c r="P155" s="51">
        <v>0</v>
      </c>
      <c r="Q155" s="51">
        <v>212078</v>
      </c>
      <c r="R155" s="51">
        <v>448132</v>
      </c>
      <c r="T155" s="51">
        <v>448132</v>
      </c>
      <c r="U155" s="2">
        <v>0</v>
      </c>
      <c r="V155" s="2">
        <v>0</v>
      </c>
      <c r="W155" t="s">
        <v>373</v>
      </c>
      <c r="X155" t="s">
        <v>373</v>
      </c>
      <c r="Y155">
        <v>394.2</v>
      </c>
      <c r="Z155">
        <v>391.86</v>
      </c>
      <c r="AB155" s="2">
        <v>1</v>
      </c>
      <c r="AC155">
        <v>188.8</v>
      </c>
      <c r="AD155">
        <v>180.83</v>
      </c>
      <c r="AF155" s="2">
        <v>1</v>
      </c>
      <c r="AJ155" t="s">
        <v>373</v>
      </c>
      <c r="AK155">
        <v>94.61</v>
      </c>
      <c r="AL155">
        <v>90.03</v>
      </c>
      <c r="AN155" s="2">
        <v>1</v>
      </c>
      <c r="AR155" t="s">
        <v>373</v>
      </c>
      <c r="AS155" t="s">
        <v>10</v>
      </c>
      <c r="AT155" t="str">
        <f t="shared" si="2"/>
        <v>Cynthiana - 114HC</v>
      </c>
    </row>
    <row r="156" spans="1:46" x14ac:dyDescent="0.25">
      <c r="A156" t="s">
        <v>316</v>
      </c>
      <c r="B156" t="s">
        <v>257</v>
      </c>
      <c r="C156" t="s">
        <v>128</v>
      </c>
      <c r="D156" s="50">
        <v>46023</v>
      </c>
      <c r="E156" s="2">
        <v>0.96899999999999997</v>
      </c>
      <c r="F156" s="2">
        <v>0.96099999999999997</v>
      </c>
      <c r="G156" t="s">
        <v>373</v>
      </c>
      <c r="H156" t="s">
        <v>373</v>
      </c>
      <c r="I156" s="2">
        <v>0</v>
      </c>
      <c r="J156" s="2">
        <v>0</v>
      </c>
      <c r="K156" s="2">
        <v>0</v>
      </c>
      <c r="L156" s="2">
        <v>0</v>
      </c>
      <c r="M156" s="51">
        <v>2665</v>
      </c>
      <c r="N156" s="51">
        <v>4765</v>
      </c>
      <c r="P156" s="51">
        <v>4765</v>
      </c>
      <c r="Q156" s="51">
        <v>243437</v>
      </c>
      <c r="R156" s="51">
        <v>457434</v>
      </c>
      <c r="T156" s="51">
        <v>457434</v>
      </c>
      <c r="U156" s="2">
        <v>1.0999999999999999E-2</v>
      </c>
      <c r="V156" s="2">
        <v>0.01</v>
      </c>
      <c r="W156" t="s">
        <v>373</v>
      </c>
      <c r="X156" t="s">
        <v>373</v>
      </c>
      <c r="Y156">
        <v>416.84</v>
      </c>
      <c r="Z156">
        <v>418.64</v>
      </c>
      <c r="AB156" s="2">
        <v>1</v>
      </c>
      <c r="AC156">
        <v>178.57</v>
      </c>
      <c r="AD156">
        <v>185.98</v>
      </c>
      <c r="AF156" s="2">
        <v>1</v>
      </c>
      <c r="AJ156" t="s">
        <v>373</v>
      </c>
      <c r="AK156">
        <v>113.13</v>
      </c>
      <c r="AL156">
        <v>123.21</v>
      </c>
      <c r="AN156" s="2">
        <v>1</v>
      </c>
      <c r="AP156">
        <v>113.73</v>
      </c>
      <c r="AR156" s="2">
        <v>1</v>
      </c>
      <c r="AS156" t="s">
        <v>10</v>
      </c>
      <c r="AT156" t="str">
        <f t="shared" si="2"/>
        <v>Harrodsburg - 2187HC</v>
      </c>
    </row>
    <row r="157" spans="1:46" x14ac:dyDescent="0.25">
      <c r="A157" t="s">
        <v>316</v>
      </c>
      <c r="B157" t="s">
        <v>257</v>
      </c>
      <c r="C157" t="s">
        <v>128</v>
      </c>
      <c r="D157" s="50">
        <v>46054</v>
      </c>
      <c r="E157" s="2">
        <v>0.95199999999999996</v>
      </c>
      <c r="F157" s="2">
        <v>0.96099999999999997</v>
      </c>
      <c r="G157" t="s">
        <v>373</v>
      </c>
      <c r="H157" t="s">
        <v>373</v>
      </c>
      <c r="I157" s="2">
        <v>0</v>
      </c>
      <c r="J157" s="2">
        <v>0</v>
      </c>
      <c r="K157" s="2">
        <v>0</v>
      </c>
      <c r="L157" s="2">
        <v>0</v>
      </c>
      <c r="M157" s="51">
        <v>2100</v>
      </c>
      <c r="N157" s="51">
        <v>4765</v>
      </c>
      <c r="P157" s="51">
        <v>4765</v>
      </c>
      <c r="Q157" s="51">
        <v>213997</v>
      </c>
      <c r="R157" s="51">
        <v>457434</v>
      </c>
      <c r="T157" s="51">
        <v>457434</v>
      </c>
      <c r="U157" s="2">
        <v>0.01</v>
      </c>
      <c r="V157" s="2">
        <v>0.01</v>
      </c>
      <c r="W157" t="s">
        <v>373</v>
      </c>
      <c r="X157" t="s">
        <v>373</v>
      </c>
      <c r="Y157">
        <v>420.43</v>
      </c>
      <c r="Z157">
        <v>418.64</v>
      </c>
      <c r="AB157" s="2">
        <v>1</v>
      </c>
      <c r="AC157">
        <v>193.39</v>
      </c>
      <c r="AD157">
        <v>185.98</v>
      </c>
      <c r="AF157" s="2">
        <v>1</v>
      </c>
      <c r="AJ157" t="s">
        <v>373</v>
      </c>
      <c r="AK157">
        <v>133.30000000000001</v>
      </c>
      <c r="AL157">
        <v>123.21</v>
      </c>
      <c r="AN157" s="2">
        <v>1</v>
      </c>
      <c r="AO157">
        <v>113.73</v>
      </c>
      <c r="AP157">
        <v>113.73</v>
      </c>
      <c r="AR157" s="2">
        <v>1</v>
      </c>
      <c r="AS157" t="s">
        <v>10</v>
      </c>
      <c r="AT157" t="str">
        <f t="shared" si="2"/>
        <v>Harrodsburg - 2187HC</v>
      </c>
    </row>
    <row r="158" spans="1:46" x14ac:dyDescent="0.25">
      <c r="A158" t="s">
        <v>316</v>
      </c>
      <c r="B158" t="s">
        <v>257</v>
      </c>
      <c r="C158" t="s">
        <v>142</v>
      </c>
      <c r="D158" s="50">
        <v>46023</v>
      </c>
      <c r="E158" s="2">
        <v>0.89200000000000002</v>
      </c>
      <c r="F158" s="2">
        <v>0.88600000000000001</v>
      </c>
      <c r="G158" t="s">
        <v>373</v>
      </c>
      <c r="H158" t="s">
        <v>373</v>
      </c>
      <c r="I158" s="2">
        <v>0</v>
      </c>
      <c r="J158" s="2">
        <v>0</v>
      </c>
      <c r="K158" s="2">
        <v>0</v>
      </c>
      <c r="L158" s="2">
        <v>0</v>
      </c>
      <c r="M158" s="51">
        <v>0</v>
      </c>
      <c r="N158" s="51">
        <v>0</v>
      </c>
      <c r="P158" s="51">
        <v>0</v>
      </c>
      <c r="Q158" s="51">
        <v>239767</v>
      </c>
      <c r="R158" s="51">
        <v>411629</v>
      </c>
      <c r="T158" s="51">
        <v>411629</v>
      </c>
      <c r="U158" s="2">
        <v>0</v>
      </c>
      <c r="V158" s="2">
        <v>0</v>
      </c>
      <c r="W158" t="s">
        <v>373</v>
      </c>
      <c r="X158" t="s">
        <v>373</v>
      </c>
      <c r="Y158">
        <v>474.79</v>
      </c>
      <c r="Z158">
        <v>472.18</v>
      </c>
      <c r="AB158" s="2">
        <v>1</v>
      </c>
      <c r="AC158">
        <v>211.21</v>
      </c>
      <c r="AD158">
        <v>221.94</v>
      </c>
      <c r="AF158" s="2">
        <v>1</v>
      </c>
      <c r="AG158">
        <v>251.41</v>
      </c>
      <c r="AH158">
        <v>263.36</v>
      </c>
      <c r="AJ158" s="2">
        <v>1</v>
      </c>
      <c r="AK158">
        <v>125.27</v>
      </c>
      <c r="AL158">
        <v>130.1</v>
      </c>
      <c r="AN158" s="2">
        <v>1</v>
      </c>
      <c r="AR158" t="s">
        <v>373</v>
      </c>
      <c r="AS158" t="s">
        <v>10</v>
      </c>
      <c r="AT158" t="str">
        <f t="shared" si="2"/>
        <v>La Grange - 177HC</v>
      </c>
    </row>
    <row r="159" spans="1:46" x14ac:dyDescent="0.25">
      <c r="A159" t="s">
        <v>316</v>
      </c>
      <c r="B159" t="s">
        <v>257</v>
      </c>
      <c r="C159" t="s">
        <v>142</v>
      </c>
      <c r="D159" s="50">
        <v>46054</v>
      </c>
      <c r="E159" s="2">
        <v>0.879</v>
      </c>
      <c r="F159" s="2">
        <v>0.88600000000000001</v>
      </c>
      <c r="G159" t="s">
        <v>373</v>
      </c>
      <c r="H159" t="s">
        <v>373</v>
      </c>
      <c r="I159" s="2">
        <v>0</v>
      </c>
      <c r="J159" s="2">
        <v>0</v>
      </c>
      <c r="K159" s="2">
        <v>0</v>
      </c>
      <c r="L159" s="2">
        <v>0</v>
      </c>
      <c r="M159" s="51">
        <v>0</v>
      </c>
      <c r="N159" s="51">
        <v>0</v>
      </c>
      <c r="P159" s="51">
        <v>0</v>
      </c>
      <c r="Q159" s="51">
        <v>171862</v>
      </c>
      <c r="R159" s="51">
        <v>411629</v>
      </c>
      <c r="T159" s="51">
        <v>411629</v>
      </c>
      <c r="U159" s="2">
        <v>0</v>
      </c>
      <c r="V159" s="2">
        <v>0</v>
      </c>
      <c r="W159" t="s">
        <v>373</v>
      </c>
      <c r="X159" t="s">
        <v>373</v>
      </c>
      <c r="Y159">
        <v>469.57</v>
      </c>
      <c r="Z159">
        <v>472.18</v>
      </c>
      <c r="AB159" s="2">
        <v>1</v>
      </c>
      <c r="AC159">
        <v>232.68</v>
      </c>
      <c r="AD159">
        <v>221.94</v>
      </c>
      <c r="AF159" s="2">
        <v>1</v>
      </c>
      <c r="AG159">
        <v>275.32</v>
      </c>
      <c r="AH159">
        <v>263.36</v>
      </c>
      <c r="AJ159" s="2">
        <v>1</v>
      </c>
      <c r="AK159">
        <v>134.91999999999999</v>
      </c>
      <c r="AL159">
        <v>130.1</v>
      </c>
      <c r="AN159" s="2">
        <v>1</v>
      </c>
      <c r="AR159" t="s">
        <v>373</v>
      </c>
      <c r="AS159" t="s">
        <v>10</v>
      </c>
      <c r="AT159" t="str">
        <f t="shared" si="2"/>
        <v>La Grange - 177HC</v>
      </c>
    </row>
    <row r="160" spans="1:46" x14ac:dyDescent="0.25">
      <c r="A160" t="s">
        <v>316</v>
      </c>
      <c r="B160" t="s">
        <v>257</v>
      </c>
      <c r="C160" t="s">
        <v>156</v>
      </c>
      <c r="D160" s="50">
        <v>46023</v>
      </c>
      <c r="E160" s="2">
        <v>0.94299999999999995</v>
      </c>
      <c r="F160" s="2">
        <v>0.94499999999999995</v>
      </c>
      <c r="G160" t="s">
        <v>373</v>
      </c>
      <c r="H160" t="s">
        <v>373</v>
      </c>
      <c r="I160" s="2">
        <v>0</v>
      </c>
      <c r="J160" s="2">
        <v>0</v>
      </c>
      <c r="K160" s="2">
        <v>0</v>
      </c>
      <c r="L160" s="2">
        <v>0</v>
      </c>
      <c r="M160" s="51">
        <v>0</v>
      </c>
      <c r="N160" s="51">
        <v>0</v>
      </c>
      <c r="P160" s="51">
        <v>0</v>
      </c>
      <c r="Q160" s="51">
        <v>200627</v>
      </c>
      <c r="R160" s="51">
        <v>419785</v>
      </c>
      <c r="T160" s="51">
        <v>419785</v>
      </c>
      <c r="U160" s="2">
        <v>0</v>
      </c>
      <c r="V160" s="2">
        <v>0</v>
      </c>
      <c r="W160" t="s">
        <v>373</v>
      </c>
      <c r="X160" t="s">
        <v>373</v>
      </c>
      <c r="Y160">
        <v>410.28</v>
      </c>
      <c r="Z160">
        <v>418.33</v>
      </c>
      <c r="AB160" s="2">
        <v>1</v>
      </c>
      <c r="AC160">
        <v>188.85</v>
      </c>
      <c r="AD160">
        <v>198.73</v>
      </c>
      <c r="AF160" s="2">
        <v>1</v>
      </c>
      <c r="AG160">
        <v>249.6</v>
      </c>
      <c r="AH160">
        <v>263.33</v>
      </c>
      <c r="AJ160" s="2">
        <v>1</v>
      </c>
      <c r="AK160">
        <v>115.55</v>
      </c>
      <c r="AL160">
        <v>121.74</v>
      </c>
      <c r="AN160" s="2">
        <v>1</v>
      </c>
      <c r="AR160" t="s">
        <v>373</v>
      </c>
      <c r="AS160" t="s">
        <v>10</v>
      </c>
      <c r="AT160" t="str">
        <f t="shared" si="2"/>
        <v>Lexington WC - 2148HC</v>
      </c>
    </row>
    <row r="161" spans="1:46" x14ac:dyDescent="0.25">
      <c r="A161" t="s">
        <v>316</v>
      </c>
      <c r="B161" t="s">
        <v>257</v>
      </c>
      <c r="C161" t="s">
        <v>156</v>
      </c>
      <c r="D161" s="50">
        <v>46054</v>
      </c>
      <c r="E161" s="2">
        <v>0.94699999999999995</v>
      </c>
      <c r="F161" s="2">
        <v>0.94499999999999995</v>
      </c>
      <c r="G161" t="s">
        <v>373</v>
      </c>
      <c r="H161" t="s">
        <v>373</v>
      </c>
      <c r="I161" s="2">
        <v>0</v>
      </c>
      <c r="J161" s="2">
        <v>0</v>
      </c>
      <c r="K161" s="2">
        <v>0</v>
      </c>
      <c r="L161" s="2">
        <v>0</v>
      </c>
      <c r="M161" s="51">
        <v>0</v>
      </c>
      <c r="N161" s="51">
        <v>0</v>
      </c>
      <c r="P161" s="51">
        <v>0</v>
      </c>
      <c r="Q161" s="51">
        <v>219158</v>
      </c>
      <c r="R161" s="51">
        <v>419785</v>
      </c>
      <c r="T161" s="51">
        <v>419785</v>
      </c>
      <c r="U161" s="2">
        <v>0</v>
      </c>
      <c r="V161" s="2">
        <v>0</v>
      </c>
      <c r="W161" t="s">
        <v>373</v>
      </c>
      <c r="X161" t="s">
        <v>373</v>
      </c>
      <c r="Y161">
        <v>426.38</v>
      </c>
      <c r="Z161">
        <v>418.33</v>
      </c>
      <c r="AB161" s="2">
        <v>1</v>
      </c>
      <c r="AC161">
        <v>208.61</v>
      </c>
      <c r="AD161">
        <v>198.73</v>
      </c>
      <c r="AF161" s="2">
        <v>1</v>
      </c>
      <c r="AG161">
        <v>277.06</v>
      </c>
      <c r="AH161">
        <v>263.33</v>
      </c>
      <c r="AJ161" s="2">
        <v>1</v>
      </c>
      <c r="AK161">
        <v>127.93</v>
      </c>
      <c r="AL161">
        <v>121.74</v>
      </c>
      <c r="AN161" s="2">
        <v>1</v>
      </c>
      <c r="AR161" t="s">
        <v>373</v>
      </c>
      <c r="AS161" t="s">
        <v>10</v>
      </c>
      <c r="AT161" t="str">
        <f t="shared" si="2"/>
        <v>Lexington WC - 2148HC</v>
      </c>
    </row>
    <row r="162" spans="1:46" x14ac:dyDescent="0.25">
      <c r="A162" t="s">
        <v>316</v>
      </c>
      <c r="B162" t="s">
        <v>257</v>
      </c>
      <c r="C162" t="s">
        <v>157</v>
      </c>
      <c r="D162" s="50">
        <v>46023</v>
      </c>
      <c r="E162" s="2">
        <v>0.93</v>
      </c>
      <c r="F162" s="2">
        <v>0.93300000000000005</v>
      </c>
      <c r="G162" t="s">
        <v>373</v>
      </c>
      <c r="H162" t="s">
        <v>373</v>
      </c>
      <c r="I162" s="2">
        <v>0</v>
      </c>
      <c r="J162" s="2">
        <v>0</v>
      </c>
      <c r="K162" s="2">
        <v>0</v>
      </c>
      <c r="L162" s="2">
        <v>0</v>
      </c>
      <c r="M162" s="51">
        <v>0</v>
      </c>
      <c r="N162" s="51">
        <v>0</v>
      </c>
      <c r="P162" s="51">
        <v>0</v>
      </c>
      <c r="Q162" s="51">
        <v>324928</v>
      </c>
      <c r="R162" s="51">
        <v>605209</v>
      </c>
      <c r="T162" s="51">
        <v>605209</v>
      </c>
      <c r="U162" s="2">
        <v>0</v>
      </c>
      <c r="V162" s="2">
        <v>0</v>
      </c>
      <c r="W162" t="s">
        <v>373</v>
      </c>
      <c r="X162" t="s">
        <v>373</v>
      </c>
      <c r="Y162">
        <v>453.81</v>
      </c>
      <c r="Z162">
        <v>455.52</v>
      </c>
      <c r="AB162" s="2">
        <v>1</v>
      </c>
      <c r="AC162">
        <v>204.98</v>
      </c>
      <c r="AD162">
        <v>213.5</v>
      </c>
      <c r="AF162" s="2">
        <v>1</v>
      </c>
      <c r="AJ162" t="s">
        <v>373</v>
      </c>
      <c r="AN162" t="s">
        <v>373</v>
      </c>
      <c r="AR162" t="s">
        <v>373</v>
      </c>
      <c r="AS162" t="s">
        <v>10</v>
      </c>
      <c r="AT162" t="str">
        <f t="shared" si="2"/>
        <v>Lexington WF - 2147HC</v>
      </c>
    </row>
    <row r="163" spans="1:46" x14ac:dyDescent="0.25">
      <c r="A163" t="s">
        <v>316</v>
      </c>
      <c r="B163" t="s">
        <v>257</v>
      </c>
      <c r="C163" t="s">
        <v>157</v>
      </c>
      <c r="D163" s="50">
        <v>46054</v>
      </c>
      <c r="E163" s="2">
        <v>0.93600000000000005</v>
      </c>
      <c r="F163" s="2">
        <v>0.93300000000000005</v>
      </c>
      <c r="G163" t="s">
        <v>373</v>
      </c>
      <c r="H163" t="s">
        <v>373</v>
      </c>
      <c r="I163" s="2">
        <v>0</v>
      </c>
      <c r="J163" s="2">
        <v>0</v>
      </c>
      <c r="K163" s="2">
        <v>0</v>
      </c>
      <c r="L163" s="2">
        <v>0</v>
      </c>
      <c r="M163" s="51">
        <v>0</v>
      </c>
      <c r="N163" s="51">
        <v>0</v>
      </c>
      <c r="P163" s="51">
        <v>0</v>
      </c>
      <c r="Q163" s="51">
        <v>280281</v>
      </c>
      <c r="R163" s="51">
        <v>605209</v>
      </c>
      <c r="T163" s="51">
        <v>605209</v>
      </c>
      <c r="U163" s="2">
        <v>0</v>
      </c>
      <c r="V163" s="2">
        <v>0</v>
      </c>
      <c r="W163" t="s">
        <v>373</v>
      </c>
      <c r="X163" t="s">
        <v>373</v>
      </c>
      <c r="Y163">
        <v>457.23</v>
      </c>
      <c r="Z163">
        <v>455.52</v>
      </c>
      <c r="AB163" s="2">
        <v>1</v>
      </c>
      <c r="AC163">
        <v>222.02</v>
      </c>
      <c r="AD163">
        <v>213.5</v>
      </c>
      <c r="AF163" s="2">
        <v>1</v>
      </c>
      <c r="AJ163" t="s">
        <v>373</v>
      </c>
      <c r="AN163" t="s">
        <v>373</v>
      </c>
      <c r="AR163" t="s">
        <v>373</v>
      </c>
      <c r="AS163" t="s">
        <v>10</v>
      </c>
      <c r="AT163" t="str">
        <f t="shared" si="2"/>
        <v>Lexington WF - 2147HC</v>
      </c>
    </row>
    <row r="164" spans="1:46" x14ac:dyDescent="0.25">
      <c r="A164" t="s">
        <v>316</v>
      </c>
      <c r="B164" t="s">
        <v>257</v>
      </c>
      <c r="C164" t="s">
        <v>159</v>
      </c>
      <c r="D164" s="50">
        <v>46023</v>
      </c>
      <c r="E164" s="2">
        <v>0.93300000000000005</v>
      </c>
      <c r="F164" s="2">
        <v>0.91800000000000004</v>
      </c>
      <c r="G164" t="s">
        <v>373</v>
      </c>
      <c r="H164" t="s">
        <v>373</v>
      </c>
      <c r="I164" s="2">
        <v>0</v>
      </c>
      <c r="J164" s="2">
        <v>0</v>
      </c>
      <c r="K164" s="2">
        <v>0</v>
      </c>
      <c r="L164" s="2">
        <v>0</v>
      </c>
      <c r="M164" s="51">
        <v>0</v>
      </c>
      <c r="N164" s="51">
        <v>0</v>
      </c>
      <c r="P164" s="51">
        <v>0</v>
      </c>
      <c r="Q164" s="51">
        <v>357340</v>
      </c>
      <c r="R164" s="51">
        <v>698963</v>
      </c>
      <c r="T164" s="51">
        <v>698963</v>
      </c>
      <c r="U164" s="2">
        <v>0</v>
      </c>
      <c r="V164" s="2">
        <v>0</v>
      </c>
      <c r="W164" t="s">
        <v>373</v>
      </c>
      <c r="X164" t="s">
        <v>373</v>
      </c>
      <c r="Y164">
        <v>472.67</v>
      </c>
      <c r="Z164">
        <v>471.61</v>
      </c>
      <c r="AB164" s="2">
        <v>1</v>
      </c>
      <c r="AC164">
        <v>171.52</v>
      </c>
      <c r="AD164">
        <v>176.17</v>
      </c>
      <c r="AF164" s="2">
        <v>1</v>
      </c>
      <c r="AG164">
        <v>242.4</v>
      </c>
      <c r="AH164">
        <v>255.51</v>
      </c>
      <c r="AJ164" s="2">
        <v>1</v>
      </c>
      <c r="AN164" t="s">
        <v>373</v>
      </c>
      <c r="AR164" t="s">
        <v>373</v>
      </c>
      <c r="AS164" t="s">
        <v>10</v>
      </c>
      <c r="AT164" t="str">
        <f t="shared" si="2"/>
        <v>Lexington WH - 2146HC</v>
      </c>
    </row>
    <row r="165" spans="1:46" x14ac:dyDescent="0.25">
      <c r="A165" t="s">
        <v>316</v>
      </c>
      <c r="B165" t="s">
        <v>257</v>
      </c>
      <c r="C165" t="s">
        <v>159</v>
      </c>
      <c r="D165" s="50">
        <v>46054</v>
      </c>
      <c r="E165" s="2">
        <v>0.90200000000000002</v>
      </c>
      <c r="F165" s="2">
        <v>0.91800000000000004</v>
      </c>
      <c r="G165" t="s">
        <v>373</v>
      </c>
      <c r="H165" t="s">
        <v>373</v>
      </c>
      <c r="I165" s="2">
        <v>0</v>
      </c>
      <c r="J165" s="2">
        <v>0</v>
      </c>
      <c r="K165" s="2">
        <v>0</v>
      </c>
      <c r="L165" s="2">
        <v>0</v>
      </c>
      <c r="M165" s="51">
        <v>0</v>
      </c>
      <c r="N165" s="51">
        <v>0</v>
      </c>
      <c r="P165" s="51">
        <v>0</v>
      </c>
      <c r="Q165" s="51">
        <v>341623</v>
      </c>
      <c r="R165" s="51">
        <v>698963</v>
      </c>
      <c r="T165" s="51">
        <v>698963</v>
      </c>
      <c r="U165" s="2">
        <v>0</v>
      </c>
      <c r="V165" s="2">
        <v>0</v>
      </c>
      <c r="W165" t="s">
        <v>373</v>
      </c>
      <c r="X165" t="s">
        <v>373</v>
      </c>
      <c r="Y165">
        <v>470.55</v>
      </c>
      <c r="Z165">
        <v>471.61</v>
      </c>
      <c r="AB165" s="2">
        <v>1</v>
      </c>
      <c r="AC165">
        <v>180.82</v>
      </c>
      <c r="AD165">
        <v>176.17</v>
      </c>
      <c r="AF165" s="2">
        <v>1</v>
      </c>
      <c r="AG165">
        <v>268.61</v>
      </c>
      <c r="AH165">
        <v>255.51</v>
      </c>
      <c r="AJ165" s="2">
        <v>1</v>
      </c>
      <c r="AN165" t="s">
        <v>373</v>
      </c>
      <c r="AR165" t="s">
        <v>373</v>
      </c>
      <c r="AS165" t="s">
        <v>10</v>
      </c>
      <c r="AT165" t="str">
        <f t="shared" si="2"/>
        <v>Lexington WH - 2146HC</v>
      </c>
    </row>
    <row r="166" spans="1:46" x14ac:dyDescent="0.25">
      <c r="A166" t="s">
        <v>316</v>
      </c>
      <c r="B166" t="s">
        <v>257</v>
      </c>
      <c r="C166" t="s">
        <v>189</v>
      </c>
      <c r="D166" s="50">
        <v>46023</v>
      </c>
      <c r="E166" s="2">
        <v>0.96799999999999997</v>
      </c>
      <c r="F166" s="2">
        <v>0.94599999999999995</v>
      </c>
      <c r="G166" t="s">
        <v>373</v>
      </c>
      <c r="H166" t="s">
        <v>373</v>
      </c>
      <c r="I166" s="2">
        <v>0</v>
      </c>
      <c r="J166" s="2">
        <v>0</v>
      </c>
      <c r="K166" s="2">
        <v>0</v>
      </c>
      <c r="L166" s="2">
        <v>0</v>
      </c>
      <c r="M166" s="51">
        <v>501</v>
      </c>
      <c r="N166" s="51">
        <v>501</v>
      </c>
      <c r="P166" s="51">
        <v>501</v>
      </c>
      <c r="Q166" s="51">
        <v>209379</v>
      </c>
      <c r="R166" s="51">
        <v>381255</v>
      </c>
      <c r="T166" s="51">
        <v>381255</v>
      </c>
      <c r="U166" s="2">
        <v>2E-3</v>
      </c>
      <c r="V166" s="2">
        <v>1E-3</v>
      </c>
      <c r="W166" t="s">
        <v>373</v>
      </c>
      <c r="X166" t="s">
        <v>373</v>
      </c>
      <c r="Y166">
        <v>498.52</v>
      </c>
      <c r="Z166">
        <v>501.28</v>
      </c>
      <c r="AB166" s="2">
        <v>1</v>
      </c>
      <c r="AC166">
        <v>178.78</v>
      </c>
      <c r="AD166">
        <v>188.84</v>
      </c>
      <c r="AF166" s="2">
        <v>1</v>
      </c>
      <c r="AG166">
        <v>228.31</v>
      </c>
      <c r="AH166">
        <v>240.97</v>
      </c>
      <c r="AJ166" s="2">
        <v>1</v>
      </c>
      <c r="AN166" t="s">
        <v>373</v>
      </c>
      <c r="AR166" t="s">
        <v>373</v>
      </c>
      <c r="AS166" t="s">
        <v>10</v>
      </c>
      <c r="AT166" t="str">
        <f t="shared" si="2"/>
        <v>Mount Washington - 176HC</v>
      </c>
    </row>
    <row r="167" spans="1:46" x14ac:dyDescent="0.25">
      <c r="A167" t="s">
        <v>316</v>
      </c>
      <c r="B167" t="s">
        <v>257</v>
      </c>
      <c r="C167" t="s">
        <v>189</v>
      </c>
      <c r="D167" s="50">
        <v>46054</v>
      </c>
      <c r="E167" s="2">
        <v>0.92100000000000004</v>
      </c>
      <c r="F167" s="2">
        <v>0.94599999999999995</v>
      </c>
      <c r="G167" t="s">
        <v>373</v>
      </c>
      <c r="H167" t="s">
        <v>373</v>
      </c>
      <c r="I167" s="2">
        <v>0</v>
      </c>
      <c r="J167" s="2">
        <v>0</v>
      </c>
      <c r="K167" s="2">
        <v>0</v>
      </c>
      <c r="L167" s="2">
        <v>0</v>
      </c>
      <c r="M167" s="51">
        <v>0</v>
      </c>
      <c r="N167" s="51">
        <v>501</v>
      </c>
      <c r="P167" s="51">
        <v>501</v>
      </c>
      <c r="Q167" s="51">
        <v>171876</v>
      </c>
      <c r="R167" s="51">
        <v>381255</v>
      </c>
      <c r="T167" s="51">
        <v>381255</v>
      </c>
      <c r="U167" s="2">
        <v>0</v>
      </c>
      <c r="V167" s="2">
        <v>1E-3</v>
      </c>
      <c r="W167" t="s">
        <v>373</v>
      </c>
      <c r="X167" t="s">
        <v>373</v>
      </c>
      <c r="Y167">
        <v>504.04</v>
      </c>
      <c r="Z167">
        <v>501.28</v>
      </c>
      <c r="AB167" s="2">
        <v>1</v>
      </c>
      <c r="AC167">
        <v>198.9</v>
      </c>
      <c r="AD167">
        <v>188.84</v>
      </c>
      <c r="AF167" s="2">
        <v>1</v>
      </c>
      <c r="AG167">
        <v>253.64</v>
      </c>
      <c r="AH167">
        <v>240.97</v>
      </c>
      <c r="AJ167" s="2">
        <v>1</v>
      </c>
      <c r="AN167" t="s">
        <v>373</v>
      </c>
      <c r="AR167" t="s">
        <v>373</v>
      </c>
      <c r="AS167" t="s">
        <v>10</v>
      </c>
      <c r="AT167" t="str">
        <f t="shared" si="2"/>
        <v>Mount Washington - 176HC</v>
      </c>
    </row>
    <row r="168" spans="1:46" x14ac:dyDescent="0.25">
      <c r="A168" t="s">
        <v>316</v>
      </c>
      <c r="B168" t="s">
        <v>258</v>
      </c>
      <c r="C168" t="s">
        <v>36</v>
      </c>
      <c r="D168" s="50">
        <v>46023</v>
      </c>
      <c r="E168" s="2">
        <v>0.96</v>
      </c>
      <c r="F168" s="2">
        <v>0.94899999999999995</v>
      </c>
      <c r="G168" t="s">
        <v>373</v>
      </c>
      <c r="H168" t="s">
        <v>373</v>
      </c>
      <c r="I168" s="2">
        <v>0</v>
      </c>
      <c r="J168" s="2">
        <v>0</v>
      </c>
      <c r="K168" s="2">
        <v>0</v>
      </c>
      <c r="L168" s="2">
        <v>0</v>
      </c>
      <c r="M168" s="51">
        <v>0</v>
      </c>
      <c r="N168" s="51">
        <v>0</v>
      </c>
      <c r="P168" s="51">
        <v>0</v>
      </c>
      <c r="Q168" s="51">
        <v>201610</v>
      </c>
      <c r="R168" s="51">
        <v>345129</v>
      </c>
      <c r="T168" s="51">
        <v>345129</v>
      </c>
      <c r="U168" s="2">
        <v>0</v>
      </c>
      <c r="V168" s="2">
        <v>0</v>
      </c>
      <c r="W168" t="s">
        <v>373</v>
      </c>
      <c r="X168" t="s">
        <v>373</v>
      </c>
      <c r="Y168">
        <v>393.77</v>
      </c>
      <c r="Z168">
        <v>395.12</v>
      </c>
      <c r="AB168" s="2">
        <v>1</v>
      </c>
      <c r="AC168">
        <v>209.5</v>
      </c>
      <c r="AD168">
        <v>220.49</v>
      </c>
      <c r="AF168" s="2">
        <v>1</v>
      </c>
      <c r="AG168">
        <v>287.02</v>
      </c>
      <c r="AH168">
        <v>302.67</v>
      </c>
      <c r="AJ168" s="2">
        <v>1</v>
      </c>
      <c r="AN168" t="s">
        <v>373</v>
      </c>
      <c r="AR168" t="s">
        <v>373</v>
      </c>
      <c r="AS168" t="s">
        <v>10</v>
      </c>
      <c r="AT168" t="str">
        <f t="shared" si="2"/>
        <v>Batesville - 120HC</v>
      </c>
    </row>
    <row r="169" spans="1:46" x14ac:dyDescent="0.25">
      <c r="A169" t="s">
        <v>316</v>
      </c>
      <c r="B169" t="s">
        <v>258</v>
      </c>
      <c r="C169" t="s">
        <v>36</v>
      </c>
      <c r="D169" s="50">
        <v>46054</v>
      </c>
      <c r="E169" s="2">
        <v>0.93600000000000005</v>
      </c>
      <c r="F169" s="2">
        <v>0.94899999999999995</v>
      </c>
      <c r="G169" t="s">
        <v>373</v>
      </c>
      <c r="H169" t="s">
        <v>373</v>
      </c>
      <c r="I169" s="2">
        <v>0</v>
      </c>
      <c r="J169" s="2">
        <v>0</v>
      </c>
      <c r="K169" s="2">
        <v>0</v>
      </c>
      <c r="L169" s="2">
        <v>0</v>
      </c>
      <c r="M169" s="51">
        <v>0</v>
      </c>
      <c r="N169" s="51">
        <v>0</v>
      </c>
      <c r="P169" s="51">
        <v>0</v>
      </c>
      <c r="Q169" s="51">
        <v>143519</v>
      </c>
      <c r="R169" s="51">
        <v>345129</v>
      </c>
      <c r="T169" s="51">
        <v>345129</v>
      </c>
      <c r="U169" s="2">
        <v>0</v>
      </c>
      <c r="V169" s="2">
        <v>0</v>
      </c>
      <c r="W169" t="s">
        <v>373</v>
      </c>
      <c r="X169" t="s">
        <v>373</v>
      </c>
      <c r="Y169">
        <v>396.46</v>
      </c>
      <c r="Z169">
        <v>395.12</v>
      </c>
      <c r="AB169" s="2">
        <v>1</v>
      </c>
      <c r="AC169">
        <v>231.47</v>
      </c>
      <c r="AD169">
        <v>220.49</v>
      </c>
      <c r="AF169" s="2">
        <v>1</v>
      </c>
      <c r="AG169">
        <v>318.33</v>
      </c>
      <c r="AH169">
        <v>302.67</v>
      </c>
      <c r="AJ169" s="2">
        <v>1</v>
      </c>
      <c r="AN169" t="s">
        <v>373</v>
      </c>
      <c r="AR169" t="s">
        <v>373</v>
      </c>
      <c r="AS169" t="s">
        <v>10</v>
      </c>
      <c r="AT169" t="str">
        <f t="shared" si="2"/>
        <v>Batesville - 120HC</v>
      </c>
    </row>
    <row r="170" spans="1:46" x14ac:dyDescent="0.25">
      <c r="A170" t="s">
        <v>316</v>
      </c>
      <c r="B170" t="s">
        <v>258</v>
      </c>
      <c r="C170" t="s">
        <v>39</v>
      </c>
      <c r="D170" s="50">
        <v>46023</v>
      </c>
      <c r="E170" s="2">
        <v>0.92700000000000005</v>
      </c>
      <c r="F170" s="2">
        <v>0.90200000000000002</v>
      </c>
      <c r="G170" t="s">
        <v>373</v>
      </c>
      <c r="H170" t="s">
        <v>373</v>
      </c>
      <c r="I170" s="2">
        <v>0</v>
      </c>
      <c r="J170" s="2">
        <v>0</v>
      </c>
      <c r="K170" s="2">
        <v>0</v>
      </c>
      <c r="L170" s="2">
        <v>0</v>
      </c>
      <c r="M170" s="51">
        <v>0</v>
      </c>
      <c r="N170" s="51">
        <v>0</v>
      </c>
      <c r="P170" s="51">
        <v>0</v>
      </c>
      <c r="Q170" s="51">
        <v>86489</v>
      </c>
      <c r="R170" s="51">
        <v>169971</v>
      </c>
      <c r="T170" s="51">
        <v>169971</v>
      </c>
      <c r="U170" s="2">
        <v>0</v>
      </c>
      <c r="V170" s="2">
        <v>0</v>
      </c>
      <c r="W170" t="s">
        <v>373</v>
      </c>
      <c r="X170" t="s">
        <v>373</v>
      </c>
      <c r="Y170">
        <v>386.11</v>
      </c>
      <c r="Z170">
        <v>384.53</v>
      </c>
      <c r="AB170" s="2">
        <v>1</v>
      </c>
      <c r="AC170">
        <v>186.82</v>
      </c>
      <c r="AD170">
        <v>196.79</v>
      </c>
      <c r="AF170" s="2">
        <v>1</v>
      </c>
      <c r="AG170">
        <v>217.97</v>
      </c>
      <c r="AH170">
        <v>229.58</v>
      </c>
      <c r="AJ170" s="2">
        <v>1</v>
      </c>
      <c r="AN170" t="s">
        <v>373</v>
      </c>
      <c r="AR170" t="s">
        <v>373</v>
      </c>
      <c r="AS170" t="s">
        <v>10</v>
      </c>
      <c r="AT170" t="str">
        <f t="shared" si="2"/>
        <v>Bedford - 115HC</v>
      </c>
    </row>
    <row r="171" spans="1:46" x14ac:dyDescent="0.25">
      <c r="A171" t="s">
        <v>316</v>
      </c>
      <c r="B171" t="s">
        <v>258</v>
      </c>
      <c r="C171" t="s">
        <v>39</v>
      </c>
      <c r="D171" s="50">
        <v>46054</v>
      </c>
      <c r="E171" s="2">
        <v>0.874</v>
      </c>
      <c r="F171" s="2">
        <v>0.90200000000000002</v>
      </c>
      <c r="G171" t="s">
        <v>373</v>
      </c>
      <c r="H171" t="s">
        <v>373</v>
      </c>
      <c r="I171" s="2">
        <v>0</v>
      </c>
      <c r="J171" s="2">
        <v>0</v>
      </c>
      <c r="K171" s="2">
        <v>0</v>
      </c>
      <c r="L171" s="2">
        <v>0</v>
      </c>
      <c r="M171" s="51">
        <v>0</v>
      </c>
      <c r="N171" s="51">
        <v>0</v>
      </c>
      <c r="P171" s="51">
        <v>0</v>
      </c>
      <c r="Q171" s="51">
        <v>83482</v>
      </c>
      <c r="R171" s="51">
        <v>169971</v>
      </c>
      <c r="T171" s="51">
        <v>169971</v>
      </c>
      <c r="U171" s="2">
        <v>0</v>
      </c>
      <c r="V171" s="2">
        <v>0</v>
      </c>
      <c r="W171" t="s">
        <v>373</v>
      </c>
      <c r="X171" t="s">
        <v>373</v>
      </c>
      <c r="Y171">
        <v>382.94</v>
      </c>
      <c r="Z171">
        <v>384.53</v>
      </c>
      <c r="AB171" s="2">
        <v>1</v>
      </c>
      <c r="AC171">
        <v>206.77</v>
      </c>
      <c r="AD171">
        <v>196.79</v>
      </c>
      <c r="AF171" s="2">
        <v>1</v>
      </c>
      <c r="AG171">
        <v>241.2</v>
      </c>
      <c r="AH171">
        <v>229.58</v>
      </c>
      <c r="AJ171" s="2">
        <v>1</v>
      </c>
      <c r="AN171" t="s">
        <v>373</v>
      </c>
      <c r="AR171" t="s">
        <v>373</v>
      </c>
      <c r="AS171" t="s">
        <v>10</v>
      </c>
      <c r="AT171" t="str">
        <f t="shared" si="2"/>
        <v>Bedford - 115HC</v>
      </c>
    </row>
    <row r="172" spans="1:46" x14ac:dyDescent="0.25">
      <c r="A172" t="s">
        <v>316</v>
      </c>
      <c r="B172" t="s">
        <v>258</v>
      </c>
      <c r="C172" t="s">
        <v>47</v>
      </c>
      <c r="D172" s="50">
        <v>46023</v>
      </c>
      <c r="E172" s="2">
        <v>0.89500000000000002</v>
      </c>
      <c r="F172" s="2">
        <v>0.90700000000000003</v>
      </c>
      <c r="G172" t="s">
        <v>373</v>
      </c>
      <c r="H172" t="s">
        <v>373</v>
      </c>
      <c r="I172" s="2">
        <v>0</v>
      </c>
      <c r="J172" s="2">
        <v>0</v>
      </c>
      <c r="K172" s="2">
        <v>0</v>
      </c>
      <c r="L172" s="2">
        <v>0</v>
      </c>
      <c r="M172" s="51">
        <v>0</v>
      </c>
      <c r="N172" s="51">
        <v>0</v>
      </c>
      <c r="P172" s="51">
        <v>0</v>
      </c>
      <c r="Q172" s="51">
        <v>187427</v>
      </c>
      <c r="R172" s="51">
        <v>329984</v>
      </c>
      <c r="T172" s="51">
        <v>329984</v>
      </c>
      <c r="U172" s="2">
        <v>0</v>
      </c>
      <c r="V172" s="2">
        <v>0</v>
      </c>
      <c r="W172" t="s">
        <v>373</v>
      </c>
      <c r="X172" t="s">
        <v>373</v>
      </c>
      <c r="Y172">
        <v>406.57</v>
      </c>
      <c r="Z172">
        <v>406.94</v>
      </c>
      <c r="AB172" s="2">
        <v>1</v>
      </c>
      <c r="AC172">
        <v>176.13</v>
      </c>
      <c r="AD172">
        <v>182.64</v>
      </c>
      <c r="AF172" s="2">
        <v>1</v>
      </c>
      <c r="AG172">
        <v>218.87</v>
      </c>
      <c r="AH172">
        <v>230.86</v>
      </c>
      <c r="AJ172" s="2">
        <v>1</v>
      </c>
      <c r="AN172" t="s">
        <v>373</v>
      </c>
      <c r="AR172" t="s">
        <v>373</v>
      </c>
      <c r="AS172" t="s">
        <v>10</v>
      </c>
      <c r="AT172" t="str">
        <f t="shared" si="2"/>
        <v>Bloomington HS - 5149HC</v>
      </c>
    </row>
    <row r="173" spans="1:46" x14ac:dyDescent="0.25">
      <c r="A173" t="s">
        <v>316</v>
      </c>
      <c r="B173" t="s">
        <v>258</v>
      </c>
      <c r="C173" t="s">
        <v>47</v>
      </c>
      <c r="D173" s="50">
        <v>46054</v>
      </c>
      <c r="E173" s="2">
        <v>0.92</v>
      </c>
      <c r="F173" s="2">
        <v>0.90700000000000003</v>
      </c>
      <c r="G173" t="s">
        <v>373</v>
      </c>
      <c r="H173" t="s">
        <v>373</v>
      </c>
      <c r="I173" s="2">
        <v>0</v>
      </c>
      <c r="J173" s="2">
        <v>0</v>
      </c>
      <c r="K173" s="2">
        <v>0</v>
      </c>
      <c r="L173" s="2">
        <v>0</v>
      </c>
      <c r="M173" s="51">
        <v>0</v>
      </c>
      <c r="N173" s="51">
        <v>0</v>
      </c>
      <c r="P173" s="51">
        <v>0</v>
      </c>
      <c r="Q173" s="51">
        <v>142557</v>
      </c>
      <c r="R173" s="51">
        <v>329984</v>
      </c>
      <c r="T173" s="51">
        <v>329984</v>
      </c>
      <c r="U173" s="2">
        <v>0</v>
      </c>
      <c r="V173" s="2">
        <v>0</v>
      </c>
      <c r="W173" t="s">
        <v>373</v>
      </c>
      <c r="X173" t="s">
        <v>373</v>
      </c>
      <c r="Y173">
        <v>407.31</v>
      </c>
      <c r="Z173">
        <v>406.94</v>
      </c>
      <c r="AB173" s="2">
        <v>1</v>
      </c>
      <c r="AC173">
        <v>189.15</v>
      </c>
      <c r="AD173">
        <v>182.64</v>
      </c>
      <c r="AF173" s="2">
        <v>1</v>
      </c>
      <c r="AG173">
        <v>242.85</v>
      </c>
      <c r="AH173">
        <v>230.86</v>
      </c>
      <c r="AJ173" s="2">
        <v>1</v>
      </c>
      <c r="AN173" t="s">
        <v>373</v>
      </c>
      <c r="AR173" t="s">
        <v>373</v>
      </c>
      <c r="AS173" t="s">
        <v>10</v>
      </c>
      <c r="AT173" t="str">
        <f t="shared" si="2"/>
        <v>Bloomington HS - 5149HC</v>
      </c>
    </row>
    <row r="174" spans="1:46" x14ac:dyDescent="0.25">
      <c r="A174" t="s">
        <v>316</v>
      </c>
      <c r="B174" t="s">
        <v>258</v>
      </c>
      <c r="C174" t="s">
        <v>49</v>
      </c>
      <c r="D174" s="50">
        <v>46023</v>
      </c>
      <c r="E174" s="2">
        <v>0.98499999999999999</v>
      </c>
      <c r="F174" s="2">
        <v>0.97799999999999998</v>
      </c>
      <c r="G174" t="s">
        <v>373</v>
      </c>
      <c r="H174" t="s">
        <v>373</v>
      </c>
      <c r="I174" s="2">
        <v>0</v>
      </c>
      <c r="J174" s="2">
        <v>0.16700000000000001</v>
      </c>
      <c r="K174" s="2">
        <v>0</v>
      </c>
      <c r="L174" s="2">
        <v>0.16700000000000001</v>
      </c>
      <c r="M174" s="51">
        <v>0</v>
      </c>
      <c r="N174" s="51">
        <v>0</v>
      </c>
      <c r="P174" s="51">
        <v>0</v>
      </c>
      <c r="Q174" s="51">
        <v>236298</v>
      </c>
      <c r="R174" s="51">
        <v>458216</v>
      </c>
      <c r="T174" s="51">
        <v>458216</v>
      </c>
      <c r="U174" s="2">
        <v>0</v>
      </c>
      <c r="V174" s="2">
        <v>0</v>
      </c>
      <c r="W174" t="s">
        <v>373</v>
      </c>
      <c r="X174" t="s">
        <v>373</v>
      </c>
      <c r="Y174">
        <v>405.31</v>
      </c>
      <c r="Z174">
        <v>405.88</v>
      </c>
      <c r="AB174" s="2">
        <v>1</v>
      </c>
      <c r="AC174">
        <v>228.68</v>
      </c>
      <c r="AD174">
        <v>240.83</v>
      </c>
      <c r="AF174" s="2">
        <v>1</v>
      </c>
      <c r="AG174">
        <v>240.28</v>
      </c>
      <c r="AH174">
        <v>250.76</v>
      </c>
      <c r="AJ174" s="2">
        <v>1</v>
      </c>
      <c r="AN174" t="s">
        <v>373</v>
      </c>
      <c r="AR174" t="s">
        <v>373</v>
      </c>
      <c r="AS174" t="s">
        <v>10</v>
      </c>
      <c r="AT174" t="str">
        <f t="shared" si="2"/>
        <v>Bloomington SC - 5164HC</v>
      </c>
    </row>
    <row r="175" spans="1:46" x14ac:dyDescent="0.25">
      <c r="A175" t="s">
        <v>316</v>
      </c>
      <c r="B175" t="s">
        <v>258</v>
      </c>
      <c r="C175" t="s">
        <v>49</v>
      </c>
      <c r="D175" s="50">
        <v>46054</v>
      </c>
      <c r="E175" s="2">
        <v>0.97</v>
      </c>
      <c r="F175" s="2">
        <v>0.97799999999999998</v>
      </c>
      <c r="G175" t="s">
        <v>373</v>
      </c>
      <c r="H175" t="s">
        <v>373</v>
      </c>
      <c r="I175" s="2">
        <v>0.16700000000000001</v>
      </c>
      <c r="J175" s="2">
        <v>0.16700000000000001</v>
      </c>
      <c r="K175" s="2">
        <v>0</v>
      </c>
      <c r="L175" s="2">
        <v>0.16700000000000001</v>
      </c>
      <c r="M175" s="51">
        <v>0</v>
      </c>
      <c r="N175" s="51">
        <v>0</v>
      </c>
      <c r="P175" s="51">
        <v>0</v>
      </c>
      <c r="Q175" s="51">
        <v>221918</v>
      </c>
      <c r="R175" s="51">
        <v>458216</v>
      </c>
      <c r="T175" s="51">
        <v>458216</v>
      </c>
      <c r="U175" s="2">
        <v>0</v>
      </c>
      <c r="V175" s="2">
        <v>0</v>
      </c>
      <c r="W175" t="s">
        <v>373</v>
      </c>
      <c r="X175" t="s">
        <v>373</v>
      </c>
      <c r="Y175">
        <v>406.44</v>
      </c>
      <c r="Z175">
        <v>405.88</v>
      </c>
      <c r="AB175" s="2">
        <v>1</v>
      </c>
      <c r="AC175">
        <v>252.99</v>
      </c>
      <c r="AD175">
        <v>240.83</v>
      </c>
      <c r="AF175" s="2">
        <v>1</v>
      </c>
      <c r="AG175">
        <v>261.24</v>
      </c>
      <c r="AH175">
        <v>250.76</v>
      </c>
      <c r="AJ175" s="2">
        <v>1</v>
      </c>
      <c r="AN175" t="s">
        <v>373</v>
      </c>
      <c r="AR175" t="s">
        <v>373</v>
      </c>
      <c r="AS175" t="s">
        <v>10</v>
      </c>
      <c r="AT175" t="str">
        <f t="shared" si="2"/>
        <v>Bloomington SC - 5164HC</v>
      </c>
    </row>
    <row r="176" spans="1:46" x14ac:dyDescent="0.25">
      <c r="A176" t="s">
        <v>316</v>
      </c>
      <c r="B176" t="s">
        <v>258</v>
      </c>
      <c r="C176" t="s">
        <v>71</v>
      </c>
      <c r="D176" s="50">
        <v>46023</v>
      </c>
      <c r="E176" s="2">
        <v>0.87</v>
      </c>
      <c r="F176" s="2">
        <v>0.84699999999999998</v>
      </c>
      <c r="G176" t="s">
        <v>373</v>
      </c>
      <c r="H176" t="s">
        <v>373</v>
      </c>
      <c r="I176" s="2">
        <v>0</v>
      </c>
      <c r="J176" s="2">
        <v>0</v>
      </c>
      <c r="K176" s="2">
        <v>0</v>
      </c>
      <c r="L176" s="2">
        <v>0</v>
      </c>
      <c r="M176" s="51">
        <v>0</v>
      </c>
      <c r="N176" s="51">
        <v>5766</v>
      </c>
      <c r="P176" s="51">
        <v>5766</v>
      </c>
      <c r="Q176" s="51">
        <v>145751</v>
      </c>
      <c r="R176" s="51">
        <v>267396</v>
      </c>
      <c r="T176" s="51">
        <v>267396</v>
      </c>
      <c r="U176" s="2">
        <v>0</v>
      </c>
      <c r="V176" s="2">
        <v>2.1999999999999999E-2</v>
      </c>
      <c r="W176" t="s">
        <v>373</v>
      </c>
      <c r="X176" t="s">
        <v>373</v>
      </c>
      <c r="Y176">
        <v>443.01</v>
      </c>
      <c r="Z176">
        <v>429.8</v>
      </c>
      <c r="AB176" s="2">
        <v>1</v>
      </c>
      <c r="AC176">
        <v>227.77</v>
      </c>
      <c r="AD176">
        <v>236.57</v>
      </c>
      <c r="AF176" s="2">
        <v>1</v>
      </c>
      <c r="AG176">
        <v>287.17</v>
      </c>
      <c r="AH176">
        <v>304.94</v>
      </c>
      <c r="AJ176" s="2">
        <v>1</v>
      </c>
      <c r="AN176" t="s">
        <v>373</v>
      </c>
      <c r="AR176" t="s">
        <v>373</v>
      </c>
      <c r="AS176" t="s">
        <v>10</v>
      </c>
      <c r="AT176" t="str">
        <f t="shared" si="2"/>
        <v>Columbus - 107HC</v>
      </c>
    </row>
    <row r="177" spans="1:46" x14ac:dyDescent="0.25">
      <c r="A177" t="s">
        <v>316</v>
      </c>
      <c r="B177" t="s">
        <v>258</v>
      </c>
      <c r="C177" t="s">
        <v>71</v>
      </c>
      <c r="D177" s="50">
        <v>46054</v>
      </c>
      <c r="E177" s="2">
        <v>0.82099999999999995</v>
      </c>
      <c r="F177" s="2">
        <v>0.84699999999999998</v>
      </c>
      <c r="G177" t="s">
        <v>373</v>
      </c>
      <c r="H177" t="s">
        <v>373</v>
      </c>
      <c r="I177" s="2">
        <v>0</v>
      </c>
      <c r="J177" s="2">
        <v>0</v>
      </c>
      <c r="K177" s="2">
        <v>0</v>
      </c>
      <c r="L177" s="2">
        <v>0</v>
      </c>
      <c r="M177" s="51">
        <v>5766</v>
      </c>
      <c r="N177" s="51">
        <v>5766</v>
      </c>
      <c r="P177" s="51">
        <v>5766</v>
      </c>
      <c r="Q177" s="51">
        <v>121645</v>
      </c>
      <c r="R177" s="51">
        <v>267396</v>
      </c>
      <c r="T177" s="51">
        <v>267396</v>
      </c>
      <c r="U177" s="2">
        <v>4.7E-2</v>
      </c>
      <c r="V177" s="2">
        <v>2.1999999999999999E-2</v>
      </c>
      <c r="W177" t="s">
        <v>373</v>
      </c>
      <c r="X177" t="s">
        <v>373</v>
      </c>
      <c r="Y177">
        <v>416.59</v>
      </c>
      <c r="Z177">
        <v>429.8</v>
      </c>
      <c r="AB177" s="2">
        <v>1</v>
      </c>
      <c r="AC177">
        <v>245.37</v>
      </c>
      <c r="AD177">
        <v>236.57</v>
      </c>
      <c r="AF177" s="2">
        <v>1</v>
      </c>
      <c r="AG177">
        <v>322.70999999999998</v>
      </c>
      <c r="AH177">
        <v>304.94</v>
      </c>
      <c r="AJ177" s="2">
        <v>1</v>
      </c>
      <c r="AN177" t="s">
        <v>373</v>
      </c>
      <c r="AR177" t="s">
        <v>373</v>
      </c>
      <c r="AS177" t="s">
        <v>10</v>
      </c>
      <c r="AT177" t="str">
        <f t="shared" si="2"/>
        <v>Columbus - 107HC</v>
      </c>
    </row>
    <row r="178" spans="1:46" x14ac:dyDescent="0.25">
      <c r="A178" t="s">
        <v>316</v>
      </c>
      <c r="B178" t="s">
        <v>258</v>
      </c>
      <c r="C178" t="s">
        <v>124</v>
      </c>
      <c r="D178" s="50">
        <v>46023</v>
      </c>
      <c r="E178" s="2">
        <v>0.67900000000000005</v>
      </c>
      <c r="F178" s="2">
        <v>0.69399999999999995</v>
      </c>
      <c r="G178" t="s">
        <v>373</v>
      </c>
      <c r="H178" t="s">
        <v>373</v>
      </c>
      <c r="I178" s="2">
        <v>0</v>
      </c>
      <c r="J178" s="2">
        <v>0</v>
      </c>
      <c r="K178" s="2">
        <v>0</v>
      </c>
      <c r="L178" s="2">
        <v>0</v>
      </c>
      <c r="M178" s="51">
        <v>0</v>
      </c>
      <c r="N178" s="51">
        <v>0</v>
      </c>
      <c r="P178" s="51">
        <v>0</v>
      </c>
      <c r="Q178" s="51">
        <v>109384</v>
      </c>
      <c r="R178" s="51">
        <v>164493</v>
      </c>
      <c r="T178" s="51">
        <v>164493</v>
      </c>
      <c r="U178" s="2">
        <v>0</v>
      </c>
      <c r="V178" s="2">
        <v>0</v>
      </c>
      <c r="W178" t="s">
        <v>373</v>
      </c>
      <c r="X178" t="s">
        <v>373</v>
      </c>
      <c r="Y178">
        <v>356.3</v>
      </c>
      <c r="Z178">
        <v>365.6</v>
      </c>
      <c r="AB178" s="2">
        <v>1</v>
      </c>
      <c r="AC178">
        <v>179.87</v>
      </c>
      <c r="AD178">
        <v>189.52</v>
      </c>
      <c r="AF178" s="2">
        <v>1</v>
      </c>
      <c r="AG178">
        <v>262.75</v>
      </c>
      <c r="AH178">
        <v>276.91000000000003</v>
      </c>
      <c r="AJ178" s="2">
        <v>1</v>
      </c>
      <c r="AN178" t="s">
        <v>373</v>
      </c>
      <c r="AR178" t="s">
        <v>373</v>
      </c>
      <c r="AS178" t="s">
        <v>10</v>
      </c>
      <c r="AT178" t="str">
        <f t="shared" si="2"/>
        <v>Greensburg - 150HC</v>
      </c>
    </row>
    <row r="179" spans="1:46" x14ac:dyDescent="0.25">
      <c r="A179" t="s">
        <v>316</v>
      </c>
      <c r="B179" t="s">
        <v>258</v>
      </c>
      <c r="C179" t="s">
        <v>124</v>
      </c>
      <c r="D179" s="50">
        <v>46054</v>
      </c>
      <c r="E179" s="2">
        <v>0.71099999999999997</v>
      </c>
      <c r="F179" s="2">
        <v>0.69399999999999995</v>
      </c>
      <c r="G179" t="s">
        <v>373</v>
      </c>
      <c r="H179" t="s">
        <v>373</v>
      </c>
      <c r="I179" s="2">
        <v>0</v>
      </c>
      <c r="J179" s="2">
        <v>0</v>
      </c>
      <c r="K179" s="2">
        <v>0</v>
      </c>
      <c r="L179" s="2">
        <v>0</v>
      </c>
      <c r="M179" s="51">
        <v>0</v>
      </c>
      <c r="N179" s="51">
        <v>0</v>
      </c>
      <c r="P179" s="51">
        <v>0</v>
      </c>
      <c r="Q179" s="51">
        <v>55109</v>
      </c>
      <c r="R179" s="51">
        <v>164493</v>
      </c>
      <c r="T179" s="51">
        <v>164493</v>
      </c>
      <c r="U179" s="2">
        <v>0</v>
      </c>
      <c r="V179" s="2">
        <v>0</v>
      </c>
      <c r="W179" t="s">
        <v>373</v>
      </c>
      <c r="X179" t="s">
        <v>373</v>
      </c>
      <c r="Y179">
        <v>374.89</v>
      </c>
      <c r="Z179">
        <v>365.6</v>
      </c>
      <c r="AB179" s="2">
        <v>1</v>
      </c>
      <c r="AC179">
        <v>199.17</v>
      </c>
      <c r="AD179">
        <v>189.52</v>
      </c>
      <c r="AF179" s="2">
        <v>1</v>
      </c>
      <c r="AG179">
        <v>291.07</v>
      </c>
      <c r="AH179">
        <v>276.91000000000003</v>
      </c>
      <c r="AJ179" s="2">
        <v>1</v>
      </c>
      <c r="AN179" t="s">
        <v>373</v>
      </c>
      <c r="AR179" t="s">
        <v>373</v>
      </c>
      <c r="AS179" t="s">
        <v>10</v>
      </c>
      <c r="AT179" t="str">
        <f t="shared" si="2"/>
        <v>Greensburg - 150HC</v>
      </c>
    </row>
    <row r="180" spans="1:46" x14ac:dyDescent="0.25">
      <c r="A180" t="s">
        <v>316</v>
      </c>
      <c r="B180" t="s">
        <v>258</v>
      </c>
      <c r="C180" t="s">
        <v>126</v>
      </c>
      <c r="D180" s="50">
        <v>46023</v>
      </c>
      <c r="E180" s="2">
        <v>0.91</v>
      </c>
      <c r="F180" s="2">
        <v>0.89600000000000002</v>
      </c>
      <c r="G180" t="s">
        <v>373</v>
      </c>
      <c r="H180" t="s">
        <v>373</v>
      </c>
      <c r="I180" s="2">
        <v>0</v>
      </c>
      <c r="J180" s="2">
        <v>0</v>
      </c>
      <c r="K180" s="2">
        <v>0</v>
      </c>
      <c r="L180" s="2">
        <v>0</v>
      </c>
      <c r="M180" s="51">
        <v>0</v>
      </c>
      <c r="N180" s="51">
        <v>0</v>
      </c>
      <c r="P180" s="51">
        <v>0</v>
      </c>
      <c r="Q180" s="51">
        <v>174735</v>
      </c>
      <c r="R180" s="51">
        <v>339986</v>
      </c>
      <c r="T180" s="51">
        <v>339986</v>
      </c>
      <c r="U180" s="2">
        <v>0</v>
      </c>
      <c r="V180" s="2">
        <v>0</v>
      </c>
      <c r="W180" t="s">
        <v>373</v>
      </c>
      <c r="X180" t="s">
        <v>373</v>
      </c>
      <c r="Y180">
        <v>439.03</v>
      </c>
      <c r="Z180">
        <v>437.53</v>
      </c>
      <c r="AB180" s="2">
        <v>1</v>
      </c>
      <c r="AC180">
        <v>151.68</v>
      </c>
      <c r="AD180">
        <v>159.4</v>
      </c>
      <c r="AF180" s="2">
        <v>1</v>
      </c>
      <c r="AJ180" t="s">
        <v>373</v>
      </c>
      <c r="AN180" t="s">
        <v>373</v>
      </c>
      <c r="AR180" t="s">
        <v>373</v>
      </c>
      <c r="AS180" t="s">
        <v>10</v>
      </c>
      <c r="AT180" t="str">
        <f t="shared" si="2"/>
        <v>Hanover - 116HC</v>
      </c>
    </row>
    <row r="181" spans="1:46" x14ac:dyDescent="0.25">
      <c r="A181" t="s">
        <v>316</v>
      </c>
      <c r="B181" t="s">
        <v>258</v>
      </c>
      <c r="C181" t="s">
        <v>126</v>
      </c>
      <c r="D181" s="50">
        <v>46054</v>
      </c>
      <c r="E181" s="2">
        <v>0.88200000000000001</v>
      </c>
      <c r="F181" s="2">
        <v>0.89600000000000002</v>
      </c>
      <c r="G181" t="s">
        <v>373</v>
      </c>
      <c r="H181" t="s">
        <v>373</v>
      </c>
      <c r="I181" s="2">
        <v>0</v>
      </c>
      <c r="J181" s="2">
        <v>0</v>
      </c>
      <c r="K181" s="2">
        <v>0</v>
      </c>
      <c r="L181" s="2">
        <v>0</v>
      </c>
      <c r="M181" s="51">
        <v>0</v>
      </c>
      <c r="N181" s="51">
        <v>0</v>
      </c>
      <c r="P181" s="51">
        <v>0</v>
      </c>
      <c r="Q181" s="51">
        <v>165251</v>
      </c>
      <c r="R181" s="51">
        <v>339986</v>
      </c>
      <c r="T181" s="51">
        <v>339986</v>
      </c>
      <c r="U181" s="2">
        <v>0</v>
      </c>
      <c r="V181" s="2">
        <v>0</v>
      </c>
      <c r="W181" t="s">
        <v>373</v>
      </c>
      <c r="X181" t="s">
        <v>373</v>
      </c>
      <c r="Y181">
        <v>436.02</v>
      </c>
      <c r="Z181">
        <v>437.53</v>
      </c>
      <c r="AB181" s="2">
        <v>1</v>
      </c>
      <c r="AC181">
        <v>167.13</v>
      </c>
      <c r="AD181">
        <v>159.4</v>
      </c>
      <c r="AF181" s="2">
        <v>1</v>
      </c>
      <c r="AJ181" t="s">
        <v>373</v>
      </c>
      <c r="AN181" t="s">
        <v>373</v>
      </c>
      <c r="AR181" t="s">
        <v>373</v>
      </c>
      <c r="AS181" t="s">
        <v>10</v>
      </c>
      <c r="AT181" t="str">
        <f t="shared" si="2"/>
        <v>Hanover - 116HC</v>
      </c>
    </row>
    <row r="182" spans="1:46" x14ac:dyDescent="0.25">
      <c r="A182" t="s">
        <v>316</v>
      </c>
      <c r="B182" t="s">
        <v>258</v>
      </c>
      <c r="C182" t="s">
        <v>150</v>
      </c>
      <c r="D182" s="50">
        <v>46023</v>
      </c>
      <c r="E182" s="2">
        <v>0.93700000000000006</v>
      </c>
      <c r="F182" s="2">
        <v>0.94399999999999995</v>
      </c>
      <c r="G182" t="s">
        <v>373</v>
      </c>
      <c r="H182" t="s">
        <v>373</v>
      </c>
      <c r="I182" s="2">
        <v>0</v>
      </c>
      <c r="J182" s="2">
        <v>0</v>
      </c>
      <c r="K182" s="2">
        <v>0</v>
      </c>
      <c r="L182" s="2">
        <v>0</v>
      </c>
      <c r="M182" s="51">
        <v>0</v>
      </c>
      <c r="N182" s="51">
        <v>0</v>
      </c>
      <c r="P182" s="51">
        <v>0</v>
      </c>
      <c r="Q182" s="51">
        <v>236081</v>
      </c>
      <c r="R182" s="51">
        <v>487369</v>
      </c>
      <c r="T182" s="51">
        <v>487369</v>
      </c>
      <c r="U182" s="2">
        <v>0</v>
      </c>
      <c r="V182" s="2">
        <v>0</v>
      </c>
      <c r="W182" t="s">
        <v>373</v>
      </c>
      <c r="X182" t="s">
        <v>373</v>
      </c>
      <c r="Y182">
        <v>416.37</v>
      </c>
      <c r="Z182">
        <v>409.86</v>
      </c>
      <c r="AB182" s="2">
        <v>1</v>
      </c>
      <c r="AC182">
        <v>200.56</v>
      </c>
      <c r="AD182">
        <v>211.01</v>
      </c>
      <c r="AF182" s="2">
        <v>1</v>
      </c>
      <c r="AG182">
        <v>248.53</v>
      </c>
      <c r="AH182">
        <v>263.02</v>
      </c>
      <c r="AJ182" s="2">
        <v>1</v>
      </c>
      <c r="AN182" t="s">
        <v>373</v>
      </c>
      <c r="AR182" t="s">
        <v>373</v>
      </c>
      <c r="AS182" t="s">
        <v>10</v>
      </c>
      <c r="AT182" t="str">
        <f t="shared" si="2"/>
        <v>Lawrenceburg - 143HC</v>
      </c>
    </row>
    <row r="183" spans="1:46" x14ac:dyDescent="0.25">
      <c r="A183" t="s">
        <v>316</v>
      </c>
      <c r="B183" t="s">
        <v>258</v>
      </c>
      <c r="C183" t="s">
        <v>150</v>
      </c>
      <c r="D183" s="50">
        <v>46054</v>
      </c>
      <c r="E183" s="2">
        <v>0.95199999999999996</v>
      </c>
      <c r="F183" s="2">
        <v>0.94399999999999995</v>
      </c>
      <c r="G183" t="s">
        <v>373</v>
      </c>
      <c r="H183" t="s">
        <v>373</v>
      </c>
      <c r="I183" s="2">
        <v>0</v>
      </c>
      <c r="J183" s="2">
        <v>0</v>
      </c>
      <c r="K183" s="2">
        <v>0</v>
      </c>
      <c r="L183" s="2">
        <v>0</v>
      </c>
      <c r="M183" s="51">
        <v>0</v>
      </c>
      <c r="N183" s="51">
        <v>0</v>
      </c>
      <c r="P183" s="51">
        <v>0</v>
      </c>
      <c r="Q183" s="51">
        <v>251288</v>
      </c>
      <c r="R183" s="51">
        <v>487369</v>
      </c>
      <c r="T183" s="51">
        <v>487369</v>
      </c>
      <c r="U183" s="2">
        <v>0</v>
      </c>
      <c r="V183" s="2">
        <v>0</v>
      </c>
      <c r="W183" t="s">
        <v>373</v>
      </c>
      <c r="X183" t="s">
        <v>373</v>
      </c>
      <c r="Y183">
        <v>403.35</v>
      </c>
      <c r="Z183">
        <v>409.86</v>
      </c>
      <c r="AB183" s="2">
        <v>1</v>
      </c>
      <c r="AC183">
        <v>221.46</v>
      </c>
      <c r="AD183">
        <v>211.01</v>
      </c>
      <c r="AF183" s="2">
        <v>1</v>
      </c>
      <c r="AG183">
        <v>277.52</v>
      </c>
      <c r="AH183">
        <v>263.02</v>
      </c>
      <c r="AJ183" s="2">
        <v>1</v>
      </c>
      <c r="AN183" t="s">
        <v>373</v>
      </c>
      <c r="AR183" t="s">
        <v>373</v>
      </c>
      <c r="AS183" t="s">
        <v>10</v>
      </c>
      <c r="AT183" t="str">
        <f t="shared" si="2"/>
        <v>Lawrenceburg - 143HC</v>
      </c>
    </row>
    <row r="184" spans="1:46" x14ac:dyDescent="0.25">
      <c r="A184" t="s">
        <v>316</v>
      </c>
      <c r="B184" t="s">
        <v>258</v>
      </c>
      <c r="C184" t="s">
        <v>183</v>
      </c>
      <c r="D184" s="50">
        <v>46023</v>
      </c>
      <c r="E184" s="2">
        <v>0.874</v>
      </c>
      <c r="F184" s="2">
        <v>0.84299999999999997</v>
      </c>
      <c r="G184" t="s">
        <v>373</v>
      </c>
      <c r="H184" t="s">
        <v>373</v>
      </c>
      <c r="I184" s="2">
        <v>0</v>
      </c>
      <c r="J184" s="2">
        <v>0</v>
      </c>
      <c r="K184" s="2">
        <v>0</v>
      </c>
      <c r="L184" s="2">
        <v>0</v>
      </c>
      <c r="M184" s="51">
        <v>0</v>
      </c>
      <c r="N184" s="51">
        <v>1900</v>
      </c>
      <c r="P184" s="51">
        <v>1900</v>
      </c>
      <c r="Q184" s="51">
        <v>75041</v>
      </c>
      <c r="R184" s="51">
        <v>125566</v>
      </c>
      <c r="T184" s="51">
        <v>125566</v>
      </c>
      <c r="U184" s="2">
        <v>0</v>
      </c>
      <c r="V184" s="2">
        <v>1.4999999999999999E-2</v>
      </c>
      <c r="W184" t="s">
        <v>373</v>
      </c>
      <c r="X184" t="s">
        <v>373</v>
      </c>
      <c r="Y184">
        <v>444.03</v>
      </c>
      <c r="Z184">
        <v>458.11</v>
      </c>
      <c r="AB184" s="2">
        <v>1</v>
      </c>
      <c r="AC184">
        <v>192.39</v>
      </c>
      <c r="AD184">
        <v>202.37</v>
      </c>
      <c r="AF184" s="2">
        <v>1</v>
      </c>
      <c r="AJ184" t="s">
        <v>373</v>
      </c>
      <c r="AK184">
        <v>118.35</v>
      </c>
      <c r="AL184">
        <v>125.04</v>
      </c>
      <c r="AN184" s="2">
        <v>1</v>
      </c>
      <c r="AR184" t="s">
        <v>373</v>
      </c>
      <c r="AS184" t="s">
        <v>10</v>
      </c>
      <c r="AT184" t="str">
        <f t="shared" si="2"/>
        <v>Madison - 2157HC</v>
      </c>
    </row>
    <row r="185" spans="1:46" x14ac:dyDescent="0.25">
      <c r="A185" t="s">
        <v>316</v>
      </c>
      <c r="B185" t="s">
        <v>258</v>
      </c>
      <c r="C185" t="s">
        <v>183</v>
      </c>
      <c r="D185" s="50">
        <v>46054</v>
      </c>
      <c r="E185" s="2">
        <v>0.80900000000000005</v>
      </c>
      <c r="F185" s="2">
        <v>0.84299999999999997</v>
      </c>
      <c r="G185" t="s">
        <v>373</v>
      </c>
      <c r="H185" t="s">
        <v>373</v>
      </c>
      <c r="I185" s="2">
        <v>0</v>
      </c>
      <c r="J185" s="2">
        <v>0</v>
      </c>
      <c r="K185" s="2">
        <v>0</v>
      </c>
      <c r="L185" s="2">
        <v>0</v>
      </c>
      <c r="M185" s="51">
        <v>1900</v>
      </c>
      <c r="N185" s="51">
        <v>1900</v>
      </c>
      <c r="P185" s="51">
        <v>1900</v>
      </c>
      <c r="Q185" s="51">
        <v>50525</v>
      </c>
      <c r="R185" s="51">
        <v>125566</v>
      </c>
      <c r="T185" s="51">
        <v>125566</v>
      </c>
      <c r="U185" s="2">
        <v>3.7999999999999999E-2</v>
      </c>
      <c r="V185" s="2">
        <v>1.4999999999999999E-2</v>
      </c>
      <c r="W185" t="s">
        <v>373</v>
      </c>
      <c r="X185" t="s">
        <v>373</v>
      </c>
      <c r="Y185">
        <v>472.2</v>
      </c>
      <c r="Z185">
        <v>458.11</v>
      </c>
      <c r="AB185" s="2">
        <v>1</v>
      </c>
      <c r="AC185">
        <v>212.35</v>
      </c>
      <c r="AD185">
        <v>202.37</v>
      </c>
      <c r="AF185" s="2">
        <v>1</v>
      </c>
      <c r="AJ185" t="s">
        <v>373</v>
      </c>
      <c r="AK185">
        <v>131.72999999999999</v>
      </c>
      <c r="AL185">
        <v>125.04</v>
      </c>
      <c r="AN185" s="2">
        <v>1</v>
      </c>
      <c r="AR185" t="s">
        <v>373</v>
      </c>
      <c r="AS185" t="s">
        <v>10</v>
      </c>
      <c r="AT185" t="str">
        <f t="shared" si="2"/>
        <v>Madison - 2157HC</v>
      </c>
    </row>
    <row r="186" spans="1:46" x14ac:dyDescent="0.25">
      <c r="A186" t="s">
        <v>316</v>
      </c>
      <c r="B186" t="s">
        <v>258</v>
      </c>
      <c r="C186" t="s">
        <v>217</v>
      </c>
      <c r="D186" s="50">
        <v>46023</v>
      </c>
      <c r="E186" s="2">
        <v>0.89</v>
      </c>
      <c r="F186" s="2">
        <v>0.88500000000000001</v>
      </c>
      <c r="G186" t="s">
        <v>373</v>
      </c>
      <c r="H186" t="s">
        <v>373</v>
      </c>
      <c r="I186" s="2">
        <v>0</v>
      </c>
      <c r="J186" s="2">
        <v>0</v>
      </c>
      <c r="K186" s="2">
        <v>0</v>
      </c>
      <c r="L186" s="2">
        <v>0</v>
      </c>
      <c r="M186" s="51">
        <v>0</v>
      </c>
      <c r="N186" s="51">
        <v>0</v>
      </c>
      <c r="P186" s="51">
        <v>0</v>
      </c>
      <c r="Q186" s="51">
        <v>131799</v>
      </c>
      <c r="R186" s="51">
        <v>262901</v>
      </c>
      <c r="T186" s="51">
        <v>262901</v>
      </c>
      <c r="U186" s="2">
        <v>0</v>
      </c>
      <c r="V186" s="2">
        <v>0</v>
      </c>
      <c r="W186" t="s">
        <v>373</v>
      </c>
      <c r="X186" t="s">
        <v>373</v>
      </c>
      <c r="Y186">
        <v>342.34</v>
      </c>
      <c r="Z186">
        <v>352.25</v>
      </c>
      <c r="AB186" s="2">
        <v>1</v>
      </c>
      <c r="AC186">
        <v>204.89</v>
      </c>
      <c r="AD186">
        <v>215.15</v>
      </c>
      <c r="AF186" s="2">
        <v>1</v>
      </c>
      <c r="AJ186" t="s">
        <v>373</v>
      </c>
      <c r="AN186" t="s">
        <v>373</v>
      </c>
      <c r="AR186" t="s">
        <v>373</v>
      </c>
      <c r="AS186" t="s">
        <v>10</v>
      </c>
      <c r="AT186" t="str">
        <f t="shared" si="2"/>
        <v>Scottsburg - 121HC</v>
      </c>
    </row>
    <row r="187" spans="1:46" x14ac:dyDescent="0.25">
      <c r="A187" t="s">
        <v>316</v>
      </c>
      <c r="B187" t="s">
        <v>258</v>
      </c>
      <c r="C187" t="s">
        <v>217</v>
      </c>
      <c r="D187" s="50">
        <v>46054</v>
      </c>
      <c r="E187" s="2">
        <v>0.879</v>
      </c>
      <c r="F187" s="2">
        <v>0.88500000000000001</v>
      </c>
      <c r="G187" t="s">
        <v>373</v>
      </c>
      <c r="H187" t="s">
        <v>373</v>
      </c>
      <c r="I187" s="2">
        <v>0</v>
      </c>
      <c r="J187" s="2">
        <v>0</v>
      </c>
      <c r="K187" s="2">
        <v>0</v>
      </c>
      <c r="L187" s="2">
        <v>0</v>
      </c>
      <c r="M187" s="51">
        <v>0</v>
      </c>
      <c r="N187" s="51">
        <v>0</v>
      </c>
      <c r="P187" s="51">
        <v>0</v>
      </c>
      <c r="Q187" s="51">
        <v>131102</v>
      </c>
      <c r="R187" s="51">
        <v>262901</v>
      </c>
      <c r="T187" s="51">
        <v>262901</v>
      </c>
      <c r="U187" s="2">
        <v>0</v>
      </c>
      <c r="V187" s="2">
        <v>0</v>
      </c>
      <c r="W187" t="s">
        <v>373</v>
      </c>
      <c r="X187" t="s">
        <v>373</v>
      </c>
      <c r="Y187">
        <v>362.16</v>
      </c>
      <c r="Z187">
        <v>352.25</v>
      </c>
      <c r="AB187" s="2">
        <v>1</v>
      </c>
      <c r="AC187">
        <v>225.42</v>
      </c>
      <c r="AD187">
        <v>215.15</v>
      </c>
      <c r="AF187" s="2">
        <v>1</v>
      </c>
      <c r="AJ187" t="s">
        <v>373</v>
      </c>
      <c r="AN187" t="s">
        <v>373</v>
      </c>
      <c r="AR187" t="s">
        <v>373</v>
      </c>
      <c r="AS187" t="s">
        <v>10</v>
      </c>
      <c r="AT187" t="str">
        <f t="shared" si="2"/>
        <v>Scottsburg - 121HC</v>
      </c>
    </row>
    <row r="188" spans="1:46" x14ac:dyDescent="0.25">
      <c r="A188" t="s">
        <v>316</v>
      </c>
      <c r="B188" t="s">
        <v>258</v>
      </c>
      <c r="C188" t="s">
        <v>218</v>
      </c>
      <c r="D188" s="50">
        <v>46023</v>
      </c>
      <c r="E188" s="2">
        <v>0.76200000000000001</v>
      </c>
      <c r="F188" s="2">
        <v>0.745</v>
      </c>
      <c r="G188" t="s">
        <v>373</v>
      </c>
      <c r="H188" t="s">
        <v>373</v>
      </c>
      <c r="I188" s="2">
        <v>0</v>
      </c>
      <c r="J188" s="2">
        <v>0</v>
      </c>
      <c r="K188" s="2">
        <v>0</v>
      </c>
      <c r="L188" s="2">
        <v>0</v>
      </c>
      <c r="M188" s="51">
        <v>0</v>
      </c>
      <c r="N188" s="51">
        <v>-2400</v>
      </c>
      <c r="P188" s="51">
        <v>-2400</v>
      </c>
      <c r="Q188" s="51">
        <v>124087</v>
      </c>
      <c r="R188" s="51">
        <v>175724</v>
      </c>
      <c r="T188" s="51">
        <v>175724</v>
      </c>
      <c r="U188" s="2">
        <v>0</v>
      </c>
      <c r="V188" s="2">
        <v>-1.4E-2</v>
      </c>
      <c r="W188" t="s">
        <v>373</v>
      </c>
      <c r="X188" t="s">
        <v>373</v>
      </c>
      <c r="Y188">
        <v>337.19</v>
      </c>
      <c r="Z188">
        <v>373.51</v>
      </c>
      <c r="AB188" s="2">
        <v>1</v>
      </c>
      <c r="AC188">
        <v>131.18</v>
      </c>
      <c r="AD188">
        <v>138.52000000000001</v>
      </c>
      <c r="AF188" s="2">
        <v>1</v>
      </c>
      <c r="AG188">
        <v>234.87</v>
      </c>
      <c r="AH188">
        <v>276.43</v>
      </c>
      <c r="AJ188" s="2">
        <v>1</v>
      </c>
      <c r="AN188" t="s">
        <v>373</v>
      </c>
      <c r="AR188" t="s">
        <v>373</v>
      </c>
      <c r="AS188" t="s">
        <v>10</v>
      </c>
      <c r="AT188" t="str">
        <f t="shared" si="2"/>
        <v>Seymour - 109HC</v>
      </c>
    </row>
    <row r="189" spans="1:46" x14ac:dyDescent="0.25">
      <c r="A189" t="s">
        <v>316</v>
      </c>
      <c r="B189" t="s">
        <v>258</v>
      </c>
      <c r="C189" t="s">
        <v>218</v>
      </c>
      <c r="D189" s="50">
        <v>46054</v>
      </c>
      <c r="E189" s="2">
        <v>0.72599999999999998</v>
      </c>
      <c r="F189" s="2">
        <v>0.745</v>
      </c>
      <c r="G189" t="s">
        <v>373</v>
      </c>
      <c r="H189" t="s">
        <v>373</v>
      </c>
      <c r="I189" s="2">
        <v>0</v>
      </c>
      <c r="J189" s="2">
        <v>0</v>
      </c>
      <c r="K189" s="2">
        <v>0</v>
      </c>
      <c r="L189" s="2">
        <v>0</v>
      </c>
      <c r="M189" s="51">
        <v>-2400</v>
      </c>
      <c r="N189" s="51">
        <v>-2400</v>
      </c>
      <c r="P189" s="51">
        <v>-2400</v>
      </c>
      <c r="Q189" s="51">
        <v>51637</v>
      </c>
      <c r="R189" s="51">
        <v>175724</v>
      </c>
      <c r="T189" s="51">
        <v>175724</v>
      </c>
      <c r="U189" s="2">
        <v>-4.5999999999999999E-2</v>
      </c>
      <c r="V189" s="2">
        <v>-1.4E-2</v>
      </c>
      <c r="W189" t="s">
        <v>373</v>
      </c>
      <c r="X189" t="s">
        <v>373</v>
      </c>
      <c r="Y189">
        <v>409.82</v>
      </c>
      <c r="Z189">
        <v>373.51</v>
      </c>
      <c r="AB189" s="2">
        <v>1</v>
      </c>
      <c r="AC189">
        <v>145.87</v>
      </c>
      <c r="AD189">
        <v>138.52000000000001</v>
      </c>
      <c r="AF189" s="2">
        <v>1</v>
      </c>
      <c r="AG189">
        <v>317.99</v>
      </c>
      <c r="AH189">
        <v>276.43</v>
      </c>
      <c r="AJ189" s="2">
        <v>1</v>
      </c>
      <c r="AN189" t="s">
        <v>373</v>
      </c>
      <c r="AR189" t="s">
        <v>373</v>
      </c>
      <c r="AS189" t="s">
        <v>10</v>
      </c>
      <c r="AT189" t="str">
        <f t="shared" si="2"/>
        <v>Seymour - 109HC</v>
      </c>
    </row>
    <row r="190" spans="1:46" x14ac:dyDescent="0.25">
      <c r="A190" t="s">
        <v>316</v>
      </c>
      <c r="B190" t="s">
        <v>258</v>
      </c>
      <c r="C190" t="s">
        <v>219</v>
      </c>
      <c r="D190" s="50">
        <v>46023</v>
      </c>
      <c r="E190" s="2">
        <v>0.92</v>
      </c>
      <c r="F190" s="2">
        <v>0.92400000000000004</v>
      </c>
      <c r="G190" t="s">
        <v>373</v>
      </c>
      <c r="H190" t="s">
        <v>373</v>
      </c>
      <c r="I190" s="2">
        <v>0</v>
      </c>
      <c r="J190" s="2">
        <v>0</v>
      </c>
      <c r="K190" s="2">
        <v>0</v>
      </c>
      <c r="L190" s="2">
        <v>0</v>
      </c>
      <c r="M190" s="51">
        <v>0</v>
      </c>
      <c r="N190" s="51">
        <v>0</v>
      </c>
      <c r="P190" s="51">
        <v>0</v>
      </c>
      <c r="Q190" s="51">
        <v>115498</v>
      </c>
      <c r="R190" s="51">
        <v>223634</v>
      </c>
      <c r="T190" s="51">
        <v>223634</v>
      </c>
      <c r="U190" s="2">
        <v>0</v>
      </c>
      <c r="V190" s="2">
        <v>0</v>
      </c>
      <c r="W190" t="s">
        <v>373</v>
      </c>
      <c r="X190" t="s">
        <v>373</v>
      </c>
      <c r="Y190">
        <v>394.19</v>
      </c>
      <c r="Z190">
        <v>391.58</v>
      </c>
      <c r="AB190" s="2">
        <v>1</v>
      </c>
      <c r="AC190">
        <v>203.28</v>
      </c>
      <c r="AD190">
        <v>214.08</v>
      </c>
      <c r="AF190" s="2">
        <v>1</v>
      </c>
      <c r="AG190">
        <v>257.23</v>
      </c>
      <c r="AH190">
        <v>270.08999999999997</v>
      </c>
      <c r="AJ190" s="2">
        <v>1</v>
      </c>
      <c r="AN190" t="s">
        <v>373</v>
      </c>
      <c r="AO190">
        <v>100.74</v>
      </c>
      <c r="AP190">
        <v>106.91</v>
      </c>
      <c r="AR190" s="2">
        <v>1</v>
      </c>
      <c r="AS190" t="s">
        <v>10</v>
      </c>
      <c r="AT190" t="str">
        <f t="shared" si="2"/>
        <v>Shelbyville - 118HC</v>
      </c>
    </row>
    <row r="191" spans="1:46" x14ac:dyDescent="0.25">
      <c r="A191" t="s">
        <v>316</v>
      </c>
      <c r="B191" t="s">
        <v>258</v>
      </c>
      <c r="C191" t="s">
        <v>219</v>
      </c>
      <c r="D191" s="50">
        <v>46054</v>
      </c>
      <c r="E191" s="2">
        <v>0.92700000000000005</v>
      </c>
      <c r="F191" s="2">
        <v>0.92400000000000004</v>
      </c>
      <c r="G191" t="s">
        <v>373</v>
      </c>
      <c r="H191" t="s">
        <v>373</v>
      </c>
      <c r="I191" s="2">
        <v>0</v>
      </c>
      <c r="J191" s="2">
        <v>0</v>
      </c>
      <c r="K191" s="2">
        <v>0</v>
      </c>
      <c r="L191" s="2">
        <v>0</v>
      </c>
      <c r="M191" s="51">
        <v>0</v>
      </c>
      <c r="N191" s="51">
        <v>0</v>
      </c>
      <c r="P191" s="51">
        <v>0</v>
      </c>
      <c r="Q191" s="51">
        <v>108136</v>
      </c>
      <c r="R191" s="51">
        <v>223634</v>
      </c>
      <c r="T191" s="51">
        <v>223634</v>
      </c>
      <c r="U191" s="2">
        <v>0</v>
      </c>
      <c r="V191" s="2">
        <v>0</v>
      </c>
      <c r="W191" t="s">
        <v>373</v>
      </c>
      <c r="X191" t="s">
        <v>373</v>
      </c>
      <c r="Y191">
        <v>388.98</v>
      </c>
      <c r="Z191">
        <v>391.58</v>
      </c>
      <c r="AB191" s="2">
        <v>1</v>
      </c>
      <c r="AC191">
        <v>224.87</v>
      </c>
      <c r="AD191">
        <v>214.08</v>
      </c>
      <c r="AF191" s="2">
        <v>1</v>
      </c>
      <c r="AG191">
        <v>282.95</v>
      </c>
      <c r="AH191">
        <v>270.08999999999997</v>
      </c>
      <c r="AJ191" s="2">
        <v>1</v>
      </c>
      <c r="AN191" t="s">
        <v>373</v>
      </c>
      <c r="AO191">
        <v>113.07</v>
      </c>
      <c r="AP191">
        <v>106.91</v>
      </c>
      <c r="AR191" s="2">
        <v>1</v>
      </c>
      <c r="AS191" t="s">
        <v>10</v>
      </c>
      <c r="AT191" t="str">
        <f t="shared" si="2"/>
        <v>Shelbyville - 118HC</v>
      </c>
    </row>
    <row r="192" spans="1:46" x14ac:dyDescent="0.25">
      <c r="A192" t="s">
        <v>316</v>
      </c>
      <c r="B192" t="s">
        <v>259</v>
      </c>
      <c r="C192" t="s">
        <v>89</v>
      </c>
      <c r="D192" s="50">
        <v>46023</v>
      </c>
      <c r="E192" s="2">
        <v>0.871</v>
      </c>
      <c r="F192" s="2">
        <v>0.876</v>
      </c>
      <c r="G192" t="s">
        <v>373</v>
      </c>
      <c r="H192" t="s">
        <v>373</v>
      </c>
      <c r="I192" s="2">
        <v>0</v>
      </c>
      <c r="J192" s="2">
        <v>0</v>
      </c>
      <c r="K192" s="2">
        <v>0</v>
      </c>
      <c r="L192" s="2">
        <v>0</v>
      </c>
      <c r="M192" s="51">
        <v>0</v>
      </c>
      <c r="N192" s="51">
        <v>0</v>
      </c>
      <c r="P192" s="51">
        <v>0</v>
      </c>
      <c r="Q192" s="51">
        <v>135566</v>
      </c>
      <c r="R192" s="51">
        <v>254030</v>
      </c>
      <c r="T192" s="51">
        <v>254030</v>
      </c>
      <c r="U192" s="2">
        <v>0</v>
      </c>
      <c r="V192" s="2">
        <v>0</v>
      </c>
      <c r="W192" t="s">
        <v>373</v>
      </c>
      <c r="X192" t="s">
        <v>373</v>
      </c>
      <c r="Y192">
        <v>408.33</v>
      </c>
      <c r="Z192">
        <v>404.27</v>
      </c>
      <c r="AB192" s="2">
        <v>1</v>
      </c>
      <c r="AC192">
        <v>150.72</v>
      </c>
      <c r="AD192">
        <v>157.55000000000001</v>
      </c>
      <c r="AF192" s="2">
        <v>1</v>
      </c>
      <c r="AJ192" t="s">
        <v>373</v>
      </c>
      <c r="AN192" t="s">
        <v>373</v>
      </c>
      <c r="AR192" t="s">
        <v>373</v>
      </c>
      <c r="AS192" t="s">
        <v>10</v>
      </c>
      <c r="AT192" t="str">
        <f t="shared" si="2"/>
        <v>Delphos - 407HC</v>
      </c>
    </row>
    <row r="193" spans="1:46" x14ac:dyDescent="0.25">
      <c r="A193" t="s">
        <v>316</v>
      </c>
      <c r="B193" t="s">
        <v>259</v>
      </c>
      <c r="C193" t="s">
        <v>89</v>
      </c>
      <c r="D193" s="50">
        <v>46054</v>
      </c>
      <c r="E193" s="2">
        <v>0.88200000000000001</v>
      </c>
      <c r="F193" s="2">
        <v>0.876</v>
      </c>
      <c r="G193" t="s">
        <v>373</v>
      </c>
      <c r="H193" t="s">
        <v>373</v>
      </c>
      <c r="I193" s="2">
        <v>0</v>
      </c>
      <c r="J193" s="2">
        <v>0</v>
      </c>
      <c r="K193" s="2">
        <v>0</v>
      </c>
      <c r="L193" s="2">
        <v>0</v>
      </c>
      <c r="M193" s="51">
        <v>0</v>
      </c>
      <c r="N193" s="51">
        <v>0</v>
      </c>
      <c r="P193" s="51">
        <v>0</v>
      </c>
      <c r="Q193" s="51">
        <v>118464</v>
      </c>
      <c r="R193" s="51">
        <v>254030</v>
      </c>
      <c r="T193" s="51">
        <v>254030</v>
      </c>
      <c r="U193" s="2">
        <v>0</v>
      </c>
      <c r="V193" s="2">
        <v>0</v>
      </c>
      <c r="W193" t="s">
        <v>373</v>
      </c>
      <c r="X193" t="s">
        <v>373</v>
      </c>
      <c r="Y193">
        <v>400.22</v>
      </c>
      <c r="Z193">
        <v>404.27</v>
      </c>
      <c r="AB193" s="2">
        <v>1</v>
      </c>
      <c r="AC193">
        <v>164.37</v>
      </c>
      <c r="AD193">
        <v>157.55000000000001</v>
      </c>
      <c r="AF193" s="2">
        <v>1</v>
      </c>
      <c r="AJ193" t="s">
        <v>373</v>
      </c>
      <c r="AN193" t="s">
        <v>373</v>
      </c>
      <c r="AR193" t="s">
        <v>373</v>
      </c>
      <c r="AS193" t="s">
        <v>10</v>
      </c>
      <c r="AT193" t="str">
        <f t="shared" si="2"/>
        <v>Delphos - 407HC</v>
      </c>
    </row>
    <row r="194" spans="1:46" x14ac:dyDescent="0.25">
      <c r="A194" t="s">
        <v>316</v>
      </c>
      <c r="B194" t="s">
        <v>259</v>
      </c>
      <c r="C194" t="s">
        <v>113</v>
      </c>
      <c r="D194" s="50">
        <v>46023</v>
      </c>
      <c r="E194" s="2">
        <v>0.875</v>
      </c>
      <c r="F194" s="2">
        <v>0.88700000000000001</v>
      </c>
      <c r="G194" t="s">
        <v>373</v>
      </c>
      <c r="H194" t="s">
        <v>373</v>
      </c>
      <c r="I194" s="2">
        <v>0</v>
      </c>
      <c r="J194" s="2">
        <v>0</v>
      </c>
      <c r="K194" s="2">
        <v>0</v>
      </c>
      <c r="L194" s="2">
        <v>0</v>
      </c>
      <c r="M194" s="51">
        <v>1240</v>
      </c>
      <c r="N194" s="51">
        <v>2360</v>
      </c>
      <c r="P194" s="51">
        <v>2360</v>
      </c>
      <c r="Q194" s="51">
        <v>141406</v>
      </c>
      <c r="R194" s="51">
        <v>245641</v>
      </c>
      <c r="T194" s="51">
        <v>245641</v>
      </c>
      <c r="U194" s="2">
        <v>8.9999999999999993E-3</v>
      </c>
      <c r="V194" s="2">
        <v>0.01</v>
      </c>
      <c r="W194" t="s">
        <v>373</v>
      </c>
      <c r="X194" t="s">
        <v>373</v>
      </c>
      <c r="Y194">
        <v>400.58</v>
      </c>
      <c r="Z194">
        <v>404.67</v>
      </c>
      <c r="AB194" s="2">
        <v>1</v>
      </c>
      <c r="AC194">
        <v>171.1</v>
      </c>
      <c r="AD194">
        <v>180.61</v>
      </c>
      <c r="AF194" s="2">
        <v>1</v>
      </c>
      <c r="AG194">
        <v>224.03</v>
      </c>
      <c r="AH194">
        <v>234.62</v>
      </c>
      <c r="AJ194" s="2">
        <v>1</v>
      </c>
      <c r="AK194">
        <v>115.94</v>
      </c>
      <c r="AL194">
        <v>120.81</v>
      </c>
      <c r="AN194" s="2">
        <v>1</v>
      </c>
      <c r="AR194" t="s">
        <v>373</v>
      </c>
      <c r="AS194" t="s">
        <v>10</v>
      </c>
      <c r="AT194" t="str">
        <f t="shared" si="2"/>
        <v>Gahanna - 436HC</v>
      </c>
    </row>
    <row r="195" spans="1:46" x14ac:dyDescent="0.25">
      <c r="A195" t="s">
        <v>316</v>
      </c>
      <c r="B195" t="s">
        <v>259</v>
      </c>
      <c r="C195" t="s">
        <v>113</v>
      </c>
      <c r="D195" s="50">
        <v>46054</v>
      </c>
      <c r="E195" s="2">
        <v>0.90100000000000002</v>
      </c>
      <c r="F195" s="2">
        <v>0.88700000000000001</v>
      </c>
      <c r="G195" t="s">
        <v>373</v>
      </c>
      <c r="H195" t="s">
        <v>373</v>
      </c>
      <c r="I195" s="2">
        <v>0</v>
      </c>
      <c r="J195" s="2">
        <v>0</v>
      </c>
      <c r="K195" s="2">
        <v>0</v>
      </c>
      <c r="L195" s="2">
        <v>0</v>
      </c>
      <c r="M195" s="51">
        <v>1120</v>
      </c>
      <c r="N195" s="51">
        <v>2360</v>
      </c>
      <c r="P195" s="51">
        <v>2360</v>
      </c>
      <c r="Q195" s="51">
        <v>104235</v>
      </c>
      <c r="R195" s="51">
        <v>245641</v>
      </c>
      <c r="T195" s="51">
        <v>245641</v>
      </c>
      <c r="U195" s="2">
        <v>1.0999999999999999E-2</v>
      </c>
      <c r="V195" s="2">
        <v>0.01</v>
      </c>
      <c r="W195" t="s">
        <v>373</v>
      </c>
      <c r="X195" t="s">
        <v>373</v>
      </c>
      <c r="Y195">
        <v>408.76</v>
      </c>
      <c r="Z195">
        <v>404.67</v>
      </c>
      <c r="AB195" s="2">
        <v>1</v>
      </c>
      <c r="AC195">
        <v>190.12</v>
      </c>
      <c r="AD195">
        <v>180.61</v>
      </c>
      <c r="AF195" s="2">
        <v>1</v>
      </c>
      <c r="AG195">
        <v>245.21</v>
      </c>
      <c r="AH195">
        <v>234.62</v>
      </c>
      <c r="AJ195" s="2">
        <v>1</v>
      </c>
      <c r="AK195">
        <v>125.67</v>
      </c>
      <c r="AL195">
        <v>120.81</v>
      </c>
      <c r="AN195" s="2">
        <v>1</v>
      </c>
      <c r="AR195" t="s">
        <v>373</v>
      </c>
      <c r="AS195" t="s">
        <v>10</v>
      </c>
      <c r="AT195" t="str">
        <f t="shared" ref="AT195:AT258" si="3">C195&amp;AS195</f>
        <v>Gahanna - 436HC</v>
      </c>
    </row>
    <row r="196" spans="1:46" x14ac:dyDescent="0.25">
      <c r="A196" t="s">
        <v>316</v>
      </c>
      <c r="B196" t="s">
        <v>259</v>
      </c>
      <c r="C196" t="s">
        <v>130</v>
      </c>
      <c r="D196" s="50">
        <v>46023</v>
      </c>
      <c r="E196" s="2">
        <v>0.96299999999999997</v>
      </c>
      <c r="F196" s="2">
        <v>0.96</v>
      </c>
      <c r="G196" t="s">
        <v>373</v>
      </c>
      <c r="H196" t="s">
        <v>373</v>
      </c>
      <c r="I196" s="2">
        <v>0</v>
      </c>
      <c r="J196" s="2">
        <v>0</v>
      </c>
      <c r="K196" s="2">
        <v>0</v>
      </c>
      <c r="L196" s="2">
        <v>0</v>
      </c>
      <c r="M196" s="51">
        <v>0</v>
      </c>
      <c r="N196" s="51">
        <v>0</v>
      </c>
      <c r="P196" s="51">
        <v>0</v>
      </c>
      <c r="Q196" s="51">
        <v>252293</v>
      </c>
      <c r="R196" s="51">
        <v>428159</v>
      </c>
      <c r="T196" s="51">
        <v>428159</v>
      </c>
      <c r="U196" s="2">
        <v>0</v>
      </c>
      <c r="V196" s="2">
        <v>0</v>
      </c>
      <c r="W196" t="s">
        <v>373</v>
      </c>
      <c r="X196" t="s">
        <v>373</v>
      </c>
      <c r="Y196">
        <v>415.64</v>
      </c>
      <c r="Z196">
        <v>420.73</v>
      </c>
      <c r="AB196" s="2">
        <v>1</v>
      </c>
      <c r="AC196">
        <v>184.2</v>
      </c>
      <c r="AD196">
        <v>194.07</v>
      </c>
      <c r="AF196" s="2">
        <v>1</v>
      </c>
      <c r="AG196">
        <v>235.93</v>
      </c>
      <c r="AH196">
        <v>247.28</v>
      </c>
      <c r="AJ196" s="2">
        <v>1</v>
      </c>
      <c r="AK196">
        <v>138.16</v>
      </c>
      <c r="AL196">
        <v>145.96</v>
      </c>
      <c r="AN196" s="2">
        <v>1</v>
      </c>
      <c r="AR196" t="s">
        <v>373</v>
      </c>
      <c r="AS196" t="s">
        <v>10</v>
      </c>
      <c r="AT196" t="str">
        <f t="shared" si="3"/>
        <v>Hilliard - 437HC</v>
      </c>
    </row>
    <row r="197" spans="1:46" x14ac:dyDescent="0.25">
      <c r="A197" t="s">
        <v>316</v>
      </c>
      <c r="B197" t="s">
        <v>259</v>
      </c>
      <c r="C197" t="s">
        <v>130</v>
      </c>
      <c r="D197" s="50">
        <v>46054</v>
      </c>
      <c r="E197" s="2">
        <v>0.95599999999999996</v>
      </c>
      <c r="F197" s="2">
        <v>0.96</v>
      </c>
      <c r="G197" t="s">
        <v>373</v>
      </c>
      <c r="H197" t="s">
        <v>373</v>
      </c>
      <c r="I197" s="2">
        <v>0</v>
      </c>
      <c r="J197" s="2">
        <v>0</v>
      </c>
      <c r="K197" s="2">
        <v>0</v>
      </c>
      <c r="L197" s="2">
        <v>0</v>
      </c>
      <c r="M197" s="51">
        <v>0</v>
      </c>
      <c r="N197" s="51">
        <v>0</v>
      </c>
      <c r="P197" s="51">
        <v>0</v>
      </c>
      <c r="Q197" s="51">
        <v>175866</v>
      </c>
      <c r="R197" s="51">
        <v>428159</v>
      </c>
      <c r="T197" s="51">
        <v>428159</v>
      </c>
      <c r="U197" s="2">
        <v>0</v>
      </c>
      <c r="V197" s="2">
        <v>0</v>
      </c>
      <c r="W197" t="s">
        <v>373</v>
      </c>
      <c r="X197" t="s">
        <v>373</v>
      </c>
      <c r="Y197">
        <v>425.83</v>
      </c>
      <c r="Z197">
        <v>420.73</v>
      </c>
      <c r="AB197" s="2">
        <v>1</v>
      </c>
      <c r="AC197">
        <v>203.94</v>
      </c>
      <c r="AD197">
        <v>194.07</v>
      </c>
      <c r="AF197" s="2">
        <v>1</v>
      </c>
      <c r="AG197">
        <v>258.63</v>
      </c>
      <c r="AH197">
        <v>247.28</v>
      </c>
      <c r="AJ197" s="2">
        <v>1</v>
      </c>
      <c r="AK197">
        <v>153.76</v>
      </c>
      <c r="AL197">
        <v>145.96</v>
      </c>
      <c r="AN197" s="2">
        <v>1</v>
      </c>
      <c r="AR197" t="s">
        <v>373</v>
      </c>
      <c r="AS197" t="s">
        <v>10</v>
      </c>
      <c r="AT197" t="str">
        <f t="shared" si="3"/>
        <v>Hilliard - 437HC</v>
      </c>
    </row>
    <row r="198" spans="1:46" x14ac:dyDescent="0.25">
      <c r="A198" t="s">
        <v>316</v>
      </c>
      <c r="B198" t="s">
        <v>259</v>
      </c>
      <c r="C198" t="s">
        <v>147</v>
      </c>
      <c r="D198" s="50">
        <v>46023</v>
      </c>
      <c r="E198" s="2">
        <v>0.77800000000000002</v>
      </c>
      <c r="F198" s="2">
        <v>0.80200000000000005</v>
      </c>
      <c r="G198" t="s">
        <v>373</v>
      </c>
      <c r="H198" t="s">
        <v>373</v>
      </c>
      <c r="I198" s="2">
        <v>0</v>
      </c>
      <c r="J198" s="2">
        <v>0</v>
      </c>
      <c r="K198" s="2">
        <v>0</v>
      </c>
      <c r="L198" s="2">
        <v>0</v>
      </c>
      <c r="M198" s="51">
        <v>0</v>
      </c>
      <c r="N198" s="51">
        <v>0</v>
      </c>
      <c r="P198" s="51">
        <v>0</v>
      </c>
      <c r="Q198" s="51">
        <v>133876</v>
      </c>
      <c r="R198" s="51">
        <v>257203</v>
      </c>
      <c r="T198" s="51">
        <v>257203</v>
      </c>
      <c r="U198" s="2">
        <v>0</v>
      </c>
      <c r="V198" s="2">
        <v>0</v>
      </c>
      <c r="W198" t="s">
        <v>373</v>
      </c>
      <c r="X198" t="s">
        <v>373</v>
      </c>
      <c r="Y198">
        <v>384.7</v>
      </c>
      <c r="Z198">
        <v>386.26</v>
      </c>
      <c r="AB198" s="2">
        <v>1</v>
      </c>
      <c r="AC198">
        <v>191.29</v>
      </c>
      <c r="AD198">
        <v>201.14</v>
      </c>
      <c r="AF198" s="2">
        <v>1</v>
      </c>
      <c r="AG198">
        <v>256.70999999999998</v>
      </c>
      <c r="AH198">
        <v>271.14</v>
      </c>
      <c r="AJ198" s="2">
        <v>1</v>
      </c>
      <c r="AK198">
        <v>134.4</v>
      </c>
      <c r="AL198">
        <v>141.34</v>
      </c>
      <c r="AN198" s="2">
        <v>1</v>
      </c>
      <c r="AR198" t="s">
        <v>373</v>
      </c>
      <c r="AS198" t="s">
        <v>10</v>
      </c>
      <c r="AT198" t="str">
        <f t="shared" si="3"/>
        <v>Lancaster - 445HC</v>
      </c>
    </row>
    <row r="199" spans="1:46" x14ac:dyDescent="0.25">
      <c r="A199" t="s">
        <v>316</v>
      </c>
      <c r="B199" t="s">
        <v>259</v>
      </c>
      <c r="C199" t="s">
        <v>147</v>
      </c>
      <c r="D199" s="50">
        <v>46054</v>
      </c>
      <c r="E199" s="2">
        <v>0.83</v>
      </c>
      <c r="F199" s="2">
        <v>0.80200000000000005</v>
      </c>
      <c r="G199" t="s">
        <v>373</v>
      </c>
      <c r="H199" t="s">
        <v>373</v>
      </c>
      <c r="I199" s="2">
        <v>0</v>
      </c>
      <c r="J199" s="2">
        <v>0</v>
      </c>
      <c r="K199" s="2">
        <v>0</v>
      </c>
      <c r="L199" s="2">
        <v>0</v>
      </c>
      <c r="M199" s="51">
        <v>0</v>
      </c>
      <c r="N199" s="51">
        <v>0</v>
      </c>
      <c r="P199" s="51">
        <v>0</v>
      </c>
      <c r="Q199" s="51">
        <v>123327</v>
      </c>
      <c r="R199" s="51">
        <v>257203</v>
      </c>
      <c r="T199" s="51">
        <v>257203</v>
      </c>
      <c r="U199" s="2">
        <v>0</v>
      </c>
      <c r="V199" s="2">
        <v>0</v>
      </c>
      <c r="W199" t="s">
        <v>373</v>
      </c>
      <c r="X199" t="s">
        <v>373</v>
      </c>
      <c r="Y199">
        <v>387.82</v>
      </c>
      <c r="Z199">
        <v>386.26</v>
      </c>
      <c r="AB199" s="2">
        <v>1</v>
      </c>
      <c r="AC199">
        <v>211</v>
      </c>
      <c r="AD199">
        <v>201.14</v>
      </c>
      <c r="AF199" s="2">
        <v>1</v>
      </c>
      <c r="AG199">
        <v>285.57</v>
      </c>
      <c r="AH199">
        <v>271.14</v>
      </c>
      <c r="AJ199" s="2">
        <v>1</v>
      </c>
      <c r="AK199">
        <v>148.27000000000001</v>
      </c>
      <c r="AL199">
        <v>141.34</v>
      </c>
      <c r="AN199" s="2">
        <v>1</v>
      </c>
      <c r="AR199" t="s">
        <v>373</v>
      </c>
      <c r="AS199" t="s">
        <v>10</v>
      </c>
      <c r="AT199" t="str">
        <f t="shared" si="3"/>
        <v>Lancaster - 445HC</v>
      </c>
    </row>
    <row r="200" spans="1:46" x14ac:dyDescent="0.25">
      <c r="A200" t="s">
        <v>316</v>
      </c>
      <c r="B200" t="s">
        <v>259</v>
      </c>
      <c r="C200" t="s">
        <v>162</v>
      </c>
      <c r="D200" s="50">
        <v>46023</v>
      </c>
      <c r="E200" s="2">
        <v>0.94499999999999995</v>
      </c>
      <c r="F200" s="2">
        <v>0.95</v>
      </c>
      <c r="G200" t="s">
        <v>373</v>
      </c>
      <c r="H200" t="s">
        <v>373</v>
      </c>
      <c r="I200" s="2">
        <v>0</v>
      </c>
      <c r="J200" s="2">
        <v>0</v>
      </c>
      <c r="K200" s="2">
        <v>0</v>
      </c>
      <c r="L200" s="2">
        <v>0</v>
      </c>
      <c r="M200" s="51">
        <v>0</v>
      </c>
      <c r="N200" s="51">
        <v>600</v>
      </c>
      <c r="P200" s="51">
        <v>600</v>
      </c>
      <c r="Q200" s="51">
        <v>78950</v>
      </c>
      <c r="R200" s="51">
        <v>141546</v>
      </c>
      <c r="T200" s="51">
        <v>141546</v>
      </c>
      <c r="U200" s="2">
        <v>0</v>
      </c>
      <c r="V200" s="2">
        <v>4.0000000000000001E-3</v>
      </c>
      <c r="W200" t="s">
        <v>373</v>
      </c>
      <c r="X200" t="s">
        <v>373</v>
      </c>
      <c r="Y200">
        <v>360.5</v>
      </c>
      <c r="Z200">
        <v>368.79</v>
      </c>
      <c r="AB200" s="2">
        <v>1</v>
      </c>
      <c r="AF200" t="s">
        <v>373</v>
      </c>
      <c r="AJ200" t="s">
        <v>373</v>
      </c>
      <c r="AN200" t="s">
        <v>373</v>
      </c>
      <c r="AR200" t="s">
        <v>373</v>
      </c>
      <c r="AS200" t="s">
        <v>10</v>
      </c>
      <c r="AT200" t="str">
        <f t="shared" si="3"/>
        <v>Lima - 410HC</v>
      </c>
    </row>
    <row r="201" spans="1:46" x14ac:dyDescent="0.25">
      <c r="A201" t="s">
        <v>316</v>
      </c>
      <c r="B201" t="s">
        <v>259</v>
      </c>
      <c r="C201" t="s">
        <v>162</v>
      </c>
      <c r="D201" s="50">
        <v>46054</v>
      </c>
      <c r="E201" s="2">
        <v>0.95599999999999996</v>
      </c>
      <c r="F201" s="2">
        <v>0.95</v>
      </c>
      <c r="G201" t="s">
        <v>373</v>
      </c>
      <c r="H201" t="s">
        <v>373</v>
      </c>
      <c r="I201" s="2">
        <v>0</v>
      </c>
      <c r="J201" s="2">
        <v>0</v>
      </c>
      <c r="K201" s="2">
        <v>0</v>
      </c>
      <c r="L201" s="2">
        <v>0</v>
      </c>
      <c r="M201" s="51">
        <v>600</v>
      </c>
      <c r="N201" s="51">
        <v>600</v>
      </c>
      <c r="P201" s="51">
        <v>600</v>
      </c>
      <c r="Q201" s="51">
        <v>62596</v>
      </c>
      <c r="R201" s="51">
        <v>141546</v>
      </c>
      <c r="T201" s="51">
        <v>141546</v>
      </c>
      <c r="U201" s="2">
        <v>0.01</v>
      </c>
      <c r="V201" s="2">
        <v>4.0000000000000001E-3</v>
      </c>
      <c r="W201" t="s">
        <v>373</v>
      </c>
      <c r="X201" t="s">
        <v>373</v>
      </c>
      <c r="Y201">
        <v>377.08</v>
      </c>
      <c r="Z201">
        <v>368.79</v>
      </c>
      <c r="AB201" s="2">
        <v>1</v>
      </c>
      <c r="AF201" t="s">
        <v>373</v>
      </c>
      <c r="AJ201" t="s">
        <v>373</v>
      </c>
      <c r="AN201" t="s">
        <v>373</v>
      </c>
      <c r="AR201" t="s">
        <v>373</v>
      </c>
      <c r="AS201" t="s">
        <v>10</v>
      </c>
      <c r="AT201" t="str">
        <f t="shared" si="3"/>
        <v>Lima - 410HC</v>
      </c>
    </row>
    <row r="202" spans="1:46" x14ac:dyDescent="0.25">
      <c r="A202" t="s">
        <v>316</v>
      </c>
      <c r="B202" t="s">
        <v>259</v>
      </c>
      <c r="C202" t="s">
        <v>163</v>
      </c>
      <c r="D202" s="50">
        <v>46023</v>
      </c>
      <c r="E202" s="2">
        <v>0.96</v>
      </c>
      <c r="F202" s="2">
        <v>0.96699999999999997</v>
      </c>
      <c r="G202" t="s">
        <v>373</v>
      </c>
      <c r="H202" t="s">
        <v>373</v>
      </c>
      <c r="I202" s="2">
        <v>0</v>
      </c>
      <c r="J202" s="2">
        <v>0</v>
      </c>
      <c r="K202" s="2">
        <v>0</v>
      </c>
      <c r="L202" s="2">
        <v>0</v>
      </c>
      <c r="M202" s="51">
        <v>0</v>
      </c>
      <c r="N202" s="51">
        <v>0</v>
      </c>
      <c r="P202" s="51">
        <v>0</v>
      </c>
      <c r="Q202" s="51">
        <v>188080</v>
      </c>
      <c r="R202" s="51">
        <v>362473</v>
      </c>
      <c r="T202" s="51">
        <v>362473</v>
      </c>
      <c r="U202" s="2">
        <v>0</v>
      </c>
      <c r="V202" s="2">
        <v>0</v>
      </c>
      <c r="W202" t="s">
        <v>373</v>
      </c>
      <c r="X202" t="s">
        <v>373</v>
      </c>
      <c r="Y202">
        <v>410.66</v>
      </c>
      <c r="Z202">
        <v>423.32</v>
      </c>
      <c r="AB202" s="2">
        <v>1</v>
      </c>
      <c r="AC202">
        <v>201.68</v>
      </c>
      <c r="AD202">
        <v>209.13</v>
      </c>
      <c r="AF202" s="2">
        <v>1</v>
      </c>
      <c r="AG202">
        <v>225.2</v>
      </c>
      <c r="AH202">
        <v>237.35</v>
      </c>
      <c r="AJ202" s="2">
        <v>1</v>
      </c>
      <c r="AN202" t="s">
        <v>373</v>
      </c>
      <c r="AR202" t="s">
        <v>373</v>
      </c>
      <c r="AS202" t="s">
        <v>10</v>
      </c>
      <c r="AT202" t="str">
        <f t="shared" si="3"/>
        <v>Lima SL - 433HC</v>
      </c>
    </row>
    <row r="203" spans="1:46" x14ac:dyDescent="0.25">
      <c r="A203" t="s">
        <v>316</v>
      </c>
      <c r="B203" t="s">
        <v>259</v>
      </c>
      <c r="C203" t="s">
        <v>163</v>
      </c>
      <c r="D203" s="50">
        <v>46054</v>
      </c>
      <c r="E203" s="2">
        <v>0.97399999999999998</v>
      </c>
      <c r="F203" s="2">
        <v>0.96699999999999997</v>
      </c>
      <c r="G203" t="s">
        <v>373</v>
      </c>
      <c r="H203" t="s">
        <v>373</v>
      </c>
      <c r="I203" s="2">
        <v>0</v>
      </c>
      <c r="J203" s="2">
        <v>0</v>
      </c>
      <c r="K203" s="2">
        <v>0</v>
      </c>
      <c r="L203" s="2">
        <v>0</v>
      </c>
      <c r="M203" s="51">
        <v>0</v>
      </c>
      <c r="N203" s="51">
        <v>0</v>
      </c>
      <c r="P203" s="51">
        <v>0</v>
      </c>
      <c r="Q203" s="51">
        <v>174393</v>
      </c>
      <c r="R203" s="51">
        <v>362473</v>
      </c>
      <c r="T203" s="51">
        <v>362473</v>
      </c>
      <c r="U203" s="2">
        <v>0</v>
      </c>
      <c r="V203" s="2">
        <v>0</v>
      </c>
      <c r="W203" t="s">
        <v>373</v>
      </c>
      <c r="X203" t="s">
        <v>373</v>
      </c>
      <c r="Y203">
        <v>435.98</v>
      </c>
      <c r="Z203">
        <v>423.32</v>
      </c>
      <c r="AB203" s="2">
        <v>1</v>
      </c>
      <c r="AC203">
        <v>216.57</v>
      </c>
      <c r="AD203">
        <v>209.13</v>
      </c>
      <c r="AF203" s="2">
        <v>1</v>
      </c>
      <c r="AG203">
        <v>249.5</v>
      </c>
      <c r="AH203">
        <v>237.35</v>
      </c>
      <c r="AJ203" s="2">
        <v>1</v>
      </c>
      <c r="AN203" t="s">
        <v>373</v>
      </c>
      <c r="AR203" t="s">
        <v>373</v>
      </c>
      <c r="AS203" t="s">
        <v>10</v>
      </c>
      <c r="AT203" t="str">
        <f t="shared" si="3"/>
        <v>Lima SL - 433HC</v>
      </c>
    </row>
    <row r="204" spans="1:46" x14ac:dyDescent="0.25">
      <c r="A204" t="s">
        <v>316</v>
      </c>
      <c r="B204" t="s">
        <v>259</v>
      </c>
      <c r="C204" t="s">
        <v>198</v>
      </c>
      <c r="D204" s="50">
        <v>46023</v>
      </c>
      <c r="E204" s="2">
        <v>0.80300000000000005</v>
      </c>
      <c r="F204" s="2">
        <v>0.84899999999999998</v>
      </c>
      <c r="G204" t="s">
        <v>373</v>
      </c>
      <c r="H204" t="s">
        <v>373</v>
      </c>
      <c r="I204" s="2">
        <v>0</v>
      </c>
      <c r="J204" s="2">
        <v>0</v>
      </c>
      <c r="K204" s="2">
        <v>0</v>
      </c>
      <c r="L204" s="2">
        <v>0</v>
      </c>
      <c r="M204" s="51">
        <v>0</v>
      </c>
      <c r="N204" s="51">
        <v>-1500</v>
      </c>
      <c r="P204" s="51">
        <v>-1500</v>
      </c>
      <c r="Q204" s="51">
        <v>149327</v>
      </c>
      <c r="R204" s="51">
        <v>232298</v>
      </c>
      <c r="T204" s="51">
        <v>232298</v>
      </c>
      <c r="U204" s="2">
        <v>0</v>
      </c>
      <c r="V204" s="2">
        <v>-6.0000000000000001E-3</v>
      </c>
      <c r="W204" t="s">
        <v>373</v>
      </c>
      <c r="X204" t="s">
        <v>373</v>
      </c>
      <c r="Y204">
        <v>387.86</v>
      </c>
      <c r="Z204">
        <v>401.36</v>
      </c>
      <c r="AB204" s="2">
        <v>1</v>
      </c>
      <c r="AC204">
        <v>192.66</v>
      </c>
      <c r="AD204">
        <v>202.74</v>
      </c>
      <c r="AF204" s="2">
        <v>1</v>
      </c>
      <c r="AG204">
        <v>218.82</v>
      </c>
      <c r="AH204">
        <v>230.71</v>
      </c>
      <c r="AJ204" s="2">
        <v>1</v>
      </c>
      <c r="AK204">
        <v>112.35</v>
      </c>
      <c r="AL204">
        <v>120.33</v>
      </c>
      <c r="AN204" s="2">
        <v>1</v>
      </c>
      <c r="AR204" t="s">
        <v>373</v>
      </c>
      <c r="AS204" t="s">
        <v>10</v>
      </c>
      <c r="AT204" t="str">
        <f t="shared" si="3"/>
        <v>New Albany SM - 438HC</v>
      </c>
    </row>
    <row r="205" spans="1:46" x14ac:dyDescent="0.25">
      <c r="A205" t="s">
        <v>316</v>
      </c>
      <c r="B205" t="s">
        <v>259</v>
      </c>
      <c r="C205" t="s">
        <v>198</v>
      </c>
      <c r="D205" s="50">
        <v>46054</v>
      </c>
      <c r="E205" s="2">
        <v>0.9</v>
      </c>
      <c r="F205" s="2">
        <v>0.84899999999999998</v>
      </c>
      <c r="G205" t="s">
        <v>373</v>
      </c>
      <c r="H205" t="s">
        <v>373</v>
      </c>
      <c r="I205" s="2">
        <v>0</v>
      </c>
      <c r="J205" s="2">
        <v>0</v>
      </c>
      <c r="K205" s="2">
        <v>0</v>
      </c>
      <c r="L205" s="2">
        <v>0</v>
      </c>
      <c r="M205" s="51">
        <v>-1500</v>
      </c>
      <c r="N205" s="51">
        <v>-1500</v>
      </c>
      <c r="P205" s="51">
        <v>-1500</v>
      </c>
      <c r="Q205" s="51">
        <v>82971</v>
      </c>
      <c r="R205" s="51">
        <v>232298</v>
      </c>
      <c r="T205" s="51">
        <v>232298</v>
      </c>
      <c r="U205" s="2">
        <v>-1.7999999999999999E-2</v>
      </c>
      <c r="V205" s="2">
        <v>-6.0000000000000001E-3</v>
      </c>
      <c r="W205" t="s">
        <v>373</v>
      </c>
      <c r="X205" t="s">
        <v>373</v>
      </c>
      <c r="Y205">
        <v>414.86</v>
      </c>
      <c r="Z205">
        <v>401.36</v>
      </c>
      <c r="AB205" s="2">
        <v>1</v>
      </c>
      <c r="AC205">
        <v>212.82</v>
      </c>
      <c r="AD205">
        <v>202.74</v>
      </c>
      <c r="AF205" s="2">
        <v>1</v>
      </c>
      <c r="AG205">
        <v>242.59</v>
      </c>
      <c r="AH205">
        <v>230.71</v>
      </c>
      <c r="AJ205" s="2">
        <v>1</v>
      </c>
      <c r="AK205">
        <v>128.30000000000001</v>
      </c>
      <c r="AL205">
        <v>120.33</v>
      </c>
      <c r="AN205" s="2">
        <v>1</v>
      </c>
      <c r="AR205" t="s">
        <v>373</v>
      </c>
      <c r="AS205" t="s">
        <v>10</v>
      </c>
      <c r="AT205" t="str">
        <f t="shared" si="3"/>
        <v>New Albany SM - 438HC</v>
      </c>
    </row>
    <row r="206" spans="1:46" x14ac:dyDescent="0.25">
      <c r="A206" t="s">
        <v>316</v>
      </c>
      <c r="B206" t="s">
        <v>259</v>
      </c>
      <c r="C206" t="s">
        <v>211</v>
      </c>
      <c r="D206" s="50">
        <v>46023</v>
      </c>
      <c r="E206" s="2">
        <v>0.95599999999999996</v>
      </c>
      <c r="F206" s="2">
        <v>0.95899999999999996</v>
      </c>
      <c r="G206" t="s">
        <v>373</v>
      </c>
      <c r="H206" t="s">
        <v>373</v>
      </c>
      <c r="I206" s="2">
        <v>0</v>
      </c>
      <c r="J206" s="2">
        <v>0</v>
      </c>
      <c r="K206" s="2">
        <v>0</v>
      </c>
      <c r="L206" s="2">
        <v>0</v>
      </c>
      <c r="M206" s="51">
        <v>0</v>
      </c>
      <c r="N206" s="51">
        <v>0</v>
      </c>
      <c r="P206" s="51">
        <v>0</v>
      </c>
      <c r="Q206" s="51">
        <v>146400</v>
      </c>
      <c r="R206" s="51">
        <v>273372</v>
      </c>
      <c r="T206" s="51">
        <v>273372</v>
      </c>
      <c r="U206" s="2">
        <v>0</v>
      </c>
      <c r="V206" s="2">
        <v>0</v>
      </c>
      <c r="W206" t="s">
        <v>373</v>
      </c>
      <c r="X206" t="s">
        <v>373</v>
      </c>
      <c r="Y206">
        <v>418.29</v>
      </c>
      <c r="Z206">
        <v>415.27</v>
      </c>
      <c r="AB206" s="2">
        <v>1</v>
      </c>
      <c r="AC206">
        <v>203.64</v>
      </c>
      <c r="AD206">
        <v>213.64</v>
      </c>
      <c r="AF206" s="2">
        <v>1</v>
      </c>
      <c r="AG206">
        <v>260.22000000000003</v>
      </c>
      <c r="AH206">
        <v>274.42</v>
      </c>
      <c r="AJ206" s="2">
        <v>1</v>
      </c>
      <c r="AK206">
        <v>139.03</v>
      </c>
      <c r="AL206">
        <v>145.86000000000001</v>
      </c>
      <c r="AN206" s="2">
        <v>1</v>
      </c>
      <c r="AR206" t="s">
        <v>373</v>
      </c>
      <c r="AS206" t="s">
        <v>10</v>
      </c>
      <c r="AT206" t="str">
        <f t="shared" si="3"/>
        <v>Pickerington - 421HC</v>
      </c>
    </row>
    <row r="207" spans="1:46" x14ac:dyDescent="0.25">
      <c r="A207" t="s">
        <v>316</v>
      </c>
      <c r="B207" t="s">
        <v>259</v>
      </c>
      <c r="C207" t="s">
        <v>211</v>
      </c>
      <c r="D207" s="50">
        <v>46054</v>
      </c>
      <c r="E207" s="2">
        <v>0.96199999999999997</v>
      </c>
      <c r="F207" s="2">
        <v>0.95899999999999996</v>
      </c>
      <c r="G207" t="s">
        <v>373</v>
      </c>
      <c r="H207" t="s">
        <v>373</v>
      </c>
      <c r="I207" s="2">
        <v>0</v>
      </c>
      <c r="J207" s="2">
        <v>0</v>
      </c>
      <c r="K207" s="2">
        <v>0</v>
      </c>
      <c r="L207" s="2">
        <v>0</v>
      </c>
      <c r="M207" s="51">
        <v>0</v>
      </c>
      <c r="N207" s="51">
        <v>0</v>
      </c>
      <c r="P207" s="51">
        <v>0</v>
      </c>
      <c r="Q207" s="51">
        <v>126972</v>
      </c>
      <c r="R207" s="51">
        <v>273372</v>
      </c>
      <c r="T207" s="51">
        <v>273372</v>
      </c>
      <c r="U207" s="2">
        <v>0</v>
      </c>
      <c r="V207" s="2">
        <v>0</v>
      </c>
      <c r="W207" t="s">
        <v>373</v>
      </c>
      <c r="X207" t="s">
        <v>373</v>
      </c>
      <c r="Y207">
        <v>412.25</v>
      </c>
      <c r="Z207">
        <v>415.27</v>
      </c>
      <c r="AB207" s="2">
        <v>1</v>
      </c>
      <c r="AC207">
        <v>223.64</v>
      </c>
      <c r="AD207">
        <v>213.64</v>
      </c>
      <c r="AF207" s="2">
        <v>1</v>
      </c>
      <c r="AG207">
        <v>288.62</v>
      </c>
      <c r="AH207">
        <v>274.42</v>
      </c>
      <c r="AJ207" s="2">
        <v>1</v>
      </c>
      <c r="AK207">
        <v>152.69999999999999</v>
      </c>
      <c r="AL207">
        <v>145.86000000000001</v>
      </c>
      <c r="AN207" s="2">
        <v>1</v>
      </c>
      <c r="AR207" t="s">
        <v>373</v>
      </c>
      <c r="AS207" t="s">
        <v>10</v>
      </c>
      <c r="AT207" t="str">
        <f t="shared" si="3"/>
        <v>Pickerington - 421HC</v>
      </c>
    </row>
    <row r="208" spans="1:46" x14ac:dyDescent="0.25">
      <c r="A208" t="s">
        <v>316</v>
      </c>
      <c r="B208" t="s">
        <v>259</v>
      </c>
      <c r="C208" t="s">
        <v>250</v>
      </c>
      <c r="D208" s="50">
        <v>46023</v>
      </c>
      <c r="E208" s="2">
        <v>0.95499999999999996</v>
      </c>
      <c r="F208" s="2">
        <v>0.94399999999999995</v>
      </c>
      <c r="G208" t="s">
        <v>373</v>
      </c>
      <c r="H208" t="s">
        <v>373</v>
      </c>
      <c r="I208" s="2">
        <v>0</v>
      </c>
      <c r="J208" s="2">
        <v>0</v>
      </c>
      <c r="K208" s="2">
        <v>0</v>
      </c>
      <c r="L208" s="2">
        <v>0</v>
      </c>
      <c r="M208" s="51">
        <v>0</v>
      </c>
      <c r="N208" s="51">
        <v>0</v>
      </c>
      <c r="P208" s="51">
        <v>0</v>
      </c>
      <c r="Q208" s="51">
        <v>94936</v>
      </c>
      <c r="R208" s="51">
        <v>204550</v>
      </c>
      <c r="T208" s="51">
        <v>204550</v>
      </c>
      <c r="U208" s="2">
        <v>0</v>
      </c>
      <c r="V208" s="2">
        <v>0</v>
      </c>
      <c r="W208" t="s">
        <v>373</v>
      </c>
      <c r="X208" t="s">
        <v>373</v>
      </c>
      <c r="Y208">
        <v>366.55</v>
      </c>
      <c r="Z208">
        <v>362.97</v>
      </c>
      <c r="AB208" s="2">
        <v>1</v>
      </c>
      <c r="AC208">
        <v>187.24</v>
      </c>
      <c r="AD208">
        <v>196.66</v>
      </c>
      <c r="AF208" s="2">
        <v>1</v>
      </c>
      <c r="AJ208" t="s">
        <v>373</v>
      </c>
      <c r="AN208" t="s">
        <v>373</v>
      </c>
      <c r="AR208" t="s">
        <v>373</v>
      </c>
      <c r="AS208" t="s">
        <v>10</v>
      </c>
      <c r="AT208" t="str">
        <f t="shared" si="3"/>
        <v>Zanesville OB - 2425HC</v>
      </c>
    </row>
    <row r="209" spans="1:46" x14ac:dyDescent="0.25">
      <c r="A209" t="s">
        <v>316</v>
      </c>
      <c r="B209" t="s">
        <v>259</v>
      </c>
      <c r="C209" t="s">
        <v>250</v>
      </c>
      <c r="D209" s="50">
        <v>46054</v>
      </c>
      <c r="E209" s="2">
        <v>0.93200000000000005</v>
      </c>
      <c r="F209" s="2">
        <v>0.94399999999999995</v>
      </c>
      <c r="G209" t="s">
        <v>373</v>
      </c>
      <c r="H209" t="s">
        <v>373</v>
      </c>
      <c r="I209" s="2">
        <v>0</v>
      </c>
      <c r="J209" s="2">
        <v>0</v>
      </c>
      <c r="K209" s="2">
        <v>0</v>
      </c>
      <c r="L209" s="2">
        <v>0</v>
      </c>
      <c r="M209" s="51">
        <v>0</v>
      </c>
      <c r="N209" s="51">
        <v>0</v>
      </c>
      <c r="P209" s="51">
        <v>0</v>
      </c>
      <c r="Q209" s="51">
        <v>109614</v>
      </c>
      <c r="R209" s="51">
        <v>204550</v>
      </c>
      <c r="T209" s="51">
        <v>204550</v>
      </c>
      <c r="U209" s="2">
        <v>0</v>
      </c>
      <c r="V209" s="2">
        <v>0</v>
      </c>
      <c r="W209" t="s">
        <v>373</v>
      </c>
      <c r="X209" t="s">
        <v>373</v>
      </c>
      <c r="Y209">
        <v>359.39</v>
      </c>
      <c r="Z209">
        <v>362.97</v>
      </c>
      <c r="AB209" s="2">
        <v>1</v>
      </c>
      <c r="AC209">
        <v>206.09</v>
      </c>
      <c r="AD209">
        <v>196.66</v>
      </c>
      <c r="AF209" s="2">
        <v>1</v>
      </c>
      <c r="AJ209" t="s">
        <v>373</v>
      </c>
      <c r="AN209" t="s">
        <v>373</v>
      </c>
      <c r="AR209" t="s">
        <v>373</v>
      </c>
      <c r="AS209" t="s">
        <v>10</v>
      </c>
      <c r="AT209" t="str">
        <f t="shared" si="3"/>
        <v>Zanesville OB - 2425HC</v>
      </c>
    </row>
    <row r="210" spans="1:46" x14ac:dyDescent="0.25">
      <c r="A210" t="s">
        <v>316</v>
      </c>
      <c r="B210" t="s">
        <v>260</v>
      </c>
      <c r="C210" t="s">
        <v>56</v>
      </c>
      <c r="D210" s="50">
        <v>46023</v>
      </c>
      <c r="E210" s="2">
        <v>0.83699999999999997</v>
      </c>
      <c r="F210" s="2">
        <v>0.85599999999999998</v>
      </c>
      <c r="G210" t="s">
        <v>373</v>
      </c>
      <c r="H210" t="s">
        <v>373</v>
      </c>
      <c r="I210" s="2">
        <v>0</v>
      </c>
      <c r="J210" s="2">
        <v>0</v>
      </c>
      <c r="K210" s="2">
        <v>0</v>
      </c>
      <c r="L210" s="2">
        <v>0</v>
      </c>
      <c r="M210" s="51">
        <v>0</v>
      </c>
      <c r="N210" s="51">
        <v>0</v>
      </c>
      <c r="P210" s="51">
        <v>0</v>
      </c>
      <c r="Q210" s="51">
        <v>96054</v>
      </c>
      <c r="R210" s="51">
        <v>179376</v>
      </c>
      <c r="T210" s="51">
        <v>179376</v>
      </c>
      <c r="U210" s="2">
        <v>0</v>
      </c>
      <c r="V210" s="2">
        <v>0</v>
      </c>
      <c r="W210" t="s">
        <v>373</v>
      </c>
      <c r="X210" t="s">
        <v>373</v>
      </c>
      <c r="Y210">
        <v>368.02</v>
      </c>
      <c r="Z210">
        <v>368.35</v>
      </c>
      <c r="AB210" s="2">
        <v>1</v>
      </c>
      <c r="AC210">
        <v>234.75</v>
      </c>
      <c r="AD210">
        <v>235.74</v>
      </c>
      <c r="AF210" s="2">
        <v>1</v>
      </c>
      <c r="AG210">
        <v>268.04000000000002</v>
      </c>
      <c r="AH210">
        <v>281.05</v>
      </c>
      <c r="AJ210" s="2">
        <v>1</v>
      </c>
      <c r="AN210" t="s">
        <v>373</v>
      </c>
      <c r="AR210" t="s">
        <v>373</v>
      </c>
      <c r="AS210" t="s">
        <v>10</v>
      </c>
      <c r="AT210" t="str">
        <f t="shared" si="3"/>
        <v>Boonville - 110HC</v>
      </c>
    </row>
    <row r="211" spans="1:46" x14ac:dyDescent="0.25">
      <c r="A211" t="s">
        <v>316</v>
      </c>
      <c r="B211" t="s">
        <v>260</v>
      </c>
      <c r="C211" t="s">
        <v>56</v>
      </c>
      <c r="D211" s="50">
        <v>46054</v>
      </c>
      <c r="E211" s="2">
        <v>0.877</v>
      </c>
      <c r="F211" s="2">
        <v>0.85599999999999998</v>
      </c>
      <c r="G211" t="s">
        <v>373</v>
      </c>
      <c r="H211" t="s">
        <v>373</v>
      </c>
      <c r="I211" s="2">
        <v>0</v>
      </c>
      <c r="J211" s="2">
        <v>0</v>
      </c>
      <c r="K211" s="2">
        <v>0</v>
      </c>
      <c r="L211" s="2">
        <v>0</v>
      </c>
      <c r="M211" s="51">
        <v>0</v>
      </c>
      <c r="N211" s="51">
        <v>0</v>
      </c>
      <c r="P211" s="51">
        <v>0</v>
      </c>
      <c r="Q211" s="51">
        <v>83322</v>
      </c>
      <c r="R211" s="51">
        <v>179376</v>
      </c>
      <c r="T211" s="51">
        <v>179376</v>
      </c>
      <c r="U211" s="2">
        <v>0</v>
      </c>
      <c r="V211" s="2">
        <v>0</v>
      </c>
      <c r="W211" t="s">
        <v>373</v>
      </c>
      <c r="X211" t="s">
        <v>373</v>
      </c>
      <c r="Y211">
        <v>368.68</v>
      </c>
      <c r="Z211">
        <v>368.35</v>
      </c>
      <c r="AB211" s="2">
        <v>1</v>
      </c>
      <c r="AC211">
        <v>236.73</v>
      </c>
      <c r="AD211">
        <v>235.74</v>
      </c>
      <c r="AF211" s="2">
        <v>1</v>
      </c>
      <c r="AG211">
        <v>294.06</v>
      </c>
      <c r="AH211">
        <v>281.05</v>
      </c>
      <c r="AJ211" s="2">
        <v>1</v>
      </c>
      <c r="AN211" t="s">
        <v>373</v>
      </c>
      <c r="AR211" t="s">
        <v>373</v>
      </c>
      <c r="AS211" t="s">
        <v>10</v>
      </c>
      <c r="AT211" t="str">
        <f t="shared" si="3"/>
        <v>Boonville - 110HC</v>
      </c>
    </row>
    <row r="212" spans="1:46" x14ac:dyDescent="0.25">
      <c r="A212" t="s">
        <v>316</v>
      </c>
      <c r="B212" t="s">
        <v>260</v>
      </c>
      <c r="C212" t="s">
        <v>96</v>
      </c>
      <c r="D212" s="50">
        <v>46023</v>
      </c>
      <c r="E212" s="2">
        <v>0.97</v>
      </c>
      <c r="F212" s="2">
        <v>0.94</v>
      </c>
      <c r="G212" t="s">
        <v>373</v>
      </c>
      <c r="H212" t="s">
        <v>373</v>
      </c>
      <c r="I212" s="2">
        <v>0</v>
      </c>
      <c r="J212" s="2">
        <v>0.33300000000000002</v>
      </c>
      <c r="K212" s="2">
        <v>0</v>
      </c>
      <c r="L212" s="2">
        <v>0.33300000000000002</v>
      </c>
      <c r="M212" s="51">
        <v>-399</v>
      </c>
      <c r="N212" s="51">
        <v>-1596</v>
      </c>
      <c r="P212" s="51">
        <v>-1596</v>
      </c>
      <c r="Q212" s="51">
        <v>225937</v>
      </c>
      <c r="R212" s="51">
        <v>446996</v>
      </c>
      <c r="T212" s="51">
        <v>446996</v>
      </c>
      <c r="U212" s="2">
        <v>-2E-3</v>
      </c>
      <c r="V212" s="2">
        <v>-4.0000000000000001E-3</v>
      </c>
      <c r="W212" t="s">
        <v>373</v>
      </c>
      <c r="X212" t="s">
        <v>373</v>
      </c>
      <c r="Y212">
        <v>454.6</v>
      </c>
      <c r="Z212">
        <v>452.87</v>
      </c>
      <c r="AB212" s="2">
        <v>1</v>
      </c>
      <c r="AC212">
        <v>236.3</v>
      </c>
      <c r="AD212">
        <v>247.55</v>
      </c>
      <c r="AF212" s="2">
        <v>1</v>
      </c>
      <c r="AG212">
        <v>291.17</v>
      </c>
      <c r="AH212">
        <v>306.83</v>
      </c>
      <c r="AJ212" s="2">
        <v>1</v>
      </c>
      <c r="AN212" t="s">
        <v>373</v>
      </c>
      <c r="AO212">
        <v>102.48</v>
      </c>
      <c r="AP212">
        <v>107.55</v>
      </c>
      <c r="AR212" s="2">
        <v>1</v>
      </c>
      <c r="AS212" t="s">
        <v>10</v>
      </c>
      <c r="AT212" t="str">
        <f t="shared" si="3"/>
        <v>Evansville NR - 2186HC</v>
      </c>
    </row>
    <row r="213" spans="1:46" x14ac:dyDescent="0.25">
      <c r="A213" t="s">
        <v>316</v>
      </c>
      <c r="B213" t="s">
        <v>260</v>
      </c>
      <c r="C213" t="s">
        <v>96</v>
      </c>
      <c r="D213" s="50">
        <v>46054</v>
      </c>
      <c r="E213" s="2">
        <v>0.90800000000000003</v>
      </c>
      <c r="F213" s="2">
        <v>0.94</v>
      </c>
      <c r="G213" t="s">
        <v>373</v>
      </c>
      <c r="H213" t="s">
        <v>373</v>
      </c>
      <c r="I213" s="2">
        <v>0.33300000000000002</v>
      </c>
      <c r="J213" s="2">
        <v>0.33300000000000002</v>
      </c>
      <c r="K213" s="2">
        <v>0</v>
      </c>
      <c r="L213" s="2">
        <v>0.33300000000000002</v>
      </c>
      <c r="M213" s="51">
        <v>-1197</v>
      </c>
      <c r="N213" s="51">
        <v>-1596</v>
      </c>
      <c r="P213" s="51">
        <v>-1596</v>
      </c>
      <c r="Q213" s="51">
        <v>221059</v>
      </c>
      <c r="R213" s="51">
        <v>446996</v>
      </c>
      <c r="T213" s="51">
        <v>446996</v>
      </c>
      <c r="U213" s="2">
        <v>-5.0000000000000001E-3</v>
      </c>
      <c r="V213" s="2">
        <v>-4.0000000000000001E-3</v>
      </c>
      <c r="W213" t="s">
        <v>373</v>
      </c>
      <c r="X213" t="s">
        <v>373</v>
      </c>
      <c r="Y213">
        <v>451.14</v>
      </c>
      <c r="Z213">
        <v>452.87</v>
      </c>
      <c r="AB213" s="2">
        <v>1</v>
      </c>
      <c r="AC213">
        <v>258.8</v>
      </c>
      <c r="AD213">
        <v>247.55</v>
      </c>
      <c r="AF213" s="2">
        <v>1</v>
      </c>
      <c r="AG213">
        <v>322.49</v>
      </c>
      <c r="AH213">
        <v>306.83</v>
      </c>
      <c r="AJ213" s="2">
        <v>1</v>
      </c>
      <c r="AN213" t="s">
        <v>373</v>
      </c>
      <c r="AO213">
        <v>112.63</v>
      </c>
      <c r="AP213">
        <v>107.55</v>
      </c>
      <c r="AR213" s="2">
        <v>1</v>
      </c>
      <c r="AS213" t="s">
        <v>10</v>
      </c>
      <c r="AT213" t="str">
        <f t="shared" si="3"/>
        <v>Evansville NR - 2186HC</v>
      </c>
    </row>
    <row r="214" spans="1:46" x14ac:dyDescent="0.25">
      <c r="A214" t="s">
        <v>316</v>
      </c>
      <c r="B214" t="s">
        <v>260</v>
      </c>
      <c r="C214" t="s">
        <v>98</v>
      </c>
      <c r="D214" s="50">
        <v>46023</v>
      </c>
      <c r="E214" s="2">
        <v>0.95099999999999996</v>
      </c>
      <c r="F214" s="2">
        <v>0.94699999999999995</v>
      </c>
      <c r="G214" t="s">
        <v>373</v>
      </c>
      <c r="H214" t="s">
        <v>373</v>
      </c>
      <c r="I214" s="2">
        <v>0</v>
      </c>
      <c r="J214" s="2">
        <v>0</v>
      </c>
      <c r="K214" s="2">
        <v>0</v>
      </c>
      <c r="L214" s="2">
        <v>0</v>
      </c>
      <c r="M214" s="51">
        <v>-2154</v>
      </c>
      <c r="N214" s="51">
        <v>-3582</v>
      </c>
      <c r="P214" s="51">
        <v>-3582</v>
      </c>
      <c r="Q214" s="51">
        <v>237654</v>
      </c>
      <c r="R214" s="51">
        <v>447555</v>
      </c>
      <c r="T214" s="51">
        <v>447555</v>
      </c>
      <c r="U214" s="2">
        <v>-8.9999999999999993E-3</v>
      </c>
      <c r="V214" s="2">
        <v>-8.0000000000000002E-3</v>
      </c>
      <c r="W214" t="s">
        <v>373</v>
      </c>
      <c r="X214" t="s">
        <v>373</v>
      </c>
      <c r="Y214">
        <v>443.38</v>
      </c>
      <c r="Z214">
        <v>441.25</v>
      </c>
      <c r="AB214" s="2">
        <v>1</v>
      </c>
      <c r="AC214">
        <v>184.14</v>
      </c>
      <c r="AD214">
        <v>194.28</v>
      </c>
      <c r="AF214" s="2">
        <v>1</v>
      </c>
      <c r="AJ214" t="s">
        <v>373</v>
      </c>
      <c r="AN214" t="s">
        <v>373</v>
      </c>
      <c r="AR214" t="s">
        <v>373</v>
      </c>
      <c r="AS214" t="s">
        <v>10</v>
      </c>
      <c r="AT214" t="str">
        <f t="shared" si="3"/>
        <v>Evansville RP - 111HC</v>
      </c>
    </row>
    <row r="215" spans="1:46" x14ac:dyDescent="0.25">
      <c r="A215" t="s">
        <v>316</v>
      </c>
      <c r="B215" t="s">
        <v>260</v>
      </c>
      <c r="C215" t="s">
        <v>98</v>
      </c>
      <c r="D215" s="50">
        <v>46054</v>
      </c>
      <c r="E215" s="2">
        <v>0.94299999999999995</v>
      </c>
      <c r="F215" s="2">
        <v>0.94699999999999995</v>
      </c>
      <c r="G215" t="s">
        <v>373</v>
      </c>
      <c r="H215" t="s">
        <v>373</v>
      </c>
      <c r="I215" s="2">
        <v>0</v>
      </c>
      <c r="J215" s="2">
        <v>0</v>
      </c>
      <c r="K215" s="2">
        <v>0</v>
      </c>
      <c r="L215" s="2">
        <v>0</v>
      </c>
      <c r="M215" s="51">
        <v>-1428</v>
      </c>
      <c r="N215" s="51">
        <v>-3582</v>
      </c>
      <c r="P215" s="51">
        <v>-3582</v>
      </c>
      <c r="Q215" s="51">
        <v>209901</v>
      </c>
      <c r="R215" s="51">
        <v>447555</v>
      </c>
      <c r="T215" s="51">
        <v>447555</v>
      </c>
      <c r="U215" s="2">
        <v>-7.0000000000000001E-3</v>
      </c>
      <c r="V215" s="2">
        <v>-8.0000000000000002E-3</v>
      </c>
      <c r="W215" t="s">
        <v>373</v>
      </c>
      <c r="X215" t="s">
        <v>373</v>
      </c>
      <c r="Y215">
        <v>439.12</v>
      </c>
      <c r="Z215">
        <v>441.25</v>
      </c>
      <c r="AB215" s="2">
        <v>1</v>
      </c>
      <c r="AC215">
        <v>204.42</v>
      </c>
      <c r="AD215">
        <v>194.28</v>
      </c>
      <c r="AF215" s="2">
        <v>1</v>
      </c>
      <c r="AJ215" t="s">
        <v>373</v>
      </c>
      <c r="AN215" t="s">
        <v>373</v>
      </c>
      <c r="AR215" t="s">
        <v>373</v>
      </c>
      <c r="AS215" t="s">
        <v>10</v>
      </c>
      <c r="AT215" t="str">
        <f t="shared" si="3"/>
        <v>Evansville RP - 111HC</v>
      </c>
    </row>
    <row r="216" spans="1:46" x14ac:dyDescent="0.25">
      <c r="A216" t="s">
        <v>316</v>
      </c>
      <c r="B216" t="s">
        <v>260</v>
      </c>
      <c r="C216" t="s">
        <v>100</v>
      </c>
      <c r="D216" s="50">
        <v>46023</v>
      </c>
      <c r="E216" s="2">
        <v>0.83699999999999997</v>
      </c>
      <c r="F216" s="2">
        <v>0.84099999999999997</v>
      </c>
      <c r="G216" t="s">
        <v>373</v>
      </c>
      <c r="H216" t="s">
        <v>373</v>
      </c>
      <c r="I216" s="2">
        <v>0</v>
      </c>
      <c r="J216" s="2">
        <v>0</v>
      </c>
      <c r="K216" s="2">
        <v>0</v>
      </c>
      <c r="L216" s="2">
        <v>0</v>
      </c>
      <c r="M216" s="51">
        <v>-3112</v>
      </c>
      <c r="N216" s="51">
        <v>-3112</v>
      </c>
      <c r="P216" s="51">
        <v>-3112</v>
      </c>
      <c r="Q216" s="51">
        <v>173019</v>
      </c>
      <c r="R216" s="51">
        <v>345039</v>
      </c>
      <c r="T216" s="51">
        <v>345039</v>
      </c>
      <c r="U216" s="2">
        <v>-1.7999999999999999E-2</v>
      </c>
      <c r="V216" s="2">
        <v>-8.9999999999999993E-3</v>
      </c>
      <c r="W216" t="s">
        <v>373</v>
      </c>
      <c r="X216" t="s">
        <v>373</v>
      </c>
      <c r="Y216">
        <v>439.13</v>
      </c>
      <c r="Z216">
        <v>435.67</v>
      </c>
      <c r="AB216" s="2">
        <v>1</v>
      </c>
      <c r="AC216">
        <v>195.92</v>
      </c>
      <c r="AD216">
        <v>205.85</v>
      </c>
      <c r="AF216" s="2">
        <v>1</v>
      </c>
      <c r="AG216">
        <v>260.74</v>
      </c>
      <c r="AH216">
        <v>273.85000000000002</v>
      </c>
      <c r="AJ216" s="2">
        <v>1</v>
      </c>
      <c r="AN216" t="s">
        <v>373</v>
      </c>
      <c r="AR216" t="s">
        <v>373</v>
      </c>
      <c r="AS216" t="s">
        <v>10</v>
      </c>
      <c r="AT216" t="str">
        <f t="shared" si="3"/>
        <v>Evansville WR - 142HC</v>
      </c>
    </row>
    <row r="217" spans="1:46" x14ac:dyDescent="0.25">
      <c r="A217" t="s">
        <v>316</v>
      </c>
      <c r="B217" t="s">
        <v>260</v>
      </c>
      <c r="C217" t="s">
        <v>100</v>
      </c>
      <c r="D217" s="50">
        <v>46054</v>
      </c>
      <c r="E217" s="2">
        <v>0.84399999999999997</v>
      </c>
      <c r="F217" s="2">
        <v>0.84099999999999997</v>
      </c>
      <c r="G217" t="s">
        <v>373</v>
      </c>
      <c r="H217" t="s">
        <v>373</v>
      </c>
      <c r="I217" s="2">
        <v>0</v>
      </c>
      <c r="J217" s="2">
        <v>0</v>
      </c>
      <c r="K217" s="2">
        <v>0</v>
      </c>
      <c r="L217" s="2">
        <v>0</v>
      </c>
      <c r="M217" s="51">
        <v>0</v>
      </c>
      <c r="N217" s="51">
        <v>-3112</v>
      </c>
      <c r="P217" s="51">
        <v>-3112</v>
      </c>
      <c r="Q217" s="51">
        <v>172020</v>
      </c>
      <c r="R217" s="51">
        <v>345039</v>
      </c>
      <c r="T217" s="51">
        <v>345039</v>
      </c>
      <c r="U217" s="2">
        <v>0</v>
      </c>
      <c r="V217" s="2">
        <v>-8.9999999999999993E-3</v>
      </c>
      <c r="W217" t="s">
        <v>373</v>
      </c>
      <c r="X217" t="s">
        <v>373</v>
      </c>
      <c r="Y217">
        <v>432.21</v>
      </c>
      <c r="Z217">
        <v>435.67</v>
      </c>
      <c r="AB217" s="2">
        <v>1</v>
      </c>
      <c r="AC217">
        <v>215.78</v>
      </c>
      <c r="AD217">
        <v>205.85</v>
      </c>
      <c r="AF217" s="2">
        <v>1</v>
      </c>
      <c r="AG217">
        <v>286.95999999999998</v>
      </c>
      <c r="AH217">
        <v>273.85000000000002</v>
      </c>
      <c r="AJ217" s="2">
        <v>1</v>
      </c>
      <c r="AN217" t="s">
        <v>373</v>
      </c>
      <c r="AR217" t="s">
        <v>373</v>
      </c>
      <c r="AS217" t="s">
        <v>10</v>
      </c>
      <c r="AT217" t="str">
        <f t="shared" si="3"/>
        <v>Evansville WR - 142HC</v>
      </c>
    </row>
    <row r="218" spans="1:46" x14ac:dyDescent="0.25">
      <c r="A218" t="s">
        <v>316</v>
      </c>
      <c r="B218" t="s">
        <v>260</v>
      </c>
      <c r="C218" t="s">
        <v>101</v>
      </c>
      <c r="D218" s="50">
        <v>46023</v>
      </c>
      <c r="E218" s="2">
        <v>0.98599999999999999</v>
      </c>
      <c r="F218" s="2">
        <v>0.98499999999999999</v>
      </c>
      <c r="G218" t="s">
        <v>373</v>
      </c>
      <c r="H218" t="s">
        <v>373</v>
      </c>
      <c r="I218" s="2">
        <v>0</v>
      </c>
      <c r="J218" s="2">
        <v>0</v>
      </c>
      <c r="K218" s="2">
        <v>0</v>
      </c>
      <c r="L218" s="2">
        <v>0</v>
      </c>
      <c r="M218" s="51">
        <v>0</v>
      </c>
      <c r="N218" s="51">
        <v>0</v>
      </c>
      <c r="P218" s="51">
        <v>0</v>
      </c>
      <c r="Q218" s="51">
        <v>199284</v>
      </c>
      <c r="R218" s="51">
        <v>373551</v>
      </c>
      <c r="T218" s="51">
        <v>373551</v>
      </c>
      <c r="U218" s="2">
        <v>0</v>
      </c>
      <c r="V218" s="2">
        <v>0</v>
      </c>
      <c r="W218" t="s">
        <v>373</v>
      </c>
      <c r="X218" t="s">
        <v>373</v>
      </c>
      <c r="Y218">
        <v>407.53</v>
      </c>
      <c r="Z218">
        <v>405.93</v>
      </c>
      <c r="AB218" s="2">
        <v>1</v>
      </c>
      <c r="AC218">
        <v>213.35</v>
      </c>
      <c r="AD218">
        <v>225.1</v>
      </c>
      <c r="AF218" s="2">
        <v>1</v>
      </c>
      <c r="AG218">
        <v>256.77999999999997</v>
      </c>
      <c r="AH218">
        <v>270.52999999999997</v>
      </c>
      <c r="AJ218" s="2">
        <v>1</v>
      </c>
      <c r="AN218" t="s">
        <v>373</v>
      </c>
      <c r="AR218" t="s">
        <v>373</v>
      </c>
      <c r="AS218" t="s">
        <v>10</v>
      </c>
      <c r="AT218" t="str">
        <f t="shared" si="3"/>
        <v>Ferdinand - 303HC</v>
      </c>
    </row>
    <row r="219" spans="1:46" x14ac:dyDescent="0.25">
      <c r="A219" t="s">
        <v>316</v>
      </c>
      <c r="B219" t="s">
        <v>260</v>
      </c>
      <c r="C219" t="s">
        <v>101</v>
      </c>
      <c r="D219" s="50">
        <v>46054</v>
      </c>
      <c r="E219" s="2">
        <v>0.98399999999999999</v>
      </c>
      <c r="F219" s="2">
        <v>0.98499999999999999</v>
      </c>
      <c r="G219" t="s">
        <v>373</v>
      </c>
      <c r="H219" t="s">
        <v>373</v>
      </c>
      <c r="I219" s="2">
        <v>0</v>
      </c>
      <c r="J219" s="2">
        <v>0</v>
      </c>
      <c r="K219" s="2">
        <v>0</v>
      </c>
      <c r="L219" s="2">
        <v>0</v>
      </c>
      <c r="M219" s="51">
        <v>0</v>
      </c>
      <c r="N219" s="51">
        <v>0</v>
      </c>
      <c r="P219" s="51">
        <v>0</v>
      </c>
      <c r="Q219" s="51">
        <v>174267</v>
      </c>
      <c r="R219" s="51">
        <v>373551</v>
      </c>
      <c r="T219" s="51">
        <v>373551</v>
      </c>
      <c r="U219" s="2">
        <v>0</v>
      </c>
      <c r="V219" s="2">
        <v>0</v>
      </c>
      <c r="W219" t="s">
        <v>373</v>
      </c>
      <c r="X219" t="s">
        <v>373</v>
      </c>
      <c r="Y219">
        <v>404.33</v>
      </c>
      <c r="Z219">
        <v>405.93</v>
      </c>
      <c r="AB219" s="2">
        <v>1</v>
      </c>
      <c r="AC219">
        <v>236.85</v>
      </c>
      <c r="AD219">
        <v>225.1</v>
      </c>
      <c r="AF219" s="2">
        <v>1</v>
      </c>
      <c r="AG219">
        <v>284.29000000000002</v>
      </c>
      <c r="AH219">
        <v>270.52999999999997</v>
      </c>
      <c r="AJ219" s="2">
        <v>1</v>
      </c>
      <c r="AN219" t="s">
        <v>373</v>
      </c>
      <c r="AR219" t="s">
        <v>373</v>
      </c>
      <c r="AS219" t="s">
        <v>10</v>
      </c>
      <c r="AT219" t="str">
        <f t="shared" si="3"/>
        <v>Ferdinand - 303HC</v>
      </c>
    </row>
    <row r="220" spans="1:46" x14ac:dyDescent="0.25">
      <c r="A220" t="s">
        <v>316</v>
      </c>
      <c r="B220" t="s">
        <v>260</v>
      </c>
      <c r="C220" t="s">
        <v>121</v>
      </c>
      <c r="D220" s="50">
        <v>46023</v>
      </c>
      <c r="E220" s="2">
        <v>0.89500000000000002</v>
      </c>
      <c r="F220" s="2">
        <v>0.91500000000000004</v>
      </c>
      <c r="G220" t="s">
        <v>373</v>
      </c>
      <c r="H220" t="s">
        <v>373</v>
      </c>
      <c r="I220" s="2">
        <v>0</v>
      </c>
      <c r="J220" s="2">
        <v>0</v>
      </c>
      <c r="K220" s="2">
        <v>0</v>
      </c>
      <c r="L220" s="2">
        <v>0</v>
      </c>
      <c r="M220" s="51">
        <v>0</v>
      </c>
      <c r="N220" s="51">
        <v>0</v>
      </c>
      <c r="P220" s="51">
        <v>0</v>
      </c>
      <c r="Q220" s="51">
        <v>114363</v>
      </c>
      <c r="R220" s="51">
        <v>224913</v>
      </c>
      <c r="T220" s="51">
        <v>224913</v>
      </c>
      <c r="U220" s="2">
        <v>0</v>
      </c>
      <c r="V220" s="2">
        <v>0</v>
      </c>
      <c r="W220" t="s">
        <v>373</v>
      </c>
      <c r="X220" t="s">
        <v>373</v>
      </c>
      <c r="Y220">
        <v>358.5</v>
      </c>
      <c r="Z220">
        <v>361.08</v>
      </c>
      <c r="AB220" s="2">
        <v>1</v>
      </c>
      <c r="AC220">
        <v>166.86</v>
      </c>
      <c r="AD220">
        <v>175.61</v>
      </c>
      <c r="AF220" s="2">
        <v>1</v>
      </c>
      <c r="AG220">
        <v>217.94</v>
      </c>
      <c r="AH220">
        <v>226.91</v>
      </c>
      <c r="AJ220" s="2">
        <v>1</v>
      </c>
      <c r="AN220" t="s">
        <v>373</v>
      </c>
      <c r="AR220" t="s">
        <v>373</v>
      </c>
      <c r="AS220" t="s">
        <v>10</v>
      </c>
      <c r="AT220" t="str">
        <f t="shared" si="3"/>
        <v>Greencastle - 119HC</v>
      </c>
    </row>
    <row r="221" spans="1:46" x14ac:dyDescent="0.25">
      <c r="A221" t="s">
        <v>316</v>
      </c>
      <c r="B221" t="s">
        <v>260</v>
      </c>
      <c r="C221" t="s">
        <v>121</v>
      </c>
      <c r="D221" s="50">
        <v>46054</v>
      </c>
      <c r="E221" s="2">
        <v>0.93700000000000006</v>
      </c>
      <c r="F221" s="2">
        <v>0.91500000000000004</v>
      </c>
      <c r="G221" t="s">
        <v>373</v>
      </c>
      <c r="H221" t="s">
        <v>373</v>
      </c>
      <c r="I221" s="2">
        <v>0</v>
      </c>
      <c r="J221" s="2">
        <v>0</v>
      </c>
      <c r="K221" s="2">
        <v>0</v>
      </c>
      <c r="L221" s="2">
        <v>0</v>
      </c>
      <c r="M221" s="51">
        <v>0</v>
      </c>
      <c r="N221" s="51">
        <v>0</v>
      </c>
      <c r="P221" s="51">
        <v>0</v>
      </c>
      <c r="Q221" s="51">
        <v>110550</v>
      </c>
      <c r="R221" s="51">
        <v>224913</v>
      </c>
      <c r="T221" s="51">
        <v>224913</v>
      </c>
      <c r="U221" s="2">
        <v>0</v>
      </c>
      <c r="V221" s="2">
        <v>0</v>
      </c>
      <c r="W221" t="s">
        <v>373</v>
      </c>
      <c r="X221" t="s">
        <v>373</v>
      </c>
      <c r="Y221">
        <v>363.65</v>
      </c>
      <c r="Z221">
        <v>361.08</v>
      </c>
      <c r="AB221" s="2">
        <v>1</v>
      </c>
      <c r="AC221">
        <v>184.36</v>
      </c>
      <c r="AD221">
        <v>175.61</v>
      </c>
      <c r="AF221" s="2">
        <v>1</v>
      </c>
      <c r="AG221">
        <v>235.87</v>
      </c>
      <c r="AH221">
        <v>226.91</v>
      </c>
      <c r="AJ221" s="2">
        <v>1</v>
      </c>
      <c r="AN221" t="s">
        <v>373</v>
      </c>
      <c r="AR221" t="s">
        <v>373</v>
      </c>
      <c r="AS221" t="s">
        <v>10</v>
      </c>
      <c r="AT221" t="str">
        <f t="shared" si="3"/>
        <v>Greencastle - 119HC</v>
      </c>
    </row>
    <row r="222" spans="1:46" x14ac:dyDescent="0.25">
      <c r="A222" t="s">
        <v>316</v>
      </c>
      <c r="B222" t="s">
        <v>260</v>
      </c>
      <c r="C222" t="s">
        <v>135</v>
      </c>
      <c r="D222" s="50">
        <v>46023</v>
      </c>
      <c r="E222" s="2">
        <v>0.91100000000000003</v>
      </c>
      <c r="F222" s="2">
        <v>0.91700000000000004</v>
      </c>
      <c r="G222" t="s">
        <v>373</v>
      </c>
      <c r="H222" t="s">
        <v>373</v>
      </c>
      <c r="I222" s="2">
        <v>0</v>
      </c>
      <c r="J222" s="2">
        <v>0</v>
      </c>
      <c r="K222" s="2">
        <v>0</v>
      </c>
      <c r="L222" s="2">
        <v>0</v>
      </c>
      <c r="M222" s="51">
        <v>0</v>
      </c>
      <c r="N222" s="51">
        <v>0</v>
      </c>
      <c r="P222" s="51">
        <v>0</v>
      </c>
      <c r="Q222" s="51">
        <v>103624</v>
      </c>
      <c r="R222" s="51">
        <v>185704</v>
      </c>
      <c r="T222" s="51">
        <v>185704</v>
      </c>
      <c r="U222" s="2">
        <v>0</v>
      </c>
      <c r="V222" s="2">
        <v>0</v>
      </c>
      <c r="W222" t="s">
        <v>373</v>
      </c>
      <c r="X222" t="s">
        <v>373</v>
      </c>
      <c r="Y222">
        <v>440.95</v>
      </c>
      <c r="Z222">
        <v>444.74</v>
      </c>
      <c r="AB222" s="2">
        <v>1</v>
      </c>
      <c r="AC222">
        <v>210.09</v>
      </c>
      <c r="AD222">
        <v>221.2</v>
      </c>
      <c r="AF222" s="2">
        <v>1</v>
      </c>
      <c r="AJ222" t="s">
        <v>373</v>
      </c>
      <c r="AN222" t="s">
        <v>373</v>
      </c>
      <c r="AO222">
        <v>85.46</v>
      </c>
      <c r="AP222">
        <v>90.17</v>
      </c>
      <c r="AR222" s="2">
        <v>1</v>
      </c>
      <c r="AS222" t="s">
        <v>10</v>
      </c>
      <c r="AT222" t="str">
        <f t="shared" si="3"/>
        <v>Jasper - 108HC</v>
      </c>
    </row>
    <row r="223" spans="1:46" x14ac:dyDescent="0.25">
      <c r="A223" t="s">
        <v>316</v>
      </c>
      <c r="B223" t="s">
        <v>260</v>
      </c>
      <c r="C223" t="s">
        <v>135</v>
      </c>
      <c r="D223" s="50">
        <v>46054</v>
      </c>
      <c r="E223" s="2">
        <v>0.92400000000000004</v>
      </c>
      <c r="F223" s="2">
        <v>0.91700000000000004</v>
      </c>
      <c r="G223" t="s">
        <v>373</v>
      </c>
      <c r="H223" t="s">
        <v>373</v>
      </c>
      <c r="I223" s="2">
        <v>0</v>
      </c>
      <c r="J223" s="2">
        <v>0</v>
      </c>
      <c r="K223" s="2">
        <v>0</v>
      </c>
      <c r="L223" s="2">
        <v>0</v>
      </c>
      <c r="M223" s="51">
        <v>0</v>
      </c>
      <c r="N223" s="51">
        <v>0</v>
      </c>
      <c r="P223" s="51">
        <v>0</v>
      </c>
      <c r="Q223" s="51">
        <v>82080</v>
      </c>
      <c r="R223" s="51">
        <v>185704</v>
      </c>
      <c r="T223" s="51">
        <v>185704</v>
      </c>
      <c r="U223" s="2">
        <v>0</v>
      </c>
      <c r="V223" s="2">
        <v>0</v>
      </c>
      <c r="W223" t="s">
        <v>373</v>
      </c>
      <c r="X223" t="s">
        <v>373</v>
      </c>
      <c r="Y223">
        <v>448.52</v>
      </c>
      <c r="Z223">
        <v>444.74</v>
      </c>
      <c r="AB223" s="2">
        <v>1</v>
      </c>
      <c r="AC223">
        <v>232.32</v>
      </c>
      <c r="AD223">
        <v>221.2</v>
      </c>
      <c r="AF223" s="2">
        <v>1</v>
      </c>
      <c r="AJ223" t="s">
        <v>373</v>
      </c>
      <c r="AN223" t="s">
        <v>373</v>
      </c>
      <c r="AO223">
        <v>94.88</v>
      </c>
      <c r="AP223">
        <v>90.17</v>
      </c>
      <c r="AR223" s="2">
        <v>1</v>
      </c>
      <c r="AS223" t="s">
        <v>10</v>
      </c>
      <c r="AT223" t="str">
        <f t="shared" si="3"/>
        <v>Jasper - 108HC</v>
      </c>
    </row>
    <row r="224" spans="1:46" x14ac:dyDescent="0.25">
      <c r="A224" t="s">
        <v>316</v>
      </c>
      <c r="B224" t="s">
        <v>260</v>
      </c>
      <c r="C224" t="s">
        <v>210</v>
      </c>
      <c r="D224" s="50">
        <v>46023</v>
      </c>
      <c r="E224" s="2">
        <v>0.92400000000000004</v>
      </c>
      <c r="F224" s="2">
        <v>0.88700000000000001</v>
      </c>
      <c r="G224" t="s">
        <v>373</v>
      </c>
      <c r="H224" t="s">
        <v>373</v>
      </c>
      <c r="I224" s="2">
        <v>0</v>
      </c>
      <c r="J224" s="2">
        <v>0</v>
      </c>
      <c r="K224" s="2">
        <v>0</v>
      </c>
      <c r="L224" s="2">
        <v>0</v>
      </c>
      <c r="M224" s="51">
        <v>2900</v>
      </c>
      <c r="N224" s="51">
        <v>2900</v>
      </c>
      <c r="P224" s="51">
        <v>2900</v>
      </c>
      <c r="Q224" s="51">
        <v>50356</v>
      </c>
      <c r="R224" s="51">
        <v>112863</v>
      </c>
      <c r="T224" s="51">
        <v>112863</v>
      </c>
      <c r="U224" s="2">
        <v>5.8000000000000003E-2</v>
      </c>
      <c r="V224" s="2">
        <v>2.5999999999999999E-2</v>
      </c>
      <c r="W224" t="s">
        <v>373</v>
      </c>
      <c r="X224" t="s">
        <v>373</v>
      </c>
      <c r="Y224">
        <v>362.28</v>
      </c>
      <c r="Z224">
        <v>369.41</v>
      </c>
      <c r="AB224" s="2">
        <v>1</v>
      </c>
      <c r="AC224">
        <v>176.36</v>
      </c>
      <c r="AD224">
        <v>184.38</v>
      </c>
      <c r="AF224" s="2">
        <v>1</v>
      </c>
      <c r="AJ224" t="s">
        <v>373</v>
      </c>
      <c r="AN224" t="s">
        <v>373</v>
      </c>
      <c r="AR224" t="s">
        <v>373</v>
      </c>
      <c r="AS224" t="s">
        <v>10</v>
      </c>
      <c r="AT224" t="str">
        <f t="shared" si="3"/>
        <v>Petersburg - 304HC</v>
      </c>
    </row>
    <row r="225" spans="1:46" x14ac:dyDescent="0.25">
      <c r="A225" t="s">
        <v>316</v>
      </c>
      <c r="B225" t="s">
        <v>260</v>
      </c>
      <c r="C225" t="s">
        <v>210</v>
      </c>
      <c r="D225" s="50">
        <v>46054</v>
      </c>
      <c r="E225" s="2">
        <v>0.84699999999999998</v>
      </c>
      <c r="F225" s="2">
        <v>0.88700000000000001</v>
      </c>
      <c r="G225" t="s">
        <v>373</v>
      </c>
      <c r="H225" t="s">
        <v>373</v>
      </c>
      <c r="I225" s="2">
        <v>0</v>
      </c>
      <c r="J225" s="2">
        <v>0</v>
      </c>
      <c r="K225" s="2">
        <v>0</v>
      </c>
      <c r="L225" s="2">
        <v>0</v>
      </c>
      <c r="M225" s="51">
        <v>0</v>
      </c>
      <c r="N225" s="51">
        <v>2900</v>
      </c>
      <c r="P225" s="51">
        <v>2900</v>
      </c>
      <c r="Q225" s="51">
        <v>62507</v>
      </c>
      <c r="R225" s="51">
        <v>112863</v>
      </c>
      <c r="T225" s="51">
        <v>112863</v>
      </c>
      <c r="U225" s="2">
        <v>0</v>
      </c>
      <c r="V225" s="2">
        <v>2.5999999999999999E-2</v>
      </c>
      <c r="W225" t="s">
        <v>373</v>
      </c>
      <c r="X225" t="s">
        <v>373</v>
      </c>
      <c r="Y225">
        <v>376.55</v>
      </c>
      <c r="Z225">
        <v>369.41</v>
      </c>
      <c r="AB225" s="2">
        <v>1</v>
      </c>
      <c r="AC225">
        <v>192.4</v>
      </c>
      <c r="AD225">
        <v>184.38</v>
      </c>
      <c r="AF225" s="2">
        <v>1</v>
      </c>
      <c r="AJ225" t="s">
        <v>373</v>
      </c>
      <c r="AN225" t="s">
        <v>373</v>
      </c>
      <c r="AR225" t="s">
        <v>373</v>
      </c>
      <c r="AS225" t="s">
        <v>10</v>
      </c>
      <c r="AT225" t="str">
        <f t="shared" si="3"/>
        <v>Petersburg - 304HC</v>
      </c>
    </row>
    <row r="226" spans="1:46" x14ac:dyDescent="0.25">
      <c r="A226" t="s">
        <v>316</v>
      </c>
      <c r="B226" t="s">
        <v>260</v>
      </c>
      <c r="C226" t="s">
        <v>212</v>
      </c>
      <c r="D226" s="50">
        <v>46023</v>
      </c>
      <c r="E226" s="2">
        <v>0.73599999999999999</v>
      </c>
      <c r="F226" s="2">
        <v>0.76100000000000001</v>
      </c>
      <c r="G226" t="s">
        <v>373</v>
      </c>
      <c r="H226" t="s">
        <v>373</v>
      </c>
      <c r="I226" s="2">
        <v>1</v>
      </c>
      <c r="J226" s="2">
        <v>0.66700000000000004</v>
      </c>
      <c r="K226" s="2">
        <v>0</v>
      </c>
      <c r="L226" s="2">
        <v>0.66700000000000004</v>
      </c>
      <c r="M226" s="51">
        <v>1622</v>
      </c>
      <c r="N226" s="51">
        <v>2198</v>
      </c>
      <c r="P226" s="51">
        <v>2198</v>
      </c>
      <c r="Q226" s="51">
        <v>68131</v>
      </c>
      <c r="R226" s="51">
        <v>134628</v>
      </c>
      <c r="T226" s="51">
        <v>134628</v>
      </c>
      <c r="U226" s="2">
        <v>2.4E-2</v>
      </c>
      <c r="V226" s="2">
        <v>1.6E-2</v>
      </c>
      <c r="W226" t="s">
        <v>373</v>
      </c>
      <c r="X226" t="s">
        <v>373</v>
      </c>
      <c r="Y226">
        <v>370.28</v>
      </c>
      <c r="Z226">
        <v>375.13</v>
      </c>
      <c r="AB226" s="2">
        <v>1</v>
      </c>
      <c r="AC226">
        <v>229.38</v>
      </c>
      <c r="AD226">
        <v>241.04</v>
      </c>
      <c r="AF226" s="2">
        <v>1</v>
      </c>
      <c r="AJ226" t="s">
        <v>373</v>
      </c>
      <c r="AN226" t="s">
        <v>373</v>
      </c>
      <c r="AR226" t="s">
        <v>373</v>
      </c>
      <c r="AS226" t="s">
        <v>10</v>
      </c>
      <c r="AT226" t="str">
        <f t="shared" si="3"/>
        <v>Princeton - 117HC</v>
      </c>
    </row>
    <row r="227" spans="1:46" x14ac:dyDescent="0.25">
      <c r="A227" t="s">
        <v>316</v>
      </c>
      <c r="B227" t="s">
        <v>260</v>
      </c>
      <c r="C227" t="s">
        <v>212</v>
      </c>
      <c r="D227" s="50">
        <v>46054</v>
      </c>
      <c r="E227" s="2">
        <v>0.78900000000000003</v>
      </c>
      <c r="F227" s="2">
        <v>0.76100000000000001</v>
      </c>
      <c r="G227" t="s">
        <v>373</v>
      </c>
      <c r="H227" t="s">
        <v>373</v>
      </c>
      <c r="I227" s="2">
        <v>0</v>
      </c>
      <c r="J227" s="2">
        <v>0.66700000000000004</v>
      </c>
      <c r="K227" s="2">
        <v>0</v>
      </c>
      <c r="L227" s="2">
        <v>0.66700000000000004</v>
      </c>
      <c r="M227" s="51">
        <v>576</v>
      </c>
      <c r="N227" s="51">
        <v>2198</v>
      </c>
      <c r="P227" s="51">
        <v>2198</v>
      </c>
      <c r="Q227" s="51">
        <v>66497</v>
      </c>
      <c r="R227" s="51">
        <v>134628</v>
      </c>
      <c r="T227" s="51">
        <v>134628</v>
      </c>
      <c r="U227" s="2">
        <v>8.9999999999999993E-3</v>
      </c>
      <c r="V227" s="2">
        <v>1.6E-2</v>
      </c>
      <c r="W227" t="s">
        <v>373</v>
      </c>
      <c r="X227" t="s">
        <v>373</v>
      </c>
      <c r="Y227">
        <v>379.98</v>
      </c>
      <c r="Z227">
        <v>375.13</v>
      </c>
      <c r="AB227" s="2">
        <v>1</v>
      </c>
      <c r="AC227">
        <v>252.71</v>
      </c>
      <c r="AD227">
        <v>241.04</v>
      </c>
      <c r="AF227" s="2">
        <v>1</v>
      </c>
      <c r="AJ227" t="s">
        <v>373</v>
      </c>
      <c r="AN227" t="s">
        <v>373</v>
      </c>
      <c r="AR227" t="s">
        <v>373</v>
      </c>
      <c r="AS227" t="s">
        <v>10</v>
      </c>
      <c r="AT227" t="str">
        <f t="shared" si="3"/>
        <v>Princeton - 117HC</v>
      </c>
    </row>
    <row r="228" spans="1:46" x14ac:dyDescent="0.25">
      <c r="A228" t="s">
        <v>316</v>
      </c>
      <c r="B228" t="s">
        <v>260</v>
      </c>
      <c r="C228" t="s">
        <v>228</v>
      </c>
      <c r="D228" s="50">
        <v>46023</v>
      </c>
      <c r="E228" s="2">
        <v>0.82</v>
      </c>
      <c r="F228" s="2">
        <v>0.84899999999999998</v>
      </c>
      <c r="G228" t="s">
        <v>373</v>
      </c>
      <c r="H228" t="s">
        <v>373</v>
      </c>
      <c r="I228" s="2">
        <v>0</v>
      </c>
      <c r="J228" s="2">
        <v>0</v>
      </c>
      <c r="K228" s="2">
        <v>0</v>
      </c>
      <c r="L228" s="2">
        <v>0</v>
      </c>
      <c r="M228" s="51">
        <v>230</v>
      </c>
      <c r="N228" s="51">
        <v>330</v>
      </c>
      <c r="P228" s="51">
        <v>330</v>
      </c>
      <c r="Q228" s="51">
        <v>193059</v>
      </c>
      <c r="R228" s="51">
        <v>338607</v>
      </c>
      <c r="T228" s="51">
        <v>338607</v>
      </c>
      <c r="U228" s="2">
        <v>1E-3</v>
      </c>
      <c r="V228" s="2">
        <v>1E-3</v>
      </c>
      <c r="W228" t="s">
        <v>373</v>
      </c>
      <c r="X228" t="s">
        <v>373</v>
      </c>
      <c r="Y228">
        <v>380.79</v>
      </c>
      <c r="Z228">
        <v>389.77</v>
      </c>
      <c r="AB228" s="2">
        <v>1</v>
      </c>
      <c r="AC228">
        <v>211.5</v>
      </c>
      <c r="AD228">
        <v>220.46</v>
      </c>
      <c r="AF228" s="2">
        <v>1</v>
      </c>
      <c r="AJ228" t="s">
        <v>373</v>
      </c>
      <c r="AN228" t="s">
        <v>373</v>
      </c>
      <c r="AO228">
        <v>74.77</v>
      </c>
      <c r="AP228">
        <v>83.79</v>
      </c>
      <c r="AR228" s="2">
        <v>1</v>
      </c>
      <c r="AS228" t="s">
        <v>10</v>
      </c>
      <c r="AT228" t="str">
        <f t="shared" si="3"/>
        <v>Tell City - 103HC</v>
      </c>
    </row>
    <row r="229" spans="1:46" x14ac:dyDescent="0.25">
      <c r="A229" t="s">
        <v>316</v>
      </c>
      <c r="B229" t="s">
        <v>260</v>
      </c>
      <c r="C229" t="s">
        <v>228</v>
      </c>
      <c r="D229" s="50">
        <v>46054</v>
      </c>
      <c r="E229" s="2">
        <v>0.88</v>
      </c>
      <c r="F229" s="2">
        <v>0.84899999999999998</v>
      </c>
      <c r="G229" t="s">
        <v>373</v>
      </c>
      <c r="H229" t="s">
        <v>373</v>
      </c>
      <c r="I229" s="2">
        <v>0</v>
      </c>
      <c r="J229" s="2">
        <v>0</v>
      </c>
      <c r="K229" s="2">
        <v>0</v>
      </c>
      <c r="L229" s="2">
        <v>0</v>
      </c>
      <c r="M229" s="51">
        <v>100</v>
      </c>
      <c r="N229" s="51">
        <v>330</v>
      </c>
      <c r="P229" s="51">
        <v>330</v>
      </c>
      <c r="Q229" s="51">
        <v>145548</v>
      </c>
      <c r="R229" s="51">
        <v>338607</v>
      </c>
      <c r="T229" s="51">
        <v>338607</v>
      </c>
      <c r="U229" s="2">
        <v>1E-3</v>
      </c>
      <c r="V229" s="2">
        <v>1E-3</v>
      </c>
      <c r="W229" t="s">
        <v>373</v>
      </c>
      <c r="X229" t="s">
        <v>373</v>
      </c>
      <c r="Y229">
        <v>398.76</v>
      </c>
      <c r="Z229">
        <v>389.77</v>
      </c>
      <c r="AB229" s="2">
        <v>1</v>
      </c>
      <c r="AC229">
        <v>229.42</v>
      </c>
      <c r="AD229">
        <v>220.46</v>
      </c>
      <c r="AF229" s="2">
        <v>1</v>
      </c>
      <c r="AJ229" t="s">
        <v>373</v>
      </c>
      <c r="AN229" t="s">
        <v>373</v>
      </c>
      <c r="AO229">
        <v>92.82</v>
      </c>
      <c r="AP229">
        <v>83.79</v>
      </c>
      <c r="AR229" s="2">
        <v>1</v>
      </c>
      <c r="AS229" t="s">
        <v>10</v>
      </c>
      <c r="AT229" t="str">
        <f t="shared" si="3"/>
        <v>Tell City - 103HC</v>
      </c>
    </row>
    <row r="230" spans="1:46" x14ac:dyDescent="0.25">
      <c r="A230" t="s">
        <v>316</v>
      </c>
      <c r="B230" t="s">
        <v>260</v>
      </c>
      <c r="C230" t="s">
        <v>229</v>
      </c>
      <c r="D230" s="50">
        <v>46023</v>
      </c>
      <c r="E230" s="2">
        <v>0.89900000000000002</v>
      </c>
      <c r="F230" s="2">
        <v>0.85799999999999998</v>
      </c>
      <c r="G230" t="s">
        <v>373</v>
      </c>
      <c r="H230" t="s">
        <v>373</v>
      </c>
      <c r="I230" s="2">
        <v>0</v>
      </c>
      <c r="J230" s="2">
        <v>0</v>
      </c>
      <c r="K230" s="2">
        <v>0</v>
      </c>
      <c r="L230" s="2">
        <v>0</v>
      </c>
      <c r="M230" s="51">
        <v>2280</v>
      </c>
      <c r="N230" s="51">
        <v>2280</v>
      </c>
      <c r="P230" s="51">
        <v>2280</v>
      </c>
      <c r="Q230" s="51">
        <v>104526</v>
      </c>
      <c r="R230" s="51">
        <v>161381</v>
      </c>
      <c r="T230" s="51">
        <v>161381</v>
      </c>
      <c r="U230" s="2">
        <v>2.1999999999999999E-2</v>
      </c>
      <c r="V230" s="2">
        <v>1.4E-2</v>
      </c>
      <c r="W230" t="s">
        <v>373</v>
      </c>
      <c r="X230" t="s">
        <v>373</v>
      </c>
      <c r="Y230">
        <v>371.98</v>
      </c>
      <c r="Z230">
        <v>396.56</v>
      </c>
      <c r="AB230" s="2">
        <v>1</v>
      </c>
      <c r="AC230">
        <v>176.21</v>
      </c>
      <c r="AD230">
        <v>185.79</v>
      </c>
      <c r="AF230" s="2">
        <v>1</v>
      </c>
      <c r="AG230">
        <v>277.52</v>
      </c>
      <c r="AH230">
        <v>292.39</v>
      </c>
      <c r="AJ230" s="2">
        <v>1</v>
      </c>
      <c r="AN230" t="s">
        <v>373</v>
      </c>
      <c r="AO230">
        <v>96.04</v>
      </c>
      <c r="AP230">
        <v>102.04</v>
      </c>
      <c r="AR230" s="2">
        <v>1</v>
      </c>
      <c r="AS230" t="s">
        <v>10</v>
      </c>
      <c r="AT230" t="str">
        <f t="shared" si="3"/>
        <v>Terre Haute CC - 129HC</v>
      </c>
    </row>
    <row r="231" spans="1:46" x14ac:dyDescent="0.25">
      <c r="A231" t="s">
        <v>316</v>
      </c>
      <c r="B231" t="s">
        <v>260</v>
      </c>
      <c r="C231" t="s">
        <v>229</v>
      </c>
      <c r="D231" s="50">
        <v>46054</v>
      </c>
      <c r="E231" s="2">
        <v>0.81299999999999994</v>
      </c>
      <c r="F231" s="2">
        <v>0.85799999999999998</v>
      </c>
      <c r="G231" t="s">
        <v>373</v>
      </c>
      <c r="H231" t="s">
        <v>373</v>
      </c>
      <c r="I231" s="2">
        <v>0</v>
      </c>
      <c r="J231" s="2">
        <v>0</v>
      </c>
      <c r="K231" s="2">
        <v>0</v>
      </c>
      <c r="L231" s="2">
        <v>0</v>
      </c>
      <c r="M231" s="51">
        <v>0</v>
      </c>
      <c r="N231" s="51">
        <v>2280</v>
      </c>
      <c r="P231" s="51">
        <v>2280</v>
      </c>
      <c r="Q231" s="51">
        <v>56855</v>
      </c>
      <c r="R231" s="51">
        <v>161381</v>
      </c>
      <c r="T231" s="51">
        <v>161381</v>
      </c>
      <c r="U231" s="2">
        <v>0</v>
      </c>
      <c r="V231" s="2">
        <v>1.4E-2</v>
      </c>
      <c r="W231" t="s">
        <v>373</v>
      </c>
      <c r="X231" t="s">
        <v>373</v>
      </c>
      <c r="Y231">
        <v>421.15</v>
      </c>
      <c r="Z231">
        <v>396.56</v>
      </c>
      <c r="AB231" s="2">
        <v>1</v>
      </c>
      <c r="AC231">
        <v>195.37</v>
      </c>
      <c r="AD231">
        <v>185.79</v>
      </c>
      <c r="AF231" s="2">
        <v>1</v>
      </c>
      <c r="AG231">
        <v>307.26</v>
      </c>
      <c r="AH231">
        <v>292.39</v>
      </c>
      <c r="AJ231" s="2">
        <v>1</v>
      </c>
      <c r="AN231" t="s">
        <v>373</v>
      </c>
      <c r="AO231">
        <v>108.03</v>
      </c>
      <c r="AP231">
        <v>102.04</v>
      </c>
      <c r="AR231" s="2">
        <v>1</v>
      </c>
      <c r="AS231" t="s">
        <v>10</v>
      </c>
      <c r="AT231" t="str">
        <f t="shared" si="3"/>
        <v>Terre Haute CC - 129HC</v>
      </c>
    </row>
    <row r="232" spans="1:46" x14ac:dyDescent="0.25">
      <c r="A232" t="s">
        <v>316</v>
      </c>
      <c r="B232" t="s">
        <v>260</v>
      </c>
      <c r="C232" t="s">
        <v>230</v>
      </c>
      <c r="D232" s="50">
        <v>46023</v>
      </c>
      <c r="E232" s="2">
        <v>0.91700000000000004</v>
      </c>
      <c r="F232" s="2">
        <v>0.92900000000000005</v>
      </c>
      <c r="G232" t="s">
        <v>373</v>
      </c>
      <c r="H232" t="s">
        <v>373</v>
      </c>
      <c r="I232" s="2">
        <v>0</v>
      </c>
      <c r="J232" s="2">
        <v>0</v>
      </c>
      <c r="K232" s="2">
        <v>0</v>
      </c>
      <c r="L232" s="2">
        <v>0</v>
      </c>
      <c r="M232" s="51">
        <v>0</v>
      </c>
      <c r="N232" s="51">
        <v>0</v>
      </c>
      <c r="P232" s="51">
        <v>0</v>
      </c>
      <c r="Q232" s="51">
        <v>108818</v>
      </c>
      <c r="R232" s="51">
        <v>212098</v>
      </c>
      <c r="T232" s="51">
        <v>212098</v>
      </c>
      <c r="U232" s="2">
        <v>0</v>
      </c>
      <c r="V232" s="2">
        <v>0</v>
      </c>
      <c r="W232" t="s">
        <v>373</v>
      </c>
      <c r="X232" t="s">
        <v>373</v>
      </c>
      <c r="Y232">
        <v>463.06</v>
      </c>
      <c r="Z232">
        <v>440.6</v>
      </c>
      <c r="AB232" s="2">
        <v>1</v>
      </c>
      <c r="AC232">
        <v>188.56</v>
      </c>
      <c r="AD232">
        <v>201.26</v>
      </c>
      <c r="AF232" s="2">
        <v>1</v>
      </c>
      <c r="AG232">
        <v>273.66000000000003</v>
      </c>
      <c r="AH232">
        <v>286.75</v>
      </c>
      <c r="AJ232" s="2">
        <v>1</v>
      </c>
      <c r="AN232" t="s">
        <v>373</v>
      </c>
      <c r="AR232" t="s">
        <v>373</v>
      </c>
      <c r="AS232" t="s">
        <v>10</v>
      </c>
      <c r="AT232" t="str">
        <f t="shared" si="3"/>
        <v>Terre Haute HC - 5163HC</v>
      </c>
    </row>
    <row r="233" spans="1:46" x14ac:dyDescent="0.25">
      <c r="A233" t="s">
        <v>316</v>
      </c>
      <c r="B233" t="s">
        <v>260</v>
      </c>
      <c r="C233" t="s">
        <v>230</v>
      </c>
      <c r="D233" s="50">
        <v>46054</v>
      </c>
      <c r="E233" s="2">
        <v>0.94199999999999995</v>
      </c>
      <c r="F233" s="2">
        <v>0.92900000000000005</v>
      </c>
      <c r="G233" t="s">
        <v>373</v>
      </c>
      <c r="H233" t="s">
        <v>373</v>
      </c>
      <c r="I233" s="2">
        <v>0</v>
      </c>
      <c r="J233" s="2">
        <v>0</v>
      </c>
      <c r="K233" s="2">
        <v>0</v>
      </c>
      <c r="L233" s="2">
        <v>0</v>
      </c>
      <c r="M233" s="51">
        <v>0</v>
      </c>
      <c r="N233" s="51">
        <v>0</v>
      </c>
      <c r="P233" s="51">
        <v>0</v>
      </c>
      <c r="Q233" s="51">
        <v>103280</v>
      </c>
      <c r="R233" s="51">
        <v>212098</v>
      </c>
      <c r="T233" s="51">
        <v>212098</v>
      </c>
      <c r="U233" s="2">
        <v>0</v>
      </c>
      <c r="V233" s="2">
        <v>0</v>
      </c>
      <c r="W233" t="s">
        <v>373</v>
      </c>
      <c r="X233" t="s">
        <v>373</v>
      </c>
      <c r="Y233">
        <v>418.14</v>
      </c>
      <c r="Z233">
        <v>440.6</v>
      </c>
      <c r="AB233" s="2">
        <v>1</v>
      </c>
      <c r="AC233">
        <v>213.96</v>
      </c>
      <c r="AD233">
        <v>201.26</v>
      </c>
      <c r="AF233" s="2">
        <v>1</v>
      </c>
      <c r="AG233">
        <v>299.85000000000002</v>
      </c>
      <c r="AH233">
        <v>286.75</v>
      </c>
      <c r="AJ233" s="2">
        <v>1</v>
      </c>
      <c r="AN233" t="s">
        <v>373</v>
      </c>
      <c r="AR233" t="s">
        <v>373</v>
      </c>
      <c r="AS233" t="s">
        <v>10</v>
      </c>
      <c r="AT233" t="str">
        <f t="shared" si="3"/>
        <v>Terre Haute HC - 5163HC</v>
      </c>
    </row>
    <row r="234" spans="1:46" x14ac:dyDescent="0.25">
      <c r="A234" t="s">
        <v>316</v>
      </c>
      <c r="B234" t="s">
        <v>260</v>
      </c>
      <c r="C234" t="s">
        <v>236</v>
      </c>
      <c r="D234" s="50">
        <v>46023</v>
      </c>
      <c r="E234" s="2">
        <v>0.86099999999999999</v>
      </c>
      <c r="F234" s="2">
        <v>0.86099999999999999</v>
      </c>
      <c r="G234" t="s">
        <v>373</v>
      </c>
      <c r="H234" t="s">
        <v>373</v>
      </c>
      <c r="I234" s="2">
        <v>0</v>
      </c>
      <c r="J234" s="2">
        <v>0</v>
      </c>
      <c r="K234" s="2">
        <v>0</v>
      </c>
      <c r="L234" s="2">
        <v>0</v>
      </c>
      <c r="M234" s="51">
        <v>-3215</v>
      </c>
      <c r="N234" s="51">
        <v>-3215</v>
      </c>
      <c r="P234" s="51">
        <v>-3215</v>
      </c>
      <c r="Q234" s="51">
        <v>144640</v>
      </c>
      <c r="R234" s="51">
        <v>247675</v>
      </c>
      <c r="T234" s="51">
        <v>247675</v>
      </c>
      <c r="U234" s="2">
        <v>-2.1999999999999999E-2</v>
      </c>
      <c r="V234" s="2">
        <v>-1.2999999999999999E-2</v>
      </c>
      <c r="W234" t="s">
        <v>373</v>
      </c>
      <c r="X234" t="s">
        <v>373</v>
      </c>
      <c r="Y234">
        <v>365.25</v>
      </c>
      <c r="Z234">
        <v>345.14</v>
      </c>
      <c r="AB234" s="2">
        <v>1</v>
      </c>
      <c r="AC234">
        <v>196.75</v>
      </c>
      <c r="AD234">
        <v>207.01</v>
      </c>
      <c r="AF234" s="2">
        <v>1</v>
      </c>
      <c r="AJ234" t="s">
        <v>373</v>
      </c>
      <c r="AN234" t="s">
        <v>373</v>
      </c>
      <c r="AR234" t="s">
        <v>373</v>
      </c>
      <c r="AS234" t="s">
        <v>10</v>
      </c>
      <c r="AT234" t="str">
        <f t="shared" si="3"/>
        <v>Vincennes - 131HC</v>
      </c>
    </row>
    <row r="235" spans="1:46" x14ac:dyDescent="0.25">
      <c r="A235" t="s">
        <v>316</v>
      </c>
      <c r="B235" t="s">
        <v>260</v>
      </c>
      <c r="C235" t="s">
        <v>236</v>
      </c>
      <c r="D235" s="50">
        <v>46054</v>
      </c>
      <c r="E235" s="2">
        <v>0.86199999999999999</v>
      </c>
      <c r="F235" s="2">
        <v>0.86099999999999999</v>
      </c>
      <c r="G235" t="s">
        <v>373</v>
      </c>
      <c r="H235" t="s">
        <v>373</v>
      </c>
      <c r="I235" s="2">
        <v>0</v>
      </c>
      <c r="J235" s="2">
        <v>0</v>
      </c>
      <c r="K235" s="2">
        <v>0</v>
      </c>
      <c r="L235" s="2">
        <v>0</v>
      </c>
      <c r="M235" s="51">
        <v>0</v>
      </c>
      <c r="N235" s="51">
        <v>-3215</v>
      </c>
      <c r="P235" s="51">
        <v>-3215</v>
      </c>
      <c r="Q235" s="51">
        <v>103035</v>
      </c>
      <c r="R235" s="51">
        <v>247675</v>
      </c>
      <c r="T235" s="51">
        <v>247675</v>
      </c>
      <c r="U235" s="2">
        <v>0</v>
      </c>
      <c r="V235" s="2">
        <v>-1.2999999999999999E-2</v>
      </c>
      <c r="W235" t="s">
        <v>373</v>
      </c>
      <c r="X235" t="s">
        <v>373</v>
      </c>
      <c r="Y235">
        <v>325.02999999999997</v>
      </c>
      <c r="Z235">
        <v>345.14</v>
      </c>
      <c r="AB235" s="2">
        <v>1</v>
      </c>
      <c r="AC235">
        <v>217.26</v>
      </c>
      <c r="AD235">
        <v>207.01</v>
      </c>
      <c r="AF235" s="2">
        <v>1</v>
      </c>
      <c r="AJ235" t="s">
        <v>373</v>
      </c>
      <c r="AN235" t="s">
        <v>373</v>
      </c>
      <c r="AR235" t="s">
        <v>373</v>
      </c>
      <c r="AS235" t="s">
        <v>10</v>
      </c>
      <c r="AT235" t="str">
        <f t="shared" si="3"/>
        <v>Vincennes - 131HC</v>
      </c>
    </row>
    <row r="236" spans="1:46" x14ac:dyDescent="0.25">
      <c r="A236" t="s">
        <v>316</v>
      </c>
      <c r="B236" t="s">
        <v>260</v>
      </c>
      <c r="C236" t="s">
        <v>242</v>
      </c>
      <c r="D236" s="50">
        <v>46023</v>
      </c>
      <c r="E236" s="2">
        <v>0.89400000000000002</v>
      </c>
      <c r="F236" s="2">
        <v>0.877</v>
      </c>
      <c r="G236" t="s">
        <v>373</v>
      </c>
      <c r="H236" t="s">
        <v>373</v>
      </c>
      <c r="I236" s="2">
        <v>0</v>
      </c>
      <c r="J236" s="2">
        <v>0</v>
      </c>
      <c r="K236" s="2">
        <v>0</v>
      </c>
      <c r="L236" s="2">
        <v>0</v>
      </c>
      <c r="M236" s="51">
        <v>437</v>
      </c>
      <c r="N236" s="51">
        <v>-397</v>
      </c>
      <c r="P236" s="51">
        <v>-397</v>
      </c>
      <c r="Q236" s="51">
        <v>70713</v>
      </c>
      <c r="R236" s="51">
        <v>140592</v>
      </c>
      <c r="T236" s="51">
        <v>140592</v>
      </c>
      <c r="U236" s="2">
        <v>6.0000000000000001E-3</v>
      </c>
      <c r="V236" s="2">
        <v>-3.0000000000000001E-3</v>
      </c>
      <c r="W236" t="s">
        <v>373</v>
      </c>
      <c r="X236" t="s">
        <v>373</v>
      </c>
      <c r="Y236">
        <v>360.78</v>
      </c>
      <c r="Z236">
        <v>382.35</v>
      </c>
      <c r="AB236" s="2">
        <v>1</v>
      </c>
      <c r="AC236">
        <v>176.84</v>
      </c>
      <c r="AD236">
        <v>183.11</v>
      </c>
      <c r="AF236" s="2">
        <v>1</v>
      </c>
      <c r="AG236">
        <v>202.92</v>
      </c>
      <c r="AH236">
        <v>214.2</v>
      </c>
      <c r="AJ236" s="2">
        <v>1</v>
      </c>
      <c r="AN236" t="s">
        <v>373</v>
      </c>
      <c r="AO236">
        <v>85.99</v>
      </c>
      <c r="AP236">
        <v>90.6</v>
      </c>
      <c r="AR236" s="2">
        <v>1</v>
      </c>
      <c r="AS236" t="s">
        <v>10</v>
      </c>
      <c r="AT236" t="str">
        <f t="shared" si="3"/>
        <v>Washington - 305HC</v>
      </c>
    </row>
    <row r="237" spans="1:46" x14ac:dyDescent="0.25">
      <c r="A237" t="s">
        <v>316</v>
      </c>
      <c r="B237" t="s">
        <v>260</v>
      </c>
      <c r="C237" t="s">
        <v>242</v>
      </c>
      <c r="D237" s="50">
        <v>46054</v>
      </c>
      <c r="E237" s="2">
        <v>0.85799999999999998</v>
      </c>
      <c r="F237" s="2">
        <v>0.877</v>
      </c>
      <c r="G237" t="s">
        <v>373</v>
      </c>
      <c r="H237" t="s">
        <v>373</v>
      </c>
      <c r="I237" s="2">
        <v>0</v>
      </c>
      <c r="J237" s="2">
        <v>0</v>
      </c>
      <c r="K237" s="2">
        <v>0</v>
      </c>
      <c r="L237" s="2">
        <v>0</v>
      </c>
      <c r="M237" s="51">
        <v>-834</v>
      </c>
      <c r="N237" s="51">
        <v>-397</v>
      </c>
      <c r="P237" s="51">
        <v>-397</v>
      </c>
      <c r="Q237" s="51">
        <v>69879</v>
      </c>
      <c r="R237" s="51">
        <v>140592</v>
      </c>
      <c r="T237" s="51">
        <v>140592</v>
      </c>
      <c r="U237" s="2">
        <v>-1.2E-2</v>
      </c>
      <c r="V237" s="2">
        <v>-3.0000000000000001E-3</v>
      </c>
      <c r="W237" t="s">
        <v>373</v>
      </c>
      <c r="X237" t="s">
        <v>373</v>
      </c>
      <c r="Y237">
        <v>403.92</v>
      </c>
      <c r="Z237">
        <v>382.35</v>
      </c>
      <c r="AB237" s="2">
        <v>1</v>
      </c>
      <c r="AC237">
        <v>189.37</v>
      </c>
      <c r="AD237">
        <v>183.11</v>
      </c>
      <c r="AF237" s="2">
        <v>1</v>
      </c>
      <c r="AG237">
        <v>225.47</v>
      </c>
      <c r="AH237">
        <v>214.2</v>
      </c>
      <c r="AJ237" s="2">
        <v>1</v>
      </c>
      <c r="AN237" t="s">
        <v>373</v>
      </c>
      <c r="AO237">
        <v>95.2</v>
      </c>
      <c r="AP237">
        <v>90.6</v>
      </c>
      <c r="AR237" s="2">
        <v>1</v>
      </c>
      <c r="AS237" t="s">
        <v>10</v>
      </c>
      <c r="AT237" t="str">
        <f t="shared" si="3"/>
        <v>Washington - 305HC</v>
      </c>
    </row>
    <row r="238" spans="1:46" x14ac:dyDescent="0.25">
      <c r="A238" t="s">
        <v>316</v>
      </c>
      <c r="B238" t="s">
        <v>261</v>
      </c>
      <c r="C238" t="s">
        <v>66</v>
      </c>
      <c r="D238" s="50">
        <v>46023</v>
      </c>
      <c r="E238" s="2">
        <v>0.75900000000000001</v>
      </c>
      <c r="F238" s="2">
        <v>0.83699999999999997</v>
      </c>
      <c r="G238" t="s">
        <v>373</v>
      </c>
      <c r="H238" t="s">
        <v>373</v>
      </c>
      <c r="I238" s="2">
        <v>0</v>
      </c>
      <c r="J238" s="2">
        <v>0</v>
      </c>
      <c r="K238" s="2">
        <v>0</v>
      </c>
      <c r="L238" s="2">
        <v>0</v>
      </c>
      <c r="M238" s="51">
        <v>0</v>
      </c>
      <c r="N238" s="51">
        <v>0</v>
      </c>
      <c r="P238" s="51">
        <v>0</v>
      </c>
      <c r="Q238" s="51">
        <v>115887</v>
      </c>
      <c r="R238" s="51">
        <v>245307</v>
      </c>
      <c r="T238" s="51">
        <v>245307</v>
      </c>
      <c r="U238" s="2">
        <v>0</v>
      </c>
      <c r="V238" s="2">
        <v>0</v>
      </c>
      <c r="W238" t="s">
        <v>373</v>
      </c>
      <c r="X238" t="s">
        <v>373</v>
      </c>
      <c r="Y238">
        <v>480.86</v>
      </c>
      <c r="Z238">
        <v>489.31</v>
      </c>
      <c r="AB238" s="2">
        <v>1</v>
      </c>
      <c r="AC238">
        <v>203.25</v>
      </c>
      <c r="AD238">
        <v>212.75</v>
      </c>
      <c r="AF238" s="2">
        <v>1</v>
      </c>
      <c r="AG238">
        <v>260.57</v>
      </c>
      <c r="AH238">
        <v>273.7</v>
      </c>
      <c r="AJ238" s="2">
        <v>1</v>
      </c>
      <c r="AN238" t="s">
        <v>373</v>
      </c>
      <c r="AO238">
        <v>107.19</v>
      </c>
      <c r="AP238">
        <v>112.93</v>
      </c>
      <c r="AR238" s="2">
        <v>1</v>
      </c>
      <c r="AS238" t="s">
        <v>10</v>
      </c>
      <c r="AT238" t="str">
        <f t="shared" si="3"/>
        <v>Colerain - 412HC</v>
      </c>
    </row>
    <row r="239" spans="1:46" x14ac:dyDescent="0.25">
      <c r="A239" t="s">
        <v>316</v>
      </c>
      <c r="B239" t="s">
        <v>261</v>
      </c>
      <c r="C239" t="s">
        <v>66</v>
      </c>
      <c r="D239" s="50">
        <v>46054</v>
      </c>
      <c r="E239" s="2">
        <v>0.92300000000000004</v>
      </c>
      <c r="F239" s="2">
        <v>0.83699999999999997</v>
      </c>
      <c r="G239" t="s">
        <v>373</v>
      </c>
      <c r="H239" t="s">
        <v>373</v>
      </c>
      <c r="I239" s="2">
        <v>0</v>
      </c>
      <c r="J239" s="2">
        <v>0</v>
      </c>
      <c r="K239" s="2">
        <v>0</v>
      </c>
      <c r="L239" s="2">
        <v>0</v>
      </c>
      <c r="M239" s="51">
        <v>0</v>
      </c>
      <c r="N239" s="51">
        <v>0</v>
      </c>
      <c r="P239" s="51">
        <v>0</v>
      </c>
      <c r="Q239" s="51">
        <v>129420</v>
      </c>
      <c r="R239" s="51">
        <v>245307</v>
      </c>
      <c r="T239" s="51">
        <v>245307</v>
      </c>
      <c r="U239" s="2">
        <v>0</v>
      </c>
      <c r="V239" s="2">
        <v>0</v>
      </c>
      <c r="W239" t="s">
        <v>373</v>
      </c>
      <c r="X239" t="s">
        <v>373</v>
      </c>
      <c r="Y239">
        <v>497.77</v>
      </c>
      <c r="Z239">
        <v>489.31</v>
      </c>
      <c r="AB239" s="2">
        <v>1</v>
      </c>
      <c r="AC239">
        <v>222.25</v>
      </c>
      <c r="AD239">
        <v>212.75</v>
      </c>
      <c r="AF239" s="2">
        <v>1</v>
      </c>
      <c r="AG239">
        <v>286.83999999999997</v>
      </c>
      <c r="AH239">
        <v>273.7</v>
      </c>
      <c r="AJ239" s="2">
        <v>1</v>
      </c>
      <c r="AN239" t="s">
        <v>373</v>
      </c>
      <c r="AO239">
        <v>118.67</v>
      </c>
      <c r="AP239">
        <v>112.93</v>
      </c>
      <c r="AR239" s="2">
        <v>1</v>
      </c>
      <c r="AS239" t="s">
        <v>10</v>
      </c>
      <c r="AT239" t="str">
        <f t="shared" si="3"/>
        <v>Colerain - 412HC</v>
      </c>
    </row>
    <row r="240" spans="1:46" x14ac:dyDescent="0.25">
      <c r="A240" t="s">
        <v>316</v>
      </c>
      <c r="B240" t="s">
        <v>261</v>
      </c>
      <c r="C240" t="s">
        <v>94</v>
      </c>
      <c r="D240" s="50">
        <v>46023</v>
      </c>
      <c r="E240" s="2">
        <v>0.96599999999999997</v>
      </c>
      <c r="F240" s="2">
        <v>0.96799999999999997</v>
      </c>
      <c r="G240" t="s">
        <v>373</v>
      </c>
      <c r="H240" t="s">
        <v>373</v>
      </c>
      <c r="I240" s="2">
        <v>0</v>
      </c>
      <c r="J240" s="2">
        <v>0</v>
      </c>
      <c r="K240" s="2">
        <v>0</v>
      </c>
      <c r="L240" s="2">
        <v>0</v>
      </c>
      <c r="M240" s="51">
        <v>0</v>
      </c>
      <c r="N240" s="51">
        <v>0</v>
      </c>
      <c r="P240" s="51">
        <v>0</v>
      </c>
      <c r="Q240" s="51">
        <v>208058</v>
      </c>
      <c r="R240" s="51">
        <v>432551</v>
      </c>
      <c r="T240" s="51">
        <v>432551</v>
      </c>
      <c r="U240" s="2">
        <v>0</v>
      </c>
      <c r="V240" s="2">
        <v>0</v>
      </c>
      <c r="W240" t="s">
        <v>373</v>
      </c>
      <c r="X240" t="s">
        <v>373</v>
      </c>
      <c r="Y240">
        <v>491.86</v>
      </c>
      <c r="Z240">
        <v>488.89</v>
      </c>
      <c r="AB240" s="2">
        <v>1</v>
      </c>
      <c r="AC240">
        <v>215.45</v>
      </c>
      <c r="AD240">
        <v>226.98</v>
      </c>
      <c r="AF240" s="2">
        <v>1</v>
      </c>
      <c r="AG240">
        <v>278.27999999999997</v>
      </c>
      <c r="AH240">
        <v>291.99</v>
      </c>
      <c r="AJ240" s="2">
        <v>1</v>
      </c>
      <c r="AN240" t="s">
        <v>373</v>
      </c>
      <c r="AO240">
        <v>101.96</v>
      </c>
      <c r="AP240">
        <v>107.4</v>
      </c>
      <c r="AR240" s="2">
        <v>1</v>
      </c>
      <c r="AS240" t="s">
        <v>10</v>
      </c>
      <c r="AT240" t="str">
        <f t="shared" si="3"/>
        <v>Englewood - 416HC</v>
      </c>
    </row>
    <row r="241" spans="1:46" x14ac:dyDescent="0.25">
      <c r="A241" t="s">
        <v>316</v>
      </c>
      <c r="B241" t="s">
        <v>261</v>
      </c>
      <c r="C241" t="s">
        <v>94</v>
      </c>
      <c r="D241" s="50">
        <v>46054</v>
      </c>
      <c r="E241" s="2">
        <v>0.96899999999999997</v>
      </c>
      <c r="F241" s="2">
        <v>0.96799999999999997</v>
      </c>
      <c r="G241" t="s">
        <v>373</v>
      </c>
      <c r="H241" t="s">
        <v>373</v>
      </c>
      <c r="I241" s="2">
        <v>0</v>
      </c>
      <c r="J241" s="2">
        <v>0</v>
      </c>
      <c r="K241" s="2">
        <v>0</v>
      </c>
      <c r="L241" s="2">
        <v>0</v>
      </c>
      <c r="M241" s="51">
        <v>0</v>
      </c>
      <c r="N241" s="51">
        <v>0</v>
      </c>
      <c r="P241" s="51">
        <v>0</v>
      </c>
      <c r="Q241" s="51">
        <v>224493</v>
      </c>
      <c r="R241" s="51">
        <v>432551</v>
      </c>
      <c r="T241" s="51">
        <v>432551</v>
      </c>
      <c r="U241" s="2">
        <v>0</v>
      </c>
      <c r="V241" s="2">
        <v>0</v>
      </c>
      <c r="W241" t="s">
        <v>373</v>
      </c>
      <c r="X241" t="s">
        <v>373</v>
      </c>
      <c r="Y241">
        <v>485.92</v>
      </c>
      <c r="Z241">
        <v>488.89</v>
      </c>
      <c r="AB241" s="2">
        <v>1</v>
      </c>
      <c r="AC241">
        <v>238.52</v>
      </c>
      <c r="AD241">
        <v>226.98</v>
      </c>
      <c r="AF241" s="2">
        <v>1</v>
      </c>
      <c r="AG241">
        <v>305.69</v>
      </c>
      <c r="AH241">
        <v>291.99</v>
      </c>
      <c r="AJ241" s="2">
        <v>1</v>
      </c>
      <c r="AN241" t="s">
        <v>373</v>
      </c>
      <c r="AO241">
        <v>112.85</v>
      </c>
      <c r="AP241">
        <v>107.4</v>
      </c>
      <c r="AR241" s="2">
        <v>1</v>
      </c>
      <c r="AS241" t="s">
        <v>10</v>
      </c>
      <c r="AT241" t="str">
        <f t="shared" si="3"/>
        <v>Englewood - 416HC</v>
      </c>
    </row>
    <row r="242" spans="1:46" x14ac:dyDescent="0.25">
      <c r="A242" t="s">
        <v>316</v>
      </c>
      <c r="B242" t="s">
        <v>261</v>
      </c>
      <c r="C242" t="s">
        <v>125</v>
      </c>
      <c r="D242" s="50">
        <v>46023</v>
      </c>
      <c r="E242" s="2">
        <v>0.97399999999999998</v>
      </c>
      <c r="F242" s="2">
        <v>0.95799999999999996</v>
      </c>
      <c r="G242" t="s">
        <v>373</v>
      </c>
      <c r="H242" t="s">
        <v>373</v>
      </c>
      <c r="I242" s="2">
        <v>0</v>
      </c>
      <c r="J242" s="2">
        <v>0</v>
      </c>
      <c r="K242" s="2">
        <v>0</v>
      </c>
      <c r="L242" s="2">
        <v>0</v>
      </c>
      <c r="M242" s="51">
        <v>0</v>
      </c>
      <c r="N242" s="51">
        <v>540</v>
      </c>
      <c r="P242" s="51">
        <v>540</v>
      </c>
      <c r="Q242" s="51">
        <v>174157</v>
      </c>
      <c r="R242" s="51">
        <v>344648</v>
      </c>
      <c r="T242" s="51">
        <v>344648</v>
      </c>
      <c r="U242" s="2">
        <v>0</v>
      </c>
      <c r="V242" s="2">
        <v>2E-3</v>
      </c>
      <c r="W242" t="s">
        <v>373</v>
      </c>
      <c r="X242" t="s">
        <v>373</v>
      </c>
      <c r="Y242">
        <v>454.72</v>
      </c>
      <c r="Z242">
        <v>453.47</v>
      </c>
      <c r="AB242" s="2">
        <v>1</v>
      </c>
      <c r="AC242">
        <v>193.87</v>
      </c>
      <c r="AD242">
        <v>205.12</v>
      </c>
      <c r="AF242" s="2">
        <v>1</v>
      </c>
      <c r="AG242">
        <v>231.01</v>
      </c>
      <c r="AH242">
        <v>243.38</v>
      </c>
      <c r="AJ242" s="2">
        <v>1</v>
      </c>
      <c r="AN242" t="s">
        <v>373</v>
      </c>
      <c r="AR242" t="s">
        <v>373</v>
      </c>
      <c r="AS242" t="s">
        <v>10</v>
      </c>
      <c r="AT242" t="str">
        <f t="shared" si="3"/>
        <v>Hamilton - 439HC</v>
      </c>
    </row>
    <row r="243" spans="1:46" x14ac:dyDescent="0.25">
      <c r="A243" t="s">
        <v>316</v>
      </c>
      <c r="B243" t="s">
        <v>261</v>
      </c>
      <c r="C243" t="s">
        <v>125</v>
      </c>
      <c r="D243" s="50">
        <v>46054</v>
      </c>
      <c r="E243" s="2">
        <v>0.93899999999999995</v>
      </c>
      <c r="F243" s="2">
        <v>0.95799999999999996</v>
      </c>
      <c r="G243" t="s">
        <v>373</v>
      </c>
      <c r="H243" t="s">
        <v>373</v>
      </c>
      <c r="I243" s="2">
        <v>0</v>
      </c>
      <c r="J243" s="2">
        <v>0</v>
      </c>
      <c r="K243" s="2">
        <v>0</v>
      </c>
      <c r="L243" s="2">
        <v>0</v>
      </c>
      <c r="M243" s="51">
        <v>540</v>
      </c>
      <c r="N243" s="51">
        <v>540</v>
      </c>
      <c r="P243" s="51">
        <v>540</v>
      </c>
      <c r="Q243" s="51">
        <v>170491</v>
      </c>
      <c r="R243" s="51">
        <v>344648</v>
      </c>
      <c r="T243" s="51">
        <v>344648</v>
      </c>
      <c r="U243" s="2">
        <v>3.0000000000000001E-3</v>
      </c>
      <c r="V243" s="2">
        <v>2E-3</v>
      </c>
      <c r="W243" t="s">
        <v>373</v>
      </c>
      <c r="X243" t="s">
        <v>373</v>
      </c>
      <c r="Y243">
        <v>452.23</v>
      </c>
      <c r="Z243">
        <v>453.47</v>
      </c>
      <c r="AB243" s="2">
        <v>1</v>
      </c>
      <c r="AC243">
        <v>216.36</v>
      </c>
      <c r="AD243">
        <v>205.12</v>
      </c>
      <c r="AF243" s="2">
        <v>1</v>
      </c>
      <c r="AG243">
        <v>255.76</v>
      </c>
      <c r="AH243">
        <v>243.38</v>
      </c>
      <c r="AJ243" s="2">
        <v>1</v>
      </c>
      <c r="AN243" t="s">
        <v>373</v>
      </c>
      <c r="AR243" t="s">
        <v>373</v>
      </c>
      <c r="AS243" t="s">
        <v>10</v>
      </c>
      <c r="AT243" t="str">
        <f t="shared" si="3"/>
        <v>Hamilton - 439HC</v>
      </c>
    </row>
    <row r="244" spans="1:46" x14ac:dyDescent="0.25">
      <c r="A244" t="s">
        <v>316</v>
      </c>
      <c r="B244" t="s">
        <v>261</v>
      </c>
      <c r="C244" t="s">
        <v>127</v>
      </c>
      <c r="D244" s="50">
        <v>46023</v>
      </c>
      <c r="E244" s="2">
        <v>0.95499999999999996</v>
      </c>
      <c r="F244" s="2">
        <v>0.95</v>
      </c>
      <c r="G244" t="s">
        <v>373</v>
      </c>
      <c r="H244" t="s">
        <v>373</v>
      </c>
      <c r="I244" s="2">
        <v>0</v>
      </c>
      <c r="J244" s="2">
        <v>0</v>
      </c>
      <c r="K244" s="2">
        <v>0</v>
      </c>
      <c r="L244" s="2">
        <v>0</v>
      </c>
      <c r="M244" s="51">
        <v>0</v>
      </c>
      <c r="N244" s="51">
        <v>0</v>
      </c>
      <c r="P244" s="51">
        <v>0</v>
      </c>
      <c r="Q244" s="51">
        <v>220571</v>
      </c>
      <c r="R244" s="51">
        <v>451236</v>
      </c>
      <c r="T244" s="51">
        <v>451236</v>
      </c>
      <c r="U244" s="2">
        <v>0</v>
      </c>
      <c r="V244" s="2">
        <v>0</v>
      </c>
      <c r="W244" t="s">
        <v>373</v>
      </c>
      <c r="X244" t="s">
        <v>373</v>
      </c>
      <c r="Y244">
        <v>460.48</v>
      </c>
      <c r="Z244">
        <v>463.71</v>
      </c>
      <c r="AB244" s="2">
        <v>1</v>
      </c>
      <c r="AC244">
        <v>223.29</v>
      </c>
      <c r="AD244">
        <v>235.29</v>
      </c>
      <c r="AF244" s="2">
        <v>1</v>
      </c>
      <c r="AG244">
        <v>258.3</v>
      </c>
      <c r="AH244">
        <v>271.93</v>
      </c>
      <c r="AJ244" s="2">
        <v>1</v>
      </c>
      <c r="AK244">
        <v>149.29</v>
      </c>
      <c r="AL244">
        <v>157.54</v>
      </c>
      <c r="AN244" s="2">
        <v>1</v>
      </c>
      <c r="AR244" t="s">
        <v>373</v>
      </c>
      <c r="AS244" t="s">
        <v>10</v>
      </c>
      <c r="AT244" t="str">
        <f t="shared" si="3"/>
        <v>Harrison - 442HC</v>
      </c>
    </row>
    <row r="245" spans="1:46" x14ac:dyDescent="0.25">
      <c r="A245" t="s">
        <v>316</v>
      </c>
      <c r="B245" t="s">
        <v>261</v>
      </c>
      <c r="C245" t="s">
        <v>127</v>
      </c>
      <c r="D245" s="50">
        <v>46054</v>
      </c>
      <c r="E245" s="2">
        <v>0.94399999999999995</v>
      </c>
      <c r="F245" s="2">
        <v>0.95</v>
      </c>
      <c r="G245" t="s">
        <v>373</v>
      </c>
      <c r="H245" t="s">
        <v>373</v>
      </c>
      <c r="I245" s="2">
        <v>0</v>
      </c>
      <c r="J245" s="2">
        <v>0</v>
      </c>
      <c r="K245" s="2">
        <v>0</v>
      </c>
      <c r="L245" s="2">
        <v>0</v>
      </c>
      <c r="M245" s="51">
        <v>0</v>
      </c>
      <c r="N245" s="51">
        <v>0</v>
      </c>
      <c r="P245" s="51">
        <v>0</v>
      </c>
      <c r="Q245" s="51">
        <v>230665</v>
      </c>
      <c r="R245" s="51">
        <v>451236</v>
      </c>
      <c r="T245" s="51">
        <v>451236</v>
      </c>
      <c r="U245" s="2">
        <v>0</v>
      </c>
      <c r="V245" s="2">
        <v>0</v>
      </c>
      <c r="W245" t="s">
        <v>373</v>
      </c>
      <c r="X245" t="s">
        <v>373</v>
      </c>
      <c r="Y245">
        <v>466.93</v>
      </c>
      <c r="Z245">
        <v>463.71</v>
      </c>
      <c r="AB245" s="2">
        <v>1</v>
      </c>
      <c r="AC245">
        <v>247.29</v>
      </c>
      <c r="AD245">
        <v>235.29</v>
      </c>
      <c r="AF245" s="2">
        <v>1</v>
      </c>
      <c r="AG245">
        <v>285.56</v>
      </c>
      <c r="AH245">
        <v>271.93</v>
      </c>
      <c r="AJ245" s="2">
        <v>1</v>
      </c>
      <c r="AK245">
        <v>165.79</v>
      </c>
      <c r="AL245">
        <v>157.54</v>
      </c>
      <c r="AN245" s="2">
        <v>1</v>
      </c>
      <c r="AR245" t="s">
        <v>373</v>
      </c>
      <c r="AS245" t="s">
        <v>10</v>
      </c>
      <c r="AT245" t="str">
        <f t="shared" si="3"/>
        <v>Harrison - 442HC</v>
      </c>
    </row>
    <row r="246" spans="1:46" x14ac:dyDescent="0.25">
      <c r="A246" t="s">
        <v>316</v>
      </c>
      <c r="B246" t="s">
        <v>261</v>
      </c>
      <c r="C246" t="s">
        <v>161</v>
      </c>
      <c r="D246" s="50">
        <v>46023</v>
      </c>
      <c r="E246" s="2">
        <v>0.67100000000000004</v>
      </c>
      <c r="F246" s="2">
        <v>0.66300000000000003</v>
      </c>
      <c r="G246" t="s">
        <v>373</v>
      </c>
      <c r="H246" t="s">
        <v>373</v>
      </c>
      <c r="I246" s="2">
        <v>0</v>
      </c>
      <c r="J246" s="2">
        <v>0</v>
      </c>
      <c r="K246" s="2">
        <v>0</v>
      </c>
      <c r="L246" s="2">
        <v>0</v>
      </c>
      <c r="M246" s="51">
        <v>120</v>
      </c>
      <c r="N246" s="51">
        <v>120</v>
      </c>
      <c r="P246" s="51">
        <v>120</v>
      </c>
      <c r="Q246" s="51">
        <v>53667</v>
      </c>
      <c r="R246" s="51">
        <v>129723</v>
      </c>
      <c r="T246" s="51">
        <v>129723</v>
      </c>
      <c r="U246" s="2">
        <v>2E-3</v>
      </c>
      <c r="V246" s="2">
        <v>1E-3</v>
      </c>
      <c r="W246" t="s">
        <v>373</v>
      </c>
      <c r="X246" t="s">
        <v>373</v>
      </c>
      <c r="Y246" s="52">
        <v>1118.07</v>
      </c>
      <c r="Z246">
        <v>790.91</v>
      </c>
      <c r="AB246" s="2">
        <v>1</v>
      </c>
      <c r="AC246">
        <v>197.7</v>
      </c>
      <c r="AD246">
        <v>208.6</v>
      </c>
      <c r="AF246" s="2">
        <v>1</v>
      </c>
      <c r="AG246">
        <v>230.13</v>
      </c>
      <c r="AH246">
        <v>242.75</v>
      </c>
      <c r="AJ246" s="2">
        <v>1</v>
      </c>
      <c r="AK246">
        <v>121.7</v>
      </c>
      <c r="AL246">
        <v>128.59</v>
      </c>
      <c r="AN246" s="2">
        <v>1</v>
      </c>
      <c r="AR246" t="s">
        <v>373</v>
      </c>
      <c r="AS246" t="s">
        <v>10</v>
      </c>
      <c r="AT246" t="str">
        <f t="shared" si="3"/>
        <v>Liberty Township - 441HC</v>
      </c>
    </row>
    <row r="247" spans="1:46" x14ac:dyDescent="0.25">
      <c r="A247" t="s">
        <v>316</v>
      </c>
      <c r="B247" t="s">
        <v>261</v>
      </c>
      <c r="C247" t="s">
        <v>161</v>
      </c>
      <c r="D247" s="50">
        <v>46054</v>
      </c>
      <c r="E247" s="2">
        <v>0.65500000000000003</v>
      </c>
      <c r="F247" s="2">
        <v>0.66300000000000003</v>
      </c>
      <c r="G247" t="s">
        <v>373</v>
      </c>
      <c r="H247" t="s">
        <v>373</v>
      </c>
      <c r="I247" s="2">
        <v>0</v>
      </c>
      <c r="J247" s="2">
        <v>0</v>
      </c>
      <c r="K247" s="2">
        <v>0</v>
      </c>
      <c r="L247" s="2">
        <v>0</v>
      </c>
      <c r="M247" s="51">
        <v>0</v>
      </c>
      <c r="N247" s="51">
        <v>120</v>
      </c>
      <c r="P247" s="51">
        <v>120</v>
      </c>
      <c r="Q247" s="51">
        <v>76056</v>
      </c>
      <c r="R247" s="51">
        <v>129723</v>
      </c>
      <c r="T247" s="51">
        <v>129723</v>
      </c>
      <c r="U247" s="2">
        <v>0</v>
      </c>
      <c r="V247" s="2">
        <v>1E-3</v>
      </c>
      <c r="W247" t="s">
        <v>373</v>
      </c>
      <c r="X247" t="s">
        <v>373</v>
      </c>
      <c r="Y247">
        <v>463.76</v>
      </c>
      <c r="Z247">
        <v>790.91</v>
      </c>
      <c r="AB247" s="2">
        <v>1</v>
      </c>
      <c r="AC247">
        <v>219.49</v>
      </c>
      <c r="AD247">
        <v>208.6</v>
      </c>
      <c r="AF247" s="2">
        <v>1</v>
      </c>
      <c r="AG247">
        <v>255.37</v>
      </c>
      <c r="AH247">
        <v>242.75</v>
      </c>
      <c r="AJ247" s="2">
        <v>1</v>
      </c>
      <c r="AK247">
        <v>135.47999999999999</v>
      </c>
      <c r="AL247">
        <v>128.59</v>
      </c>
      <c r="AN247" s="2">
        <v>1</v>
      </c>
      <c r="AR247" t="s">
        <v>373</v>
      </c>
      <c r="AS247" t="s">
        <v>10</v>
      </c>
      <c r="AT247" t="str">
        <f t="shared" si="3"/>
        <v>Liberty Township - 441HC</v>
      </c>
    </row>
    <row r="248" spans="1:46" x14ac:dyDescent="0.25">
      <c r="A248" t="s">
        <v>316</v>
      </c>
      <c r="B248" t="s">
        <v>261</v>
      </c>
      <c r="C248" t="s">
        <v>184</v>
      </c>
      <c r="D248" s="50">
        <v>46023</v>
      </c>
      <c r="E248" s="2">
        <v>0.97899999999999998</v>
      </c>
      <c r="F248" s="2">
        <v>0.96599999999999997</v>
      </c>
      <c r="G248" t="s">
        <v>373</v>
      </c>
      <c r="H248" t="s">
        <v>373</v>
      </c>
      <c r="I248" s="2">
        <v>0</v>
      </c>
      <c r="J248" s="2">
        <v>0</v>
      </c>
      <c r="K248" s="2">
        <v>0</v>
      </c>
      <c r="L248" s="2">
        <v>0</v>
      </c>
      <c r="M248" s="51">
        <v>0</v>
      </c>
      <c r="N248" s="51">
        <v>0</v>
      </c>
      <c r="P248" s="51">
        <v>0</v>
      </c>
      <c r="Q248" s="51">
        <v>243862</v>
      </c>
      <c r="R248" s="51">
        <v>439411</v>
      </c>
      <c r="T248" s="51">
        <v>439411</v>
      </c>
      <c r="U248" s="2">
        <v>0</v>
      </c>
      <c r="V248" s="2">
        <v>0</v>
      </c>
      <c r="W248" t="s">
        <v>373</v>
      </c>
      <c r="X248" t="s">
        <v>373</v>
      </c>
      <c r="Y248">
        <v>454.12</v>
      </c>
      <c r="Z248">
        <v>460.41</v>
      </c>
      <c r="AB248" s="2">
        <v>1</v>
      </c>
      <c r="AC248">
        <v>198.72</v>
      </c>
      <c r="AD248">
        <v>209.31</v>
      </c>
      <c r="AF248" s="2">
        <v>1</v>
      </c>
      <c r="AG248">
        <v>235.1</v>
      </c>
      <c r="AH248">
        <v>248.18</v>
      </c>
      <c r="AJ248" s="2">
        <v>1</v>
      </c>
      <c r="AK248">
        <v>100.27</v>
      </c>
      <c r="AL248">
        <v>105.12</v>
      </c>
      <c r="AN248" s="2">
        <v>1</v>
      </c>
      <c r="AR248" t="s">
        <v>373</v>
      </c>
      <c r="AS248" t="s">
        <v>10</v>
      </c>
      <c r="AT248" t="str">
        <f t="shared" si="3"/>
        <v>Miami Township - 440HC</v>
      </c>
    </row>
    <row r="249" spans="1:46" x14ac:dyDescent="0.25">
      <c r="A249" t="s">
        <v>316</v>
      </c>
      <c r="B249" t="s">
        <v>261</v>
      </c>
      <c r="C249" t="s">
        <v>184</v>
      </c>
      <c r="D249" s="50">
        <v>46054</v>
      </c>
      <c r="E249" s="2">
        <v>0.95199999999999996</v>
      </c>
      <c r="F249" s="2">
        <v>0.96599999999999997</v>
      </c>
      <c r="G249" t="s">
        <v>373</v>
      </c>
      <c r="H249" t="s">
        <v>373</v>
      </c>
      <c r="I249" s="2">
        <v>0</v>
      </c>
      <c r="J249" s="2">
        <v>0</v>
      </c>
      <c r="K249" s="2">
        <v>0</v>
      </c>
      <c r="L249" s="2">
        <v>0</v>
      </c>
      <c r="M249" s="51">
        <v>0</v>
      </c>
      <c r="N249" s="51">
        <v>0</v>
      </c>
      <c r="P249" s="51">
        <v>0</v>
      </c>
      <c r="Q249" s="51">
        <v>195549</v>
      </c>
      <c r="R249" s="51">
        <v>439411</v>
      </c>
      <c r="T249" s="51">
        <v>439411</v>
      </c>
      <c r="U249" s="2">
        <v>0</v>
      </c>
      <c r="V249" s="2">
        <v>0</v>
      </c>
      <c r="W249" t="s">
        <v>373</v>
      </c>
      <c r="X249" t="s">
        <v>373</v>
      </c>
      <c r="Y249">
        <v>466.7</v>
      </c>
      <c r="Z249">
        <v>460.41</v>
      </c>
      <c r="AB249" s="2">
        <v>1</v>
      </c>
      <c r="AC249">
        <v>219.9</v>
      </c>
      <c r="AD249">
        <v>209.31</v>
      </c>
      <c r="AF249" s="2">
        <v>1</v>
      </c>
      <c r="AG249">
        <v>261.27</v>
      </c>
      <c r="AH249">
        <v>248.18</v>
      </c>
      <c r="AJ249" s="2">
        <v>1</v>
      </c>
      <c r="AK249">
        <v>109.97</v>
      </c>
      <c r="AL249">
        <v>105.12</v>
      </c>
      <c r="AN249" s="2">
        <v>1</v>
      </c>
      <c r="AR249" t="s">
        <v>373</v>
      </c>
      <c r="AS249" t="s">
        <v>10</v>
      </c>
      <c r="AT249" t="str">
        <f t="shared" si="3"/>
        <v>Miami Township - 440HC</v>
      </c>
    </row>
    <row r="250" spans="1:46" x14ac:dyDescent="0.25">
      <c r="A250" t="s">
        <v>316</v>
      </c>
      <c r="B250" t="s">
        <v>261</v>
      </c>
      <c r="C250" t="s">
        <v>213</v>
      </c>
      <c r="D250" s="50">
        <v>46023</v>
      </c>
      <c r="E250" s="2">
        <v>0.94499999999999995</v>
      </c>
      <c r="F250" s="2">
        <v>0.95</v>
      </c>
      <c r="G250" t="s">
        <v>373</v>
      </c>
      <c r="H250" t="s">
        <v>373</v>
      </c>
      <c r="I250" s="2">
        <v>0</v>
      </c>
      <c r="J250" s="2">
        <v>0</v>
      </c>
      <c r="K250" s="2">
        <v>0</v>
      </c>
      <c r="L250" s="2">
        <v>0</v>
      </c>
      <c r="M250" s="51">
        <v>0</v>
      </c>
      <c r="N250" s="51">
        <v>0</v>
      </c>
      <c r="P250" s="51">
        <v>0</v>
      </c>
      <c r="Q250" s="51">
        <v>52452</v>
      </c>
      <c r="R250" s="51">
        <v>63181</v>
      </c>
      <c r="T250" s="51">
        <v>63181</v>
      </c>
      <c r="U250" s="2">
        <v>0</v>
      </c>
      <c r="V250" s="2">
        <v>0</v>
      </c>
      <c r="W250" t="s">
        <v>373</v>
      </c>
      <c r="X250" t="s">
        <v>373</v>
      </c>
      <c r="Y250">
        <v>423</v>
      </c>
      <c r="Z250">
        <v>747.95</v>
      </c>
      <c r="AB250" s="2">
        <v>1</v>
      </c>
      <c r="AC250">
        <v>184.56</v>
      </c>
      <c r="AD250">
        <v>189.62</v>
      </c>
      <c r="AF250" s="2">
        <v>1</v>
      </c>
      <c r="AG250">
        <v>233.82</v>
      </c>
      <c r="AH250">
        <v>245.02</v>
      </c>
      <c r="AJ250" s="2">
        <v>1</v>
      </c>
      <c r="AN250" t="s">
        <v>373</v>
      </c>
      <c r="AR250" t="s">
        <v>373</v>
      </c>
      <c r="AS250" t="s">
        <v>10</v>
      </c>
      <c r="AT250" t="str">
        <f t="shared" si="3"/>
        <v>Richmond FP - 123HC</v>
      </c>
    </row>
    <row r="251" spans="1:46" x14ac:dyDescent="0.25">
      <c r="A251" t="s">
        <v>316</v>
      </c>
      <c r="B251" t="s">
        <v>261</v>
      </c>
      <c r="C251" t="s">
        <v>213</v>
      </c>
      <c r="D251" s="50">
        <v>46054</v>
      </c>
      <c r="E251" s="2">
        <v>0.95599999999999996</v>
      </c>
      <c r="F251" s="2">
        <v>0.95</v>
      </c>
      <c r="G251" t="s">
        <v>373</v>
      </c>
      <c r="H251" t="s">
        <v>373</v>
      </c>
      <c r="I251" s="2">
        <v>0</v>
      </c>
      <c r="J251" s="2">
        <v>0</v>
      </c>
      <c r="K251" s="2">
        <v>0</v>
      </c>
      <c r="L251" s="2">
        <v>0</v>
      </c>
      <c r="M251" s="51">
        <v>0</v>
      </c>
      <c r="N251" s="51">
        <v>0</v>
      </c>
      <c r="P251" s="51">
        <v>0</v>
      </c>
      <c r="Q251" s="51">
        <v>10729</v>
      </c>
      <c r="R251" s="51">
        <v>63181</v>
      </c>
      <c r="T251" s="51">
        <v>63181</v>
      </c>
      <c r="U251" s="2">
        <v>0</v>
      </c>
      <c r="V251" s="2">
        <v>0</v>
      </c>
      <c r="W251" t="s">
        <v>373</v>
      </c>
      <c r="X251" t="s">
        <v>373</v>
      </c>
      <c r="Y251" s="52">
        <v>1072.9000000000001</v>
      </c>
      <c r="Z251">
        <v>747.95</v>
      </c>
      <c r="AB251" s="2">
        <v>1</v>
      </c>
      <c r="AC251">
        <v>194.67</v>
      </c>
      <c r="AD251">
        <v>189.62</v>
      </c>
      <c r="AF251" s="2">
        <v>1</v>
      </c>
      <c r="AG251">
        <v>256.22000000000003</v>
      </c>
      <c r="AH251">
        <v>245.02</v>
      </c>
      <c r="AJ251" s="2">
        <v>1</v>
      </c>
      <c r="AN251" t="s">
        <v>373</v>
      </c>
      <c r="AR251" t="s">
        <v>373</v>
      </c>
      <c r="AS251" t="s">
        <v>10</v>
      </c>
      <c r="AT251" t="str">
        <f t="shared" si="3"/>
        <v>Richmond FP - 123HC</v>
      </c>
    </row>
    <row r="252" spans="1:46" x14ac:dyDescent="0.25">
      <c r="A252" t="s">
        <v>316</v>
      </c>
      <c r="B252" t="s">
        <v>261</v>
      </c>
      <c r="C252" t="s">
        <v>214</v>
      </c>
      <c r="D252" s="50">
        <v>46023</v>
      </c>
      <c r="E252" s="2">
        <v>0.88200000000000001</v>
      </c>
      <c r="F252" s="2">
        <v>0.90500000000000003</v>
      </c>
      <c r="G252" t="s">
        <v>373</v>
      </c>
      <c r="H252" t="s">
        <v>373</v>
      </c>
      <c r="I252" s="2">
        <v>0</v>
      </c>
      <c r="J252" s="2">
        <v>0</v>
      </c>
      <c r="K252" s="2">
        <v>0</v>
      </c>
      <c r="L252" s="2">
        <v>0</v>
      </c>
      <c r="M252" s="51">
        <v>4200</v>
      </c>
      <c r="N252" s="51">
        <v>2844</v>
      </c>
      <c r="P252" s="51">
        <v>2844</v>
      </c>
      <c r="Q252" s="51">
        <v>28493</v>
      </c>
      <c r="R252" s="51">
        <v>55193</v>
      </c>
      <c r="T252" s="51">
        <v>55193</v>
      </c>
      <c r="U252" s="2">
        <v>0.14699999999999999</v>
      </c>
      <c r="V252" s="2">
        <v>5.1999999999999998E-2</v>
      </c>
      <c r="W252" t="s">
        <v>373</v>
      </c>
      <c r="X252" t="s">
        <v>373</v>
      </c>
      <c r="Y252">
        <v>327.51</v>
      </c>
      <c r="Z252">
        <v>363.01</v>
      </c>
      <c r="AB252" s="2">
        <v>1</v>
      </c>
      <c r="AC252">
        <v>168.65</v>
      </c>
      <c r="AD252">
        <v>177.45</v>
      </c>
      <c r="AF252" s="2">
        <v>1</v>
      </c>
      <c r="AJ252" t="s">
        <v>373</v>
      </c>
      <c r="AN252" t="s">
        <v>373</v>
      </c>
      <c r="AR252" t="s">
        <v>373</v>
      </c>
      <c r="AS252" t="s">
        <v>10</v>
      </c>
      <c r="AT252" t="str">
        <f t="shared" si="3"/>
        <v>Richmond SR - 5173HC</v>
      </c>
    </row>
    <row r="253" spans="1:46" x14ac:dyDescent="0.25">
      <c r="A253" t="s">
        <v>316</v>
      </c>
      <c r="B253" t="s">
        <v>261</v>
      </c>
      <c r="C253" t="s">
        <v>214</v>
      </c>
      <c r="D253" s="50">
        <v>46054</v>
      </c>
      <c r="E253" s="2">
        <v>0.93</v>
      </c>
      <c r="F253" s="2">
        <v>0.90500000000000003</v>
      </c>
      <c r="G253" t="s">
        <v>373</v>
      </c>
      <c r="H253" t="s">
        <v>373</v>
      </c>
      <c r="I253" s="2">
        <v>0</v>
      </c>
      <c r="J253" s="2">
        <v>0</v>
      </c>
      <c r="K253" s="2">
        <v>0</v>
      </c>
      <c r="L253" s="2">
        <v>0</v>
      </c>
      <c r="M253" s="51">
        <v>-1356</v>
      </c>
      <c r="N253" s="51">
        <v>2844</v>
      </c>
      <c r="P253" s="51">
        <v>2844</v>
      </c>
      <c r="Q253" s="51">
        <v>26700</v>
      </c>
      <c r="R253" s="51">
        <v>55193</v>
      </c>
      <c r="T253" s="51">
        <v>55193</v>
      </c>
      <c r="U253" s="2">
        <v>-5.0999999999999997E-2</v>
      </c>
      <c r="V253" s="2">
        <v>5.1999999999999998E-2</v>
      </c>
      <c r="W253" t="s">
        <v>373</v>
      </c>
      <c r="X253" t="s">
        <v>373</v>
      </c>
      <c r="Y253">
        <v>398.51</v>
      </c>
      <c r="Z253">
        <v>363.01</v>
      </c>
      <c r="AB253" s="2">
        <v>1</v>
      </c>
      <c r="AC253">
        <v>186.24</v>
      </c>
      <c r="AD253">
        <v>177.45</v>
      </c>
      <c r="AF253" s="2">
        <v>1</v>
      </c>
      <c r="AJ253" t="s">
        <v>373</v>
      </c>
      <c r="AN253" t="s">
        <v>373</v>
      </c>
      <c r="AR253" t="s">
        <v>373</v>
      </c>
      <c r="AS253" t="s">
        <v>10</v>
      </c>
      <c r="AT253" t="str">
        <f t="shared" si="3"/>
        <v>Richmond SR - 5173HC</v>
      </c>
    </row>
    <row r="254" spans="1:46" x14ac:dyDescent="0.25">
      <c r="A254" t="s">
        <v>316</v>
      </c>
      <c r="B254" t="s">
        <v>261</v>
      </c>
      <c r="C254" t="s">
        <v>222</v>
      </c>
      <c r="D254" s="50">
        <v>46023</v>
      </c>
      <c r="E254" s="2">
        <v>0.97699999999999998</v>
      </c>
      <c r="F254" s="2">
        <v>0.97799999999999998</v>
      </c>
      <c r="G254" t="s">
        <v>373</v>
      </c>
      <c r="H254" t="s">
        <v>373</v>
      </c>
      <c r="I254" s="2">
        <v>0.5</v>
      </c>
      <c r="J254" s="2">
        <v>0.5</v>
      </c>
      <c r="K254" s="2">
        <v>0</v>
      </c>
      <c r="L254" s="2">
        <v>0.5</v>
      </c>
      <c r="M254" s="51">
        <v>520</v>
      </c>
      <c r="N254" s="51">
        <v>520</v>
      </c>
      <c r="P254" s="51">
        <v>520</v>
      </c>
      <c r="Q254" s="51">
        <v>174609</v>
      </c>
      <c r="R254" s="51">
        <v>325590</v>
      </c>
      <c r="T254" s="51">
        <v>325590</v>
      </c>
      <c r="U254" s="2">
        <v>3.0000000000000001E-3</v>
      </c>
      <c r="V254" s="2">
        <v>2E-3</v>
      </c>
      <c r="W254" t="s">
        <v>373</v>
      </c>
      <c r="X254" t="s">
        <v>373</v>
      </c>
      <c r="Y254">
        <v>442.05</v>
      </c>
      <c r="Z254">
        <v>456.2</v>
      </c>
      <c r="AB254" s="2">
        <v>1</v>
      </c>
      <c r="AC254">
        <v>203.8</v>
      </c>
      <c r="AD254">
        <v>214.41</v>
      </c>
      <c r="AF254" s="2">
        <v>1</v>
      </c>
      <c r="AJ254" t="s">
        <v>373</v>
      </c>
      <c r="AK254">
        <v>117.35</v>
      </c>
      <c r="AL254">
        <v>124.35</v>
      </c>
      <c r="AN254" s="2">
        <v>1</v>
      </c>
      <c r="AR254" t="s">
        <v>373</v>
      </c>
      <c r="AS254" t="s">
        <v>10</v>
      </c>
      <c r="AT254" t="str">
        <f t="shared" si="3"/>
        <v>Springfield WG - 2429HC</v>
      </c>
    </row>
    <row r="255" spans="1:46" x14ac:dyDescent="0.25">
      <c r="A255" t="s">
        <v>316</v>
      </c>
      <c r="B255" t="s">
        <v>261</v>
      </c>
      <c r="C255" t="s">
        <v>222</v>
      </c>
      <c r="D255" s="50">
        <v>46054</v>
      </c>
      <c r="E255" s="2">
        <v>0.97899999999999998</v>
      </c>
      <c r="F255" s="2">
        <v>0.97799999999999998</v>
      </c>
      <c r="G255" t="s">
        <v>373</v>
      </c>
      <c r="H255" t="s">
        <v>373</v>
      </c>
      <c r="I255" s="2">
        <v>0</v>
      </c>
      <c r="J255" s="2">
        <v>0.5</v>
      </c>
      <c r="K255" s="2">
        <v>0</v>
      </c>
      <c r="L255" s="2">
        <v>0.5</v>
      </c>
      <c r="M255" s="51">
        <v>0</v>
      </c>
      <c r="N255" s="51">
        <v>520</v>
      </c>
      <c r="P255" s="51">
        <v>520</v>
      </c>
      <c r="Q255" s="51">
        <v>150981</v>
      </c>
      <c r="R255" s="51">
        <v>325590</v>
      </c>
      <c r="T255" s="51">
        <v>325590</v>
      </c>
      <c r="U255" s="2">
        <v>0</v>
      </c>
      <c r="V255" s="2">
        <v>2E-3</v>
      </c>
      <c r="W255" t="s">
        <v>373</v>
      </c>
      <c r="X255" t="s">
        <v>373</v>
      </c>
      <c r="Y255">
        <v>470.35</v>
      </c>
      <c r="Z255">
        <v>456.2</v>
      </c>
      <c r="AB255" s="2">
        <v>1</v>
      </c>
      <c r="AC255">
        <v>225.03</v>
      </c>
      <c r="AD255">
        <v>214.41</v>
      </c>
      <c r="AF255" s="2">
        <v>1</v>
      </c>
      <c r="AJ255" t="s">
        <v>373</v>
      </c>
      <c r="AK255">
        <v>131.36000000000001</v>
      </c>
      <c r="AL255">
        <v>124.35</v>
      </c>
      <c r="AN255" s="2">
        <v>1</v>
      </c>
      <c r="AR255" t="s">
        <v>373</v>
      </c>
      <c r="AS255" t="s">
        <v>10</v>
      </c>
      <c r="AT255" t="str">
        <f t="shared" si="3"/>
        <v>Springfield WG - 2429HC</v>
      </c>
    </row>
    <row r="256" spans="1:46" x14ac:dyDescent="0.25">
      <c r="A256" t="s">
        <v>316</v>
      </c>
      <c r="B256" t="s">
        <v>261</v>
      </c>
      <c r="C256" t="s">
        <v>234</v>
      </c>
      <c r="D256" s="50">
        <v>46023</v>
      </c>
      <c r="E256" s="2">
        <v>0.94</v>
      </c>
      <c r="F256" s="2">
        <v>0.94</v>
      </c>
      <c r="G256" t="s">
        <v>373</v>
      </c>
      <c r="H256" t="s">
        <v>373</v>
      </c>
      <c r="I256" s="2">
        <v>0</v>
      </c>
      <c r="J256" s="2">
        <v>0</v>
      </c>
      <c r="K256" s="2">
        <v>0</v>
      </c>
      <c r="L256" s="2">
        <v>0</v>
      </c>
      <c r="M256" s="51">
        <v>0</v>
      </c>
      <c r="N256" s="51">
        <v>0</v>
      </c>
      <c r="P256" s="51">
        <v>0</v>
      </c>
      <c r="Q256" s="51">
        <v>263149</v>
      </c>
      <c r="R256" s="51">
        <v>462606</v>
      </c>
      <c r="T256" s="51">
        <v>462606</v>
      </c>
      <c r="U256" s="2">
        <v>0</v>
      </c>
      <c r="V256" s="2">
        <v>0</v>
      </c>
      <c r="W256" t="s">
        <v>373</v>
      </c>
      <c r="X256" t="s">
        <v>373</v>
      </c>
      <c r="Y256">
        <v>535.94000000000005</v>
      </c>
      <c r="Z256">
        <v>533.91</v>
      </c>
      <c r="AB256" s="2">
        <v>1</v>
      </c>
      <c r="AC256">
        <v>237.52</v>
      </c>
      <c r="AD256">
        <v>250.23</v>
      </c>
      <c r="AF256" s="2">
        <v>1</v>
      </c>
      <c r="AG256">
        <v>290.57</v>
      </c>
      <c r="AH256">
        <v>306.86</v>
      </c>
      <c r="AJ256" s="2">
        <v>1</v>
      </c>
      <c r="AK256">
        <v>131.96</v>
      </c>
      <c r="AL256">
        <v>138.61000000000001</v>
      </c>
      <c r="AN256" s="2">
        <v>1</v>
      </c>
      <c r="AR256" t="s">
        <v>373</v>
      </c>
      <c r="AS256" t="s">
        <v>10</v>
      </c>
      <c r="AT256" t="str">
        <f t="shared" si="3"/>
        <v>Union Township - 434HC</v>
      </c>
    </row>
    <row r="257" spans="1:46" x14ac:dyDescent="0.25">
      <c r="A257" t="s">
        <v>316</v>
      </c>
      <c r="B257" t="s">
        <v>261</v>
      </c>
      <c r="C257" t="s">
        <v>234</v>
      </c>
      <c r="D257" s="50">
        <v>46054</v>
      </c>
      <c r="E257" s="2">
        <v>0.93899999999999995</v>
      </c>
      <c r="F257" s="2">
        <v>0.94</v>
      </c>
      <c r="G257" t="s">
        <v>373</v>
      </c>
      <c r="H257" t="s">
        <v>373</v>
      </c>
      <c r="I257" s="2">
        <v>0</v>
      </c>
      <c r="J257" s="2">
        <v>0</v>
      </c>
      <c r="K257" s="2">
        <v>0</v>
      </c>
      <c r="L257" s="2">
        <v>0</v>
      </c>
      <c r="M257" s="51">
        <v>0</v>
      </c>
      <c r="N257" s="51">
        <v>0</v>
      </c>
      <c r="P257" s="51">
        <v>0</v>
      </c>
      <c r="Q257" s="51">
        <v>199457</v>
      </c>
      <c r="R257" s="51">
        <v>462606</v>
      </c>
      <c r="T257" s="51">
        <v>462606</v>
      </c>
      <c r="U257" s="2">
        <v>0</v>
      </c>
      <c r="V257" s="2">
        <v>0</v>
      </c>
      <c r="W257" t="s">
        <v>373</v>
      </c>
      <c r="X257" t="s">
        <v>373</v>
      </c>
      <c r="Y257">
        <v>531.89</v>
      </c>
      <c r="Z257">
        <v>533.91</v>
      </c>
      <c r="AB257" s="2">
        <v>1</v>
      </c>
      <c r="AC257">
        <v>262.94</v>
      </c>
      <c r="AD257">
        <v>250.23</v>
      </c>
      <c r="AF257" s="2">
        <v>1</v>
      </c>
      <c r="AG257">
        <v>323.16000000000003</v>
      </c>
      <c r="AH257">
        <v>306.86</v>
      </c>
      <c r="AJ257" s="2">
        <v>1</v>
      </c>
      <c r="AK257">
        <v>145.25</v>
      </c>
      <c r="AL257">
        <v>138.61000000000001</v>
      </c>
      <c r="AN257" s="2">
        <v>1</v>
      </c>
      <c r="AR257" t="s">
        <v>373</v>
      </c>
      <c r="AS257" t="s">
        <v>10</v>
      </c>
      <c r="AT257" t="str">
        <f t="shared" si="3"/>
        <v>Union Township - 434HC</v>
      </c>
    </row>
    <row r="258" spans="1:46" x14ac:dyDescent="0.25">
      <c r="A258" t="s">
        <v>328</v>
      </c>
      <c r="B258" t="s">
        <v>329</v>
      </c>
      <c r="C258" t="s">
        <v>330</v>
      </c>
      <c r="D258" t="s">
        <v>331</v>
      </c>
      <c r="E258" t="s">
        <v>332</v>
      </c>
      <c r="F258" t="s">
        <v>333</v>
      </c>
      <c r="G258" t="s">
        <v>334</v>
      </c>
      <c r="H258" t="s">
        <v>335</v>
      </c>
      <c r="I258" t="s">
        <v>336</v>
      </c>
      <c r="J258" t="s">
        <v>337</v>
      </c>
      <c r="K258" t="s">
        <v>338</v>
      </c>
      <c r="L258" t="s">
        <v>339</v>
      </c>
      <c r="M258" t="s">
        <v>340</v>
      </c>
      <c r="N258" t="s">
        <v>341</v>
      </c>
      <c r="O258" t="s">
        <v>342</v>
      </c>
      <c r="P258" t="s">
        <v>343</v>
      </c>
      <c r="Q258" t="s">
        <v>344</v>
      </c>
      <c r="R258" t="s">
        <v>345</v>
      </c>
      <c r="S258" t="s">
        <v>346</v>
      </c>
      <c r="T258" t="s">
        <v>347</v>
      </c>
      <c r="U258" t="s">
        <v>348</v>
      </c>
      <c r="V258" t="s">
        <v>349</v>
      </c>
      <c r="W258" t="s">
        <v>350</v>
      </c>
      <c r="X258" t="s">
        <v>351</v>
      </c>
      <c r="Y258" t="s">
        <v>352</v>
      </c>
      <c r="Z258" t="s">
        <v>353</v>
      </c>
      <c r="AA258" t="s">
        <v>354</v>
      </c>
      <c r="AB258" t="s">
        <v>355</v>
      </c>
      <c r="AC258" t="s">
        <v>356</v>
      </c>
      <c r="AD258" t="s">
        <v>357</v>
      </c>
      <c r="AE258" t="s">
        <v>358</v>
      </c>
      <c r="AF258" t="s">
        <v>359</v>
      </c>
      <c r="AG258" t="s">
        <v>360</v>
      </c>
      <c r="AH258" t="s">
        <v>361</v>
      </c>
      <c r="AI258" t="s">
        <v>362</v>
      </c>
      <c r="AJ258" t="s">
        <v>363</v>
      </c>
      <c r="AK258" t="s">
        <v>364</v>
      </c>
      <c r="AL258" t="s">
        <v>365</v>
      </c>
      <c r="AM258" t="s">
        <v>366</v>
      </c>
      <c r="AN258" t="s">
        <v>367</v>
      </c>
      <c r="AO258" t="s">
        <v>368</v>
      </c>
      <c r="AP258" t="s">
        <v>369</v>
      </c>
      <c r="AQ258" t="s">
        <v>370</v>
      </c>
      <c r="AR258" t="s">
        <v>371</v>
      </c>
      <c r="AS258" t="s">
        <v>16</v>
      </c>
      <c r="AT258" t="str">
        <f t="shared" si="3"/>
        <v>locationAL</v>
      </c>
    </row>
    <row r="259" spans="1:46" x14ac:dyDescent="0.25">
      <c r="A259" t="s">
        <v>316</v>
      </c>
      <c r="B259" t="s">
        <v>251</v>
      </c>
      <c r="C259" t="s">
        <v>24</v>
      </c>
      <c r="D259" s="50">
        <v>46023</v>
      </c>
      <c r="E259" s="2">
        <v>0.83599999999999997</v>
      </c>
      <c r="F259" s="2">
        <v>0.82399999999999995</v>
      </c>
      <c r="G259" t="s">
        <v>373</v>
      </c>
      <c r="H259" t="s">
        <v>373</v>
      </c>
      <c r="I259" s="2">
        <v>0.2</v>
      </c>
      <c r="J259" s="2">
        <v>0.16700000000000001</v>
      </c>
      <c r="K259" s="2">
        <v>0</v>
      </c>
      <c r="L259" s="2">
        <v>0.16700000000000001</v>
      </c>
      <c r="M259" s="51">
        <v>1591</v>
      </c>
      <c r="N259" s="51">
        <v>2133</v>
      </c>
      <c r="P259" s="51">
        <v>2133</v>
      </c>
      <c r="Q259" s="51">
        <v>221582</v>
      </c>
      <c r="R259" s="51">
        <v>429092</v>
      </c>
      <c r="T259" s="51">
        <v>429092</v>
      </c>
      <c r="U259" s="2">
        <v>7.0000000000000001E-3</v>
      </c>
      <c r="V259" s="2">
        <v>5.0000000000000001E-3</v>
      </c>
      <c r="W259" t="s">
        <v>373</v>
      </c>
      <c r="X259" t="s">
        <v>373</v>
      </c>
      <c r="Y259">
        <v>421.37</v>
      </c>
      <c r="Z259">
        <v>418.3</v>
      </c>
      <c r="AB259" s="2">
        <v>1</v>
      </c>
      <c r="AC259">
        <v>148.88999999999999</v>
      </c>
      <c r="AD259">
        <v>155.54</v>
      </c>
      <c r="AF259" s="2">
        <v>1</v>
      </c>
      <c r="AG259">
        <v>207.54</v>
      </c>
      <c r="AH259">
        <v>221.02</v>
      </c>
      <c r="AJ259" s="2">
        <v>1</v>
      </c>
      <c r="AN259" t="s">
        <v>373</v>
      </c>
      <c r="AR259" t="s">
        <v>373</v>
      </c>
      <c r="AS259" t="s">
        <v>16</v>
      </c>
      <c r="AT259" t="str">
        <f t="shared" ref="AT259:AT322" si="4">C259&amp;AS259</f>
        <v>Avon - 5166AL</v>
      </c>
    </row>
    <row r="260" spans="1:46" x14ac:dyDescent="0.25">
      <c r="A260" t="s">
        <v>316</v>
      </c>
      <c r="B260" t="s">
        <v>251</v>
      </c>
      <c r="C260" t="s">
        <v>24</v>
      </c>
      <c r="D260" s="50">
        <v>46054</v>
      </c>
      <c r="E260" s="2">
        <v>0.81100000000000005</v>
      </c>
      <c r="F260" s="2">
        <v>0.82399999999999995</v>
      </c>
      <c r="G260" t="s">
        <v>373</v>
      </c>
      <c r="H260" t="s">
        <v>373</v>
      </c>
      <c r="I260" s="2">
        <v>0.14299999999999999</v>
      </c>
      <c r="J260" s="2">
        <v>0.16700000000000001</v>
      </c>
      <c r="K260" s="2">
        <v>0</v>
      </c>
      <c r="L260" s="2">
        <v>0.16700000000000001</v>
      </c>
      <c r="M260" s="51">
        <v>542</v>
      </c>
      <c r="N260" s="51">
        <v>2133</v>
      </c>
      <c r="P260" s="51">
        <v>2133</v>
      </c>
      <c r="Q260" s="51">
        <v>207511</v>
      </c>
      <c r="R260" s="51">
        <v>429092</v>
      </c>
      <c r="T260" s="51">
        <v>429092</v>
      </c>
      <c r="U260" s="2">
        <v>3.0000000000000001E-3</v>
      </c>
      <c r="V260" s="2">
        <v>5.0000000000000001E-3</v>
      </c>
      <c r="W260" t="s">
        <v>373</v>
      </c>
      <c r="X260" t="s">
        <v>373</v>
      </c>
      <c r="Y260">
        <v>415.22</v>
      </c>
      <c r="Z260">
        <v>418.3</v>
      </c>
      <c r="AB260" s="2">
        <v>1</v>
      </c>
      <c r="AC260">
        <v>162.18</v>
      </c>
      <c r="AD260">
        <v>155.54</v>
      </c>
      <c r="AF260" s="2">
        <v>1</v>
      </c>
      <c r="AG260">
        <v>234.51</v>
      </c>
      <c r="AH260">
        <v>221.02</v>
      </c>
      <c r="AJ260" s="2">
        <v>1</v>
      </c>
      <c r="AN260" t="s">
        <v>373</v>
      </c>
      <c r="AR260" t="s">
        <v>373</v>
      </c>
      <c r="AS260" t="s">
        <v>16</v>
      </c>
      <c r="AT260" t="str">
        <f t="shared" si="4"/>
        <v>Avon - 5166AL</v>
      </c>
    </row>
    <row r="261" spans="1:46" x14ac:dyDescent="0.25">
      <c r="A261" t="s">
        <v>316</v>
      </c>
      <c r="B261" t="s">
        <v>251</v>
      </c>
      <c r="C261" t="s">
        <v>63</v>
      </c>
      <c r="D261" s="50">
        <v>46023</v>
      </c>
      <c r="E261" s="2">
        <v>0.85899999999999999</v>
      </c>
      <c r="F261" s="2">
        <v>0.89400000000000002</v>
      </c>
      <c r="G261" t="s">
        <v>373</v>
      </c>
      <c r="H261" t="s">
        <v>373</v>
      </c>
      <c r="I261" s="2">
        <v>1</v>
      </c>
      <c r="J261" s="2">
        <v>0.2</v>
      </c>
      <c r="K261" s="2">
        <v>0</v>
      </c>
      <c r="L261" s="2">
        <v>0.2</v>
      </c>
      <c r="M261" s="51">
        <v>1827</v>
      </c>
      <c r="N261" s="51">
        <v>4315</v>
      </c>
      <c r="P261" s="51">
        <v>4315</v>
      </c>
      <c r="Q261" s="51">
        <v>200768</v>
      </c>
      <c r="R261" s="51">
        <v>413345</v>
      </c>
      <c r="T261" s="51">
        <v>413345</v>
      </c>
      <c r="U261" s="2">
        <v>8.9999999999999993E-3</v>
      </c>
      <c r="V261" s="2">
        <v>0.01</v>
      </c>
      <c r="W261" t="s">
        <v>373</v>
      </c>
      <c r="X261" t="s">
        <v>373</v>
      </c>
      <c r="Y261">
        <v>417.64</v>
      </c>
      <c r="Z261">
        <v>415.04</v>
      </c>
      <c r="AB261" s="2">
        <v>1</v>
      </c>
      <c r="AC261">
        <v>177.56</v>
      </c>
      <c r="AD261">
        <v>187.42</v>
      </c>
      <c r="AF261" s="2">
        <v>1</v>
      </c>
      <c r="AG261">
        <v>249.43</v>
      </c>
      <c r="AH261">
        <v>264.81</v>
      </c>
      <c r="AJ261" s="2">
        <v>1</v>
      </c>
      <c r="AN261" t="s">
        <v>373</v>
      </c>
      <c r="AR261" t="s">
        <v>373</v>
      </c>
      <c r="AS261" t="s">
        <v>16</v>
      </c>
      <c r="AT261" t="str">
        <f t="shared" si="4"/>
        <v>Carmel - 5165AL</v>
      </c>
    </row>
    <row r="262" spans="1:46" x14ac:dyDescent="0.25">
      <c r="A262" t="s">
        <v>316</v>
      </c>
      <c r="B262" t="s">
        <v>251</v>
      </c>
      <c r="C262" t="s">
        <v>63</v>
      </c>
      <c r="D262" s="50">
        <v>46054</v>
      </c>
      <c r="E262" s="2">
        <v>0.93200000000000005</v>
      </c>
      <c r="F262" s="2">
        <v>0.89400000000000002</v>
      </c>
      <c r="G262" t="s">
        <v>373</v>
      </c>
      <c r="H262" t="s">
        <v>373</v>
      </c>
      <c r="I262" s="2">
        <v>0</v>
      </c>
      <c r="J262" s="2">
        <v>0.2</v>
      </c>
      <c r="K262" s="2">
        <v>0</v>
      </c>
      <c r="L262" s="2">
        <v>0.2</v>
      </c>
      <c r="M262" s="51">
        <v>2488</v>
      </c>
      <c r="N262" s="51">
        <v>4315</v>
      </c>
      <c r="P262" s="51">
        <v>4315</v>
      </c>
      <c r="Q262" s="51">
        <v>212577</v>
      </c>
      <c r="R262" s="51">
        <v>413345</v>
      </c>
      <c r="T262" s="51">
        <v>413345</v>
      </c>
      <c r="U262" s="2">
        <v>1.2E-2</v>
      </c>
      <c r="V262" s="2">
        <v>0.01</v>
      </c>
      <c r="W262" t="s">
        <v>373</v>
      </c>
      <c r="X262" t="s">
        <v>373</v>
      </c>
      <c r="Y262">
        <v>412.45</v>
      </c>
      <c r="Z262">
        <v>415.04</v>
      </c>
      <c r="AB262" s="2">
        <v>1</v>
      </c>
      <c r="AC262">
        <v>197.29</v>
      </c>
      <c r="AD262">
        <v>187.42</v>
      </c>
      <c r="AF262" s="2">
        <v>1</v>
      </c>
      <c r="AG262">
        <v>280.18</v>
      </c>
      <c r="AH262">
        <v>264.81</v>
      </c>
      <c r="AJ262" s="2">
        <v>1</v>
      </c>
      <c r="AN262" t="s">
        <v>373</v>
      </c>
      <c r="AR262" t="s">
        <v>373</v>
      </c>
      <c r="AS262" t="s">
        <v>16</v>
      </c>
      <c r="AT262" t="str">
        <f t="shared" si="4"/>
        <v>Carmel - 5165AL</v>
      </c>
    </row>
    <row r="263" spans="1:46" x14ac:dyDescent="0.25">
      <c r="A263" t="s">
        <v>316</v>
      </c>
      <c r="B263" t="s">
        <v>251</v>
      </c>
      <c r="C263" t="s">
        <v>122</v>
      </c>
      <c r="D263" s="50">
        <v>46023</v>
      </c>
      <c r="E263" s="2">
        <v>0.90500000000000003</v>
      </c>
      <c r="F263" s="2">
        <v>0.92200000000000004</v>
      </c>
      <c r="G263" t="s">
        <v>373</v>
      </c>
      <c r="H263" t="s">
        <v>373</v>
      </c>
      <c r="I263" s="2">
        <v>0</v>
      </c>
      <c r="J263" s="2">
        <v>0</v>
      </c>
      <c r="K263" s="2">
        <v>0</v>
      </c>
      <c r="L263" s="2">
        <v>0</v>
      </c>
      <c r="M263" s="51">
        <v>0</v>
      </c>
      <c r="N263" s="51">
        <v>0</v>
      </c>
      <c r="P263" s="51">
        <v>0</v>
      </c>
      <c r="Q263" s="51">
        <v>444899</v>
      </c>
      <c r="R263" s="51">
        <v>908520</v>
      </c>
      <c r="T263" s="51">
        <v>908520</v>
      </c>
      <c r="U263" s="2">
        <v>0</v>
      </c>
      <c r="V263" s="2">
        <v>0</v>
      </c>
      <c r="W263" t="s">
        <v>373</v>
      </c>
      <c r="X263" t="s">
        <v>373</v>
      </c>
      <c r="Y263">
        <v>449.03</v>
      </c>
      <c r="Z263">
        <v>459.03</v>
      </c>
      <c r="AB263" s="2">
        <v>1</v>
      </c>
      <c r="AC263">
        <v>195.58</v>
      </c>
      <c r="AD263">
        <v>205.08</v>
      </c>
      <c r="AF263" s="2">
        <v>1</v>
      </c>
      <c r="AG263">
        <v>234.57</v>
      </c>
      <c r="AH263">
        <v>246.3</v>
      </c>
      <c r="AJ263" s="2">
        <v>1</v>
      </c>
      <c r="AN263" t="s">
        <v>373</v>
      </c>
      <c r="AO263">
        <v>104.88</v>
      </c>
      <c r="AP263">
        <v>110.53</v>
      </c>
      <c r="AR263" s="2">
        <v>1</v>
      </c>
      <c r="AS263" t="s">
        <v>16</v>
      </c>
      <c r="AT263" t="str">
        <f t="shared" si="4"/>
        <v>Greenfield - 125AL</v>
      </c>
    </row>
    <row r="264" spans="1:46" x14ac:dyDescent="0.25">
      <c r="A264" t="s">
        <v>316</v>
      </c>
      <c r="B264" t="s">
        <v>251</v>
      </c>
      <c r="C264" t="s">
        <v>122</v>
      </c>
      <c r="D264" s="50">
        <v>46054</v>
      </c>
      <c r="E264" s="2">
        <v>0.94</v>
      </c>
      <c r="F264" s="2">
        <v>0.92200000000000004</v>
      </c>
      <c r="G264" t="s">
        <v>373</v>
      </c>
      <c r="H264" t="s">
        <v>373</v>
      </c>
      <c r="I264" s="2">
        <v>0</v>
      </c>
      <c r="J264" s="2">
        <v>0</v>
      </c>
      <c r="K264" s="2">
        <v>0</v>
      </c>
      <c r="L264" s="2">
        <v>0</v>
      </c>
      <c r="M264" s="51">
        <v>0</v>
      </c>
      <c r="N264" s="51">
        <v>0</v>
      </c>
      <c r="P264" s="51">
        <v>0</v>
      </c>
      <c r="Q264" s="51">
        <v>463621</v>
      </c>
      <c r="R264" s="51">
        <v>908520</v>
      </c>
      <c r="T264" s="51">
        <v>908520</v>
      </c>
      <c r="U264" s="2">
        <v>0</v>
      </c>
      <c r="V264" s="2">
        <v>0</v>
      </c>
      <c r="W264" t="s">
        <v>373</v>
      </c>
      <c r="X264" t="s">
        <v>373</v>
      </c>
      <c r="Y264">
        <v>469.02</v>
      </c>
      <c r="Z264">
        <v>459.03</v>
      </c>
      <c r="AB264" s="2">
        <v>1</v>
      </c>
      <c r="AC264">
        <v>214.59</v>
      </c>
      <c r="AD264">
        <v>205.08</v>
      </c>
      <c r="AF264" s="2">
        <v>1</v>
      </c>
      <c r="AG264">
        <v>258.02999999999997</v>
      </c>
      <c r="AH264">
        <v>246.3</v>
      </c>
      <c r="AJ264" s="2">
        <v>1</v>
      </c>
      <c r="AN264" t="s">
        <v>373</v>
      </c>
      <c r="AO264">
        <v>116.19</v>
      </c>
      <c r="AP264">
        <v>110.53</v>
      </c>
      <c r="AR264" s="2">
        <v>1</v>
      </c>
      <c r="AS264" t="s">
        <v>16</v>
      </c>
      <c r="AT264" t="str">
        <f t="shared" si="4"/>
        <v>Greenfield - 125AL</v>
      </c>
    </row>
    <row r="265" spans="1:46" x14ac:dyDescent="0.25">
      <c r="A265" t="s">
        <v>316</v>
      </c>
      <c r="B265" t="s">
        <v>251</v>
      </c>
      <c r="C265" t="s">
        <v>133</v>
      </c>
      <c r="D265" s="50">
        <v>46023</v>
      </c>
      <c r="E265" s="2">
        <v>0.64100000000000001</v>
      </c>
      <c r="F265" s="2">
        <v>0.60399999999999998</v>
      </c>
      <c r="G265" t="s">
        <v>373</v>
      </c>
      <c r="H265" t="s">
        <v>373</v>
      </c>
      <c r="I265" s="2">
        <v>0</v>
      </c>
      <c r="J265" s="2">
        <v>0</v>
      </c>
      <c r="K265" s="2">
        <v>0</v>
      </c>
      <c r="L265" s="2">
        <v>0</v>
      </c>
      <c r="M265" s="51">
        <v>0</v>
      </c>
      <c r="N265" s="51">
        <v>0</v>
      </c>
      <c r="P265" s="51">
        <v>0</v>
      </c>
      <c r="Q265" s="51">
        <v>50564</v>
      </c>
      <c r="R265" s="51">
        <v>95390</v>
      </c>
      <c r="T265" s="51">
        <v>95390</v>
      </c>
      <c r="U265" s="2">
        <v>0</v>
      </c>
      <c r="V265" s="2">
        <v>0</v>
      </c>
      <c r="W265" t="s">
        <v>373</v>
      </c>
      <c r="X265" t="s">
        <v>373</v>
      </c>
      <c r="Y265">
        <v>423.25</v>
      </c>
      <c r="Z265">
        <v>376.12</v>
      </c>
      <c r="AB265" s="2">
        <v>1</v>
      </c>
      <c r="AC265">
        <v>115.46</v>
      </c>
      <c r="AD265">
        <v>123.62</v>
      </c>
      <c r="AF265" s="2">
        <v>1</v>
      </c>
      <c r="AJ265" t="s">
        <v>373</v>
      </c>
      <c r="AN265" t="s">
        <v>373</v>
      </c>
      <c r="AR265" t="s">
        <v>373</v>
      </c>
      <c r="AS265" t="s">
        <v>16</v>
      </c>
      <c r="AT265" t="str">
        <f t="shared" si="4"/>
        <v>Indianapolis AP - 5160AL</v>
      </c>
    </row>
    <row r="266" spans="1:46" x14ac:dyDescent="0.25">
      <c r="A266" t="s">
        <v>316</v>
      </c>
      <c r="B266" t="s">
        <v>251</v>
      </c>
      <c r="C266" t="s">
        <v>133</v>
      </c>
      <c r="D266" s="50">
        <v>46054</v>
      </c>
      <c r="E266" s="2">
        <v>0.56299999999999994</v>
      </c>
      <c r="F266" s="2">
        <v>0.60399999999999998</v>
      </c>
      <c r="G266" t="s">
        <v>373</v>
      </c>
      <c r="H266" t="s">
        <v>373</v>
      </c>
      <c r="I266" s="2">
        <v>0</v>
      </c>
      <c r="J266" s="2">
        <v>0</v>
      </c>
      <c r="K266" s="2">
        <v>0</v>
      </c>
      <c r="L266" s="2">
        <v>0</v>
      </c>
      <c r="M266" s="51">
        <v>0</v>
      </c>
      <c r="N266" s="51">
        <v>0</v>
      </c>
      <c r="P266" s="51">
        <v>0</v>
      </c>
      <c r="Q266" s="51">
        <v>44826</v>
      </c>
      <c r="R266" s="51">
        <v>95390</v>
      </c>
      <c r="T266" s="51">
        <v>95390</v>
      </c>
      <c r="U266" s="2">
        <v>0</v>
      </c>
      <c r="V266" s="2">
        <v>0</v>
      </c>
      <c r="W266" t="s">
        <v>373</v>
      </c>
      <c r="X266" t="s">
        <v>373</v>
      </c>
      <c r="Y266">
        <v>328.98</v>
      </c>
      <c r="Z266">
        <v>376.12</v>
      </c>
      <c r="AB266" s="2">
        <v>1</v>
      </c>
      <c r="AC266">
        <v>131.79</v>
      </c>
      <c r="AD266">
        <v>123.62</v>
      </c>
      <c r="AF266" s="2">
        <v>1</v>
      </c>
      <c r="AJ266" t="s">
        <v>373</v>
      </c>
      <c r="AN266" t="s">
        <v>373</v>
      </c>
      <c r="AR266" t="s">
        <v>373</v>
      </c>
      <c r="AS266" t="s">
        <v>16</v>
      </c>
      <c r="AT266" t="str">
        <f t="shared" si="4"/>
        <v>Indianapolis AP - 5160AL</v>
      </c>
    </row>
    <row r="267" spans="1:46" x14ac:dyDescent="0.25">
      <c r="A267" t="s">
        <v>316</v>
      </c>
      <c r="B267" t="s">
        <v>251</v>
      </c>
      <c r="C267" t="s">
        <v>134</v>
      </c>
      <c r="D267" s="50">
        <v>46023</v>
      </c>
      <c r="E267" s="2">
        <v>0.85399999999999998</v>
      </c>
      <c r="F267" s="2">
        <v>0.82599999999999996</v>
      </c>
      <c r="G267" t="s">
        <v>373</v>
      </c>
      <c r="H267" t="s">
        <v>373</v>
      </c>
      <c r="I267" s="2">
        <v>0</v>
      </c>
      <c r="J267" s="2">
        <v>0</v>
      </c>
      <c r="K267" s="2">
        <v>0</v>
      </c>
      <c r="L267" s="2">
        <v>0</v>
      </c>
      <c r="M267" s="51">
        <v>1083</v>
      </c>
      <c r="N267" s="51">
        <v>1083</v>
      </c>
      <c r="P267" s="51">
        <v>1083</v>
      </c>
      <c r="Q267" s="51">
        <v>167185</v>
      </c>
      <c r="R267" s="51">
        <v>322830</v>
      </c>
      <c r="T267" s="51">
        <v>322830</v>
      </c>
      <c r="U267" s="2">
        <v>6.0000000000000001E-3</v>
      </c>
      <c r="V267" s="2">
        <v>3.0000000000000001E-3</v>
      </c>
      <c r="W267" t="s">
        <v>373</v>
      </c>
      <c r="X267" t="s">
        <v>373</v>
      </c>
      <c r="Y267">
        <v>-509</v>
      </c>
      <c r="Z267">
        <v>-48.92</v>
      </c>
      <c r="AB267" s="2">
        <v>1</v>
      </c>
      <c r="AC267">
        <v>126.6</v>
      </c>
      <c r="AD267">
        <v>132.11000000000001</v>
      </c>
      <c r="AF267" s="2">
        <v>1</v>
      </c>
      <c r="AG267">
        <v>168.25</v>
      </c>
      <c r="AH267">
        <v>182.02</v>
      </c>
      <c r="AJ267" s="2">
        <v>1</v>
      </c>
      <c r="AN267" t="s">
        <v>373</v>
      </c>
      <c r="AR267" t="s">
        <v>373</v>
      </c>
      <c r="AS267" t="s">
        <v>16</v>
      </c>
      <c r="AT267" t="str">
        <f t="shared" si="4"/>
        <v>Indianapolis CL - 5161AL</v>
      </c>
    </row>
    <row r="268" spans="1:46" x14ac:dyDescent="0.25">
      <c r="A268" t="s">
        <v>316</v>
      </c>
      <c r="B268" t="s">
        <v>251</v>
      </c>
      <c r="C268" t="s">
        <v>134</v>
      </c>
      <c r="D268" s="50">
        <v>46054</v>
      </c>
      <c r="E268" s="2">
        <v>0.79400000000000004</v>
      </c>
      <c r="F268" s="2">
        <v>0.82599999999999996</v>
      </c>
      <c r="G268" t="s">
        <v>373</v>
      </c>
      <c r="H268" t="s">
        <v>373</v>
      </c>
      <c r="I268" s="2">
        <v>0</v>
      </c>
      <c r="J268" s="2">
        <v>0</v>
      </c>
      <c r="K268" s="2">
        <v>0</v>
      </c>
      <c r="L268" s="2">
        <v>0</v>
      </c>
      <c r="M268" s="51">
        <v>0</v>
      </c>
      <c r="N268" s="51">
        <v>1083</v>
      </c>
      <c r="P268" s="51">
        <v>1083</v>
      </c>
      <c r="Q268" s="51">
        <v>155646</v>
      </c>
      <c r="R268" s="51">
        <v>322830</v>
      </c>
      <c r="T268" s="51">
        <v>322830</v>
      </c>
      <c r="U268" s="2">
        <v>0</v>
      </c>
      <c r="V268" s="2">
        <v>3.0000000000000001E-3</v>
      </c>
      <c r="W268" t="s">
        <v>373</v>
      </c>
      <c r="X268" t="s">
        <v>373</v>
      </c>
      <c r="Y268">
        <v>411.16</v>
      </c>
      <c r="Z268">
        <v>-48.92</v>
      </c>
      <c r="AB268" s="2">
        <v>1</v>
      </c>
      <c r="AC268">
        <v>137.62</v>
      </c>
      <c r="AD268">
        <v>132.11000000000001</v>
      </c>
      <c r="AF268" s="2">
        <v>1</v>
      </c>
      <c r="AG268">
        <v>195.79</v>
      </c>
      <c r="AH268">
        <v>182.02</v>
      </c>
      <c r="AJ268" s="2">
        <v>1</v>
      </c>
      <c r="AN268" t="s">
        <v>373</v>
      </c>
      <c r="AR268" t="s">
        <v>373</v>
      </c>
      <c r="AS268" t="s">
        <v>16</v>
      </c>
      <c r="AT268" t="str">
        <f t="shared" si="4"/>
        <v>Indianapolis CL - 5161AL</v>
      </c>
    </row>
    <row r="269" spans="1:46" x14ac:dyDescent="0.25">
      <c r="A269" t="s">
        <v>316</v>
      </c>
      <c r="B269" t="s">
        <v>251</v>
      </c>
      <c r="C269" t="s">
        <v>188</v>
      </c>
      <c r="D269" s="50">
        <v>46023</v>
      </c>
      <c r="E269" s="2">
        <v>1</v>
      </c>
      <c r="F269" s="2">
        <v>0.995</v>
      </c>
      <c r="G269" t="s">
        <v>373</v>
      </c>
      <c r="H269" t="s">
        <v>373</v>
      </c>
      <c r="I269" s="2">
        <v>0</v>
      </c>
      <c r="J269" s="2">
        <v>0</v>
      </c>
      <c r="K269" s="2">
        <v>0</v>
      </c>
      <c r="L269" s="2">
        <v>0</v>
      </c>
      <c r="M269" s="51">
        <v>0</v>
      </c>
      <c r="N269" s="51">
        <v>0</v>
      </c>
      <c r="P269" s="51">
        <v>0</v>
      </c>
      <c r="Q269" s="51">
        <v>84249</v>
      </c>
      <c r="R269" s="51">
        <v>169009</v>
      </c>
      <c r="T269" s="51">
        <v>169009</v>
      </c>
      <c r="U269" s="2">
        <v>0</v>
      </c>
      <c r="V269" s="2">
        <v>0</v>
      </c>
      <c r="W269" t="s">
        <v>373</v>
      </c>
      <c r="X269" t="s">
        <v>373</v>
      </c>
      <c r="Y269">
        <v>377.1</v>
      </c>
      <c r="Z269">
        <v>375.03</v>
      </c>
      <c r="AB269" s="2">
        <v>1</v>
      </c>
      <c r="AC269">
        <v>149.46</v>
      </c>
      <c r="AD269">
        <v>156.75</v>
      </c>
      <c r="AF269" s="2">
        <v>1</v>
      </c>
      <c r="AJ269" t="s">
        <v>373</v>
      </c>
      <c r="AN269" t="s">
        <v>373</v>
      </c>
      <c r="AR269" t="s">
        <v>373</v>
      </c>
      <c r="AS269" t="s">
        <v>16</v>
      </c>
      <c r="AT269" t="str">
        <f t="shared" si="4"/>
        <v>Mooresville - 5174AL</v>
      </c>
    </row>
    <row r="270" spans="1:46" x14ac:dyDescent="0.25">
      <c r="A270" t="s">
        <v>316</v>
      </c>
      <c r="B270" t="s">
        <v>251</v>
      </c>
      <c r="C270" t="s">
        <v>188</v>
      </c>
      <c r="D270" s="50">
        <v>46054</v>
      </c>
      <c r="E270" s="2">
        <v>0.99</v>
      </c>
      <c r="F270" s="2">
        <v>0.995</v>
      </c>
      <c r="G270" t="s">
        <v>373</v>
      </c>
      <c r="H270" t="s">
        <v>373</v>
      </c>
      <c r="I270" s="2">
        <v>0</v>
      </c>
      <c r="J270" s="2">
        <v>0</v>
      </c>
      <c r="K270" s="2">
        <v>0</v>
      </c>
      <c r="L270" s="2">
        <v>0</v>
      </c>
      <c r="M270" s="51">
        <v>0</v>
      </c>
      <c r="N270" s="51">
        <v>0</v>
      </c>
      <c r="P270" s="51">
        <v>0</v>
      </c>
      <c r="Q270" s="51">
        <v>84760</v>
      </c>
      <c r="R270" s="51">
        <v>169009</v>
      </c>
      <c r="T270" s="51">
        <v>169009</v>
      </c>
      <c r="U270" s="2">
        <v>0</v>
      </c>
      <c r="V270" s="2">
        <v>0</v>
      </c>
      <c r="W270" t="s">
        <v>373</v>
      </c>
      <c r="X270" t="s">
        <v>373</v>
      </c>
      <c r="Y270">
        <v>372.95</v>
      </c>
      <c r="Z270">
        <v>375.03</v>
      </c>
      <c r="AB270" s="2">
        <v>1</v>
      </c>
      <c r="AC270">
        <v>164.04</v>
      </c>
      <c r="AD270">
        <v>156.75</v>
      </c>
      <c r="AF270" s="2">
        <v>1</v>
      </c>
      <c r="AJ270" t="s">
        <v>373</v>
      </c>
      <c r="AN270" t="s">
        <v>373</v>
      </c>
      <c r="AR270" t="s">
        <v>373</v>
      </c>
      <c r="AS270" t="s">
        <v>16</v>
      </c>
      <c r="AT270" t="str">
        <f t="shared" si="4"/>
        <v>Mooresville - 5174AL</v>
      </c>
    </row>
    <row r="271" spans="1:46" x14ac:dyDescent="0.25">
      <c r="A271" t="s">
        <v>316</v>
      </c>
      <c r="B271" t="s">
        <v>251</v>
      </c>
      <c r="C271" t="s">
        <v>199</v>
      </c>
      <c r="D271" s="50">
        <v>46023</v>
      </c>
      <c r="E271" s="2">
        <v>0.78</v>
      </c>
      <c r="F271" s="2">
        <v>0.77500000000000002</v>
      </c>
      <c r="G271" t="s">
        <v>373</v>
      </c>
      <c r="H271" t="s">
        <v>373</v>
      </c>
      <c r="I271" s="2">
        <v>0</v>
      </c>
      <c r="J271" s="2">
        <v>0</v>
      </c>
      <c r="K271" s="2">
        <v>0</v>
      </c>
      <c r="L271" s="2">
        <v>0</v>
      </c>
      <c r="M271" s="51">
        <v>0</v>
      </c>
      <c r="N271" s="51">
        <v>0</v>
      </c>
      <c r="P271" s="51">
        <v>0</v>
      </c>
      <c r="Q271" s="51">
        <v>193037</v>
      </c>
      <c r="R271" s="51">
        <v>382336</v>
      </c>
      <c r="T271" s="51">
        <v>382336</v>
      </c>
      <c r="U271" s="2">
        <v>0</v>
      </c>
      <c r="V271" s="2">
        <v>0</v>
      </c>
      <c r="W271" t="s">
        <v>373</v>
      </c>
      <c r="X271" t="s">
        <v>373</v>
      </c>
      <c r="Y271">
        <v>363.76</v>
      </c>
      <c r="Z271">
        <v>371.4</v>
      </c>
      <c r="AB271" s="2">
        <v>1</v>
      </c>
      <c r="AC271">
        <v>179.64</v>
      </c>
      <c r="AD271">
        <v>188.96</v>
      </c>
      <c r="AF271" s="2">
        <v>1</v>
      </c>
      <c r="AG271">
        <v>253.62</v>
      </c>
      <c r="AH271">
        <v>267.02</v>
      </c>
      <c r="AJ271" s="2">
        <v>1</v>
      </c>
      <c r="AN271" t="s">
        <v>373</v>
      </c>
      <c r="AR271" t="s">
        <v>373</v>
      </c>
      <c r="AS271" t="s">
        <v>16</v>
      </c>
      <c r="AT271" t="str">
        <f t="shared" si="4"/>
        <v>New Castle GO - 2153AL</v>
      </c>
    </row>
    <row r="272" spans="1:46" x14ac:dyDescent="0.25">
      <c r="A272" t="s">
        <v>316</v>
      </c>
      <c r="B272" t="s">
        <v>251</v>
      </c>
      <c r="C272" t="s">
        <v>199</v>
      </c>
      <c r="D272" s="50">
        <v>46054</v>
      </c>
      <c r="E272" s="2">
        <v>0.76800000000000002</v>
      </c>
      <c r="F272" s="2">
        <v>0.77500000000000002</v>
      </c>
      <c r="G272" t="s">
        <v>373</v>
      </c>
      <c r="H272" t="s">
        <v>373</v>
      </c>
      <c r="I272" s="2">
        <v>0</v>
      </c>
      <c r="J272" s="2">
        <v>0</v>
      </c>
      <c r="K272" s="2">
        <v>0</v>
      </c>
      <c r="L272" s="2">
        <v>0</v>
      </c>
      <c r="M272" s="51">
        <v>0</v>
      </c>
      <c r="N272" s="51">
        <v>0</v>
      </c>
      <c r="P272" s="51">
        <v>0</v>
      </c>
      <c r="Q272" s="51">
        <v>189299</v>
      </c>
      <c r="R272" s="51">
        <v>382336</v>
      </c>
      <c r="T272" s="51">
        <v>382336</v>
      </c>
      <c r="U272" s="2">
        <v>0</v>
      </c>
      <c r="V272" s="2">
        <v>0</v>
      </c>
      <c r="W272" t="s">
        <v>373</v>
      </c>
      <c r="X272" t="s">
        <v>373</v>
      </c>
      <c r="Y272">
        <v>379.05</v>
      </c>
      <c r="Z272">
        <v>371.4</v>
      </c>
      <c r="AB272" s="2">
        <v>1</v>
      </c>
      <c r="AC272">
        <v>198.28</v>
      </c>
      <c r="AD272">
        <v>188.96</v>
      </c>
      <c r="AF272" s="2">
        <v>1</v>
      </c>
      <c r="AG272">
        <v>280.42</v>
      </c>
      <c r="AH272">
        <v>267.02</v>
      </c>
      <c r="AJ272" s="2">
        <v>1</v>
      </c>
      <c r="AN272" t="s">
        <v>373</v>
      </c>
      <c r="AR272" t="s">
        <v>373</v>
      </c>
      <c r="AS272" t="s">
        <v>16</v>
      </c>
      <c r="AT272" t="str">
        <f t="shared" si="4"/>
        <v>New Castle GO - 2153AL</v>
      </c>
    </row>
    <row r="273" spans="1:46" x14ac:dyDescent="0.25">
      <c r="A273" t="s">
        <v>316</v>
      </c>
      <c r="B273" t="s">
        <v>251</v>
      </c>
      <c r="C273" t="s">
        <v>246</v>
      </c>
      <c r="D273" s="50">
        <v>46023</v>
      </c>
      <c r="E273" s="2">
        <v>0.92700000000000005</v>
      </c>
      <c r="F273" s="2">
        <v>0.93799999999999994</v>
      </c>
      <c r="G273" t="s">
        <v>373</v>
      </c>
      <c r="H273" t="s">
        <v>373</v>
      </c>
      <c r="I273" s="2">
        <v>0</v>
      </c>
      <c r="J273" s="2">
        <v>0</v>
      </c>
      <c r="K273" s="2">
        <v>0</v>
      </c>
      <c r="L273" s="2">
        <v>0</v>
      </c>
      <c r="M273" s="51">
        <v>0</v>
      </c>
      <c r="N273" s="51">
        <v>0</v>
      </c>
      <c r="P273" s="51">
        <v>0</v>
      </c>
      <c r="Q273" s="51">
        <v>232222</v>
      </c>
      <c r="R273" s="51">
        <v>473410</v>
      </c>
      <c r="T273" s="51">
        <v>473410</v>
      </c>
      <c r="U273" s="2">
        <v>0</v>
      </c>
      <c r="V273" s="2">
        <v>0</v>
      </c>
      <c r="W273" t="s">
        <v>373</v>
      </c>
      <c r="X273" t="s">
        <v>373</v>
      </c>
      <c r="Y273">
        <v>419.85</v>
      </c>
      <c r="Z273">
        <v>421.38</v>
      </c>
      <c r="AB273" s="2">
        <v>1</v>
      </c>
      <c r="AC273">
        <v>170.38</v>
      </c>
      <c r="AD273">
        <v>179.47</v>
      </c>
      <c r="AF273" s="2">
        <v>1</v>
      </c>
      <c r="AG273">
        <v>214.15</v>
      </c>
      <c r="AH273">
        <v>226.44</v>
      </c>
      <c r="AJ273" s="2">
        <v>1</v>
      </c>
      <c r="AN273" t="s">
        <v>373</v>
      </c>
      <c r="AR273" t="s">
        <v>373</v>
      </c>
      <c r="AS273" t="s">
        <v>16</v>
      </c>
      <c r="AT273" t="str">
        <f t="shared" si="4"/>
        <v>Westfield - 5171AL</v>
      </c>
    </row>
    <row r="274" spans="1:46" x14ac:dyDescent="0.25">
      <c r="A274" t="s">
        <v>316</v>
      </c>
      <c r="B274" t="s">
        <v>251</v>
      </c>
      <c r="C274" t="s">
        <v>246</v>
      </c>
      <c r="D274" s="50">
        <v>46054</v>
      </c>
      <c r="E274" s="2">
        <v>0.95099999999999996</v>
      </c>
      <c r="F274" s="2">
        <v>0.93799999999999994</v>
      </c>
      <c r="G274" t="s">
        <v>373</v>
      </c>
      <c r="H274" t="s">
        <v>373</v>
      </c>
      <c r="I274" s="2">
        <v>0</v>
      </c>
      <c r="J274" s="2">
        <v>0</v>
      </c>
      <c r="K274" s="2">
        <v>0</v>
      </c>
      <c r="L274" s="2">
        <v>0</v>
      </c>
      <c r="M274" s="51">
        <v>0</v>
      </c>
      <c r="N274" s="51">
        <v>0</v>
      </c>
      <c r="P274" s="51">
        <v>0</v>
      </c>
      <c r="Q274" s="51">
        <v>241188</v>
      </c>
      <c r="R274" s="51">
        <v>473410</v>
      </c>
      <c r="T274" s="51">
        <v>473410</v>
      </c>
      <c r="U274" s="2">
        <v>0</v>
      </c>
      <c r="V274" s="2">
        <v>0</v>
      </c>
      <c r="W274" t="s">
        <v>373</v>
      </c>
      <c r="X274" t="s">
        <v>373</v>
      </c>
      <c r="Y274">
        <v>422.92</v>
      </c>
      <c r="Z274">
        <v>421.38</v>
      </c>
      <c r="AB274" s="2">
        <v>1</v>
      </c>
      <c r="AC274">
        <v>188.57</v>
      </c>
      <c r="AD274">
        <v>179.47</v>
      </c>
      <c r="AF274" s="2">
        <v>1</v>
      </c>
      <c r="AG274">
        <v>238.74</v>
      </c>
      <c r="AH274">
        <v>226.44</v>
      </c>
      <c r="AJ274" s="2">
        <v>1</v>
      </c>
      <c r="AN274" t="s">
        <v>373</v>
      </c>
      <c r="AR274" t="s">
        <v>373</v>
      </c>
      <c r="AS274" t="s">
        <v>16</v>
      </c>
      <c r="AT274" t="str">
        <f t="shared" si="4"/>
        <v>Westfield - 5171AL</v>
      </c>
    </row>
    <row r="275" spans="1:46" x14ac:dyDescent="0.25">
      <c r="A275" t="s">
        <v>316</v>
      </c>
      <c r="B275" t="s">
        <v>252</v>
      </c>
      <c r="C275" t="s">
        <v>38</v>
      </c>
      <c r="D275" s="50">
        <v>46023</v>
      </c>
      <c r="E275" s="2">
        <v>0.94799999999999995</v>
      </c>
      <c r="F275" s="2">
        <v>0.96199999999999997</v>
      </c>
      <c r="G275" t="s">
        <v>373</v>
      </c>
      <c r="H275" t="s">
        <v>373</v>
      </c>
      <c r="I275" s="2">
        <v>0</v>
      </c>
      <c r="J275" s="2">
        <v>0</v>
      </c>
      <c r="K275" s="2">
        <v>0</v>
      </c>
      <c r="L275" s="2">
        <v>0</v>
      </c>
      <c r="M275" s="51">
        <v>0</v>
      </c>
      <c r="N275" s="51">
        <v>0</v>
      </c>
      <c r="P275" s="51">
        <v>0</v>
      </c>
      <c r="Q275" s="51">
        <v>179908</v>
      </c>
      <c r="R275" s="51">
        <v>356906</v>
      </c>
      <c r="T275" s="51">
        <v>356906</v>
      </c>
      <c r="U275" s="2">
        <v>0</v>
      </c>
      <c r="V275" s="2">
        <v>0</v>
      </c>
      <c r="W275" t="s">
        <v>373</v>
      </c>
      <c r="X275" t="s">
        <v>373</v>
      </c>
      <c r="Y275">
        <v>428.11</v>
      </c>
      <c r="Z275">
        <v>432.69</v>
      </c>
      <c r="AB275" s="2">
        <v>1</v>
      </c>
      <c r="AC275">
        <v>166.71</v>
      </c>
      <c r="AD275">
        <v>174.99</v>
      </c>
      <c r="AF275" s="2">
        <v>1</v>
      </c>
      <c r="AJ275" t="s">
        <v>373</v>
      </c>
      <c r="AN275" t="s">
        <v>373</v>
      </c>
      <c r="AR275" t="s">
        <v>373</v>
      </c>
      <c r="AS275" t="s">
        <v>16</v>
      </c>
      <c r="AT275" t="str">
        <f t="shared" si="4"/>
        <v>Battle Creek - 501AL</v>
      </c>
    </row>
    <row r="276" spans="1:46" x14ac:dyDescent="0.25">
      <c r="A276" t="s">
        <v>316</v>
      </c>
      <c r="B276" t="s">
        <v>252</v>
      </c>
      <c r="C276" t="s">
        <v>38</v>
      </c>
      <c r="D276" s="50">
        <v>46054</v>
      </c>
      <c r="E276" s="2">
        <v>0.97599999999999998</v>
      </c>
      <c r="F276" s="2">
        <v>0.96199999999999997</v>
      </c>
      <c r="G276" t="s">
        <v>373</v>
      </c>
      <c r="H276" t="s">
        <v>373</v>
      </c>
      <c r="I276" s="2">
        <v>0</v>
      </c>
      <c r="J276" s="2">
        <v>0</v>
      </c>
      <c r="K276" s="2">
        <v>0</v>
      </c>
      <c r="L276" s="2">
        <v>0</v>
      </c>
      <c r="M276" s="51">
        <v>0</v>
      </c>
      <c r="N276" s="51">
        <v>0</v>
      </c>
      <c r="P276" s="51">
        <v>0</v>
      </c>
      <c r="Q276" s="51">
        <v>176998</v>
      </c>
      <c r="R276" s="51">
        <v>356906</v>
      </c>
      <c r="T276" s="51">
        <v>356906</v>
      </c>
      <c r="U276" s="2">
        <v>0</v>
      </c>
      <c r="V276" s="2">
        <v>0</v>
      </c>
      <c r="W276" t="s">
        <v>373</v>
      </c>
      <c r="X276" t="s">
        <v>373</v>
      </c>
      <c r="Y276">
        <v>437.27</v>
      </c>
      <c r="Z276">
        <v>432.69</v>
      </c>
      <c r="AB276" s="2">
        <v>1</v>
      </c>
      <c r="AC276">
        <v>183.27</v>
      </c>
      <c r="AD276">
        <v>174.99</v>
      </c>
      <c r="AF276" s="2">
        <v>1</v>
      </c>
      <c r="AJ276" t="s">
        <v>373</v>
      </c>
      <c r="AN276" t="s">
        <v>373</v>
      </c>
      <c r="AR276" t="s">
        <v>373</v>
      </c>
      <c r="AS276" t="s">
        <v>16</v>
      </c>
      <c r="AT276" t="str">
        <f t="shared" si="4"/>
        <v>Battle Creek - 501AL</v>
      </c>
    </row>
    <row r="277" spans="1:46" x14ac:dyDescent="0.25">
      <c r="A277" t="s">
        <v>316</v>
      </c>
      <c r="B277" t="s">
        <v>252</v>
      </c>
      <c r="C277" t="s">
        <v>43</v>
      </c>
      <c r="D277" s="50">
        <v>46023</v>
      </c>
      <c r="E277" s="2">
        <v>0.96099999999999997</v>
      </c>
      <c r="F277" s="2">
        <v>0.96699999999999997</v>
      </c>
      <c r="G277" t="s">
        <v>373</v>
      </c>
      <c r="H277" t="s">
        <v>373</v>
      </c>
      <c r="I277" s="2">
        <v>0</v>
      </c>
      <c r="J277" s="2">
        <v>0</v>
      </c>
      <c r="K277" s="2">
        <v>0</v>
      </c>
      <c r="L277" s="2">
        <v>0</v>
      </c>
      <c r="M277" s="51">
        <v>1750</v>
      </c>
      <c r="N277" s="51">
        <v>1750</v>
      </c>
      <c r="P277" s="51">
        <v>1750</v>
      </c>
      <c r="Q277" s="51">
        <v>278320</v>
      </c>
      <c r="R277" s="51">
        <v>557876</v>
      </c>
      <c r="T277" s="51">
        <v>557876</v>
      </c>
      <c r="U277" s="2">
        <v>6.0000000000000001E-3</v>
      </c>
      <c r="V277" s="2">
        <v>3.0000000000000001E-3</v>
      </c>
      <c r="W277" t="s">
        <v>373</v>
      </c>
      <c r="X277" t="s">
        <v>373</v>
      </c>
      <c r="Y277">
        <v>456.47</v>
      </c>
      <c r="Z277">
        <v>454.4</v>
      </c>
      <c r="AB277" s="2">
        <v>1</v>
      </c>
      <c r="AC277">
        <v>220.76</v>
      </c>
      <c r="AD277">
        <v>240.11</v>
      </c>
      <c r="AF277" s="2">
        <v>1</v>
      </c>
      <c r="AG277">
        <v>264.19</v>
      </c>
      <c r="AH277">
        <v>277.57</v>
      </c>
      <c r="AJ277" s="2">
        <v>1</v>
      </c>
      <c r="AK277">
        <v>150.11000000000001</v>
      </c>
      <c r="AL277">
        <v>159.99</v>
      </c>
      <c r="AN277" s="2">
        <v>1</v>
      </c>
      <c r="AR277" t="s">
        <v>373</v>
      </c>
      <c r="AS277" t="s">
        <v>16</v>
      </c>
      <c r="AT277" t="str">
        <f t="shared" si="4"/>
        <v>Belmont - 519AL</v>
      </c>
    </row>
    <row r="278" spans="1:46" x14ac:dyDescent="0.25">
      <c r="A278" t="s">
        <v>316</v>
      </c>
      <c r="B278" t="s">
        <v>252</v>
      </c>
      <c r="C278" t="s">
        <v>43</v>
      </c>
      <c r="D278" s="50">
        <v>46054</v>
      </c>
      <c r="E278" s="2">
        <v>0.97399999999999998</v>
      </c>
      <c r="F278" s="2">
        <v>0.96699999999999997</v>
      </c>
      <c r="G278" t="s">
        <v>373</v>
      </c>
      <c r="H278" t="s">
        <v>373</v>
      </c>
      <c r="I278" s="2">
        <v>0</v>
      </c>
      <c r="J278" s="2">
        <v>0</v>
      </c>
      <c r="K278" s="2">
        <v>0</v>
      </c>
      <c r="L278" s="2">
        <v>0</v>
      </c>
      <c r="M278" s="51">
        <v>0</v>
      </c>
      <c r="N278" s="51">
        <v>1750</v>
      </c>
      <c r="P278" s="51">
        <v>1750</v>
      </c>
      <c r="Q278" s="51">
        <v>279555</v>
      </c>
      <c r="R278" s="51">
        <v>557876</v>
      </c>
      <c r="T278" s="51">
        <v>557876</v>
      </c>
      <c r="U278" s="2">
        <v>0</v>
      </c>
      <c r="V278" s="2">
        <v>3.0000000000000001E-3</v>
      </c>
      <c r="W278" t="s">
        <v>373</v>
      </c>
      <c r="X278" t="s">
        <v>373</v>
      </c>
      <c r="Y278">
        <v>452.32</v>
      </c>
      <c r="Z278">
        <v>454.4</v>
      </c>
      <c r="AB278" s="2">
        <v>1</v>
      </c>
      <c r="AC278">
        <v>259.47000000000003</v>
      </c>
      <c r="AD278">
        <v>240.11</v>
      </c>
      <c r="AF278" s="2">
        <v>1</v>
      </c>
      <c r="AG278">
        <v>290.95999999999998</v>
      </c>
      <c r="AH278">
        <v>277.57</v>
      </c>
      <c r="AJ278" s="2">
        <v>1</v>
      </c>
      <c r="AK278">
        <v>169.87</v>
      </c>
      <c r="AL278">
        <v>159.99</v>
      </c>
      <c r="AN278" s="2">
        <v>1</v>
      </c>
      <c r="AR278" t="s">
        <v>373</v>
      </c>
      <c r="AS278" t="s">
        <v>16</v>
      </c>
      <c r="AT278" t="str">
        <f t="shared" si="4"/>
        <v>Belmont - 519AL</v>
      </c>
    </row>
    <row r="279" spans="1:46" x14ac:dyDescent="0.25">
      <c r="A279" t="s">
        <v>316</v>
      </c>
      <c r="B279" t="s">
        <v>252</v>
      </c>
      <c r="C279" t="s">
        <v>61</v>
      </c>
      <c r="D279" s="50">
        <v>46023</v>
      </c>
      <c r="E279" s="2">
        <v>0.91700000000000004</v>
      </c>
      <c r="F279" s="2">
        <v>0.92300000000000004</v>
      </c>
      <c r="G279" t="s">
        <v>373</v>
      </c>
      <c r="H279" t="s">
        <v>373</v>
      </c>
      <c r="I279" s="2">
        <v>0</v>
      </c>
      <c r="J279" s="2">
        <v>0</v>
      </c>
      <c r="K279" s="2">
        <v>0</v>
      </c>
      <c r="L279" s="2">
        <v>0</v>
      </c>
      <c r="M279" s="51">
        <v>0</v>
      </c>
      <c r="N279" s="51">
        <v>0</v>
      </c>
      <c r="P279" s="51">
        <v>0</v>
      </c>
      <c r="Q279" s="51">
        <v>259836</v>
      </c>
      <c r="R279" s="51">
        <v>515125</v>
      </c>
      <c r="T279" s="51">
        <v>515125</v>
      </c>
      <c r="U279" s="2">
        <v>0</v>
      </c>
      <c r="V279" s="2">
        <v>0</v>
      </c>
      <c r="W279" t="s">
        <v>373</v>
      </c>
      <c r="X279" t="s">
        <v>373</v>
      </c>
      <c r="Y279">
        <v>499.41</v>
      </c>
      <c r="Z279">
        <v>520.29</v>
      </c>
      <c r="AB279" s="2">
        <v>1</v>
      </c>
      <c r="AC279">
        <v>243.9</v>
      </c>
      <c r="AD279">
        <v>257.24</v>
      </c>
      <c r="AF279" s="2">
        <v>1</v>
      </c>
      <c r="AG279">
        <v>273.73</v>
      </c>
      <c r="AH279">
        <v>287.95999999999998</v>
      </c>
      <c r="AJ279" s="2">
        <v>1</v>
      </c>
      <c r="AK279">
        <v>141.76</v>
      </c>
      <c r="AL279">
        <v>149.30000000000001</v>
      </c>
      <c r="AN279" s="2">
        <v>1</v>
      </c>
      <c r="AR279" t="s">
        <v>373</v>
      </c>
      <c r="AS279" t="s">
        <v>16</v>
      </c>
      <c r="AT279" t="str">
        <f t="shared" si="4"/>
        <v>Byron Center - 518AL</v>
      </c>
    </row>
    <row r="280" spans="1:46" x14ac:dyDescent="0.25">
      <c r="A280" t="s">
        <v>316</v>
      </c>
      <c r="B280" t="s">
        <v>252</v>
      </c>
      <c r="C280" t="s">
        <v>61</v>
      </c>
      <c r="D280" s="50">
        <v>46054</v>
      </c>
      <c r="E280" s="2">
        <v>0.93</v>
      </c>
      <c r="F280" s="2">
        <v>0.92300000000000004</v>
      </c>
      <c r="G280" t="s">
        <v>373</v>
      </c>
      <c r="H280" t="s">
        <v>373</v>
      </c>
      <c r="I280" s="2">
        <v>0</v>
      </c>
      <c r="J280" s="2">
        <v>0</v>
      </c>
      <c r="K280" s="2">
        <v>0</v>
      </c>
      <c r="L280" s="2">
        <v>0</v>
      </c>
      <c r="M280" s="51">
        <v>0</v>
      </c>
      <c r="N280" s="51">
        <v>0</v>
      </c>
      <c r="P280" s="51">
        <v>0</v>
      </c>
      <c r="Q280" s="51">
        <v>255289</v>
      </c>
      <c r="R280" s="51">
        <v>515125</v>
      </c>
      <c r="T280" s="51">
        <v>515125</v>
      </c>
      <c r="U280" s="2">
        <v>0</v>
      </c>
      <c r="V280" s="2">
        <v>0</v>
      </c>
      <c r="W280" t="s">
        <v>373</v>
      </c>
      <c r="X280" t="s">
        <v>373</v>
      </c>
      <c r="Y280">
        <v>541.16999999999996</v>
      </c>
      <c r="Z280">
        <v>520.29</v>
      </c>
      <c r="AB280" s="2">
        <v>1</v>
      </c>
      <c r="AC280">
        <v>270.58</v>
      </c>
      <c r="AD280">
        <v>257.24</v>
      </c>
      <c r="AF280" s="2">
        <v>1</v>
      </c>
      <c r="AG280">
        <v>302.18</v>
      </c>
      <c r="AH280">
        <v>287.95999999999998</v>
      </c>
      <c r="AJ280" s="2">
        <v>1</v>
      </c>
      <c r="AK280">
        <v>156.85</v>
      </c>
      <c r="AL280">
        <v>149.30000000000001</v>
      </c>
      <c r="AN280" s="2">
        <v>1</v>
      </c>
      <c r="AR280" t="s">
        <v>373</v>
      </c>
      <c r="AS280" t="s">
        <v>16</v>
      </c>
      <c r="AT280" t="str">
        <f t="shared" si="4"/>
        <v>Byron Center - 518AL</v>
      </c>
    </row>
    <row r="281" spans="1:46" x14ac:dyDescent="0.25">
      <c r="A281" t="s">
        <v>316</v>
      </c>
      <c r="B281" t="s">
        <v>252</v>
      </c>
      <c r="C281" t="s">
        <v>132</v>
      </c>
      <c r="D281" s="50">
        <v>46023</v>
      </c>
      <c r="E281" s="2">
        <v>0.96099999999999997</v>
      </c>
      <c r="F281" s="2">
        <v>0.97799999999999998</v>
      </c>
      <c r="G281" t="s">
        <v>373</v>
      </c>
      <c r="H281" t="s">
        <v>373</v>
      </c>
      <c r="I281" s="2">
        <v>0</v>
      </c>
      <c r="J281" s="2">
        <v>0</v>
      </c>
      <c r="K281" s="2">
        <v>0</v>
      </c>
      <c r="L281" s="2">
        <v>0</v>
      </c>
      <c r="M281" s="51">
        <v>0</v>
      </c>
      <c r="N281" s="51">
        <v>0</v>
      </c>
      <c r="P281" s="51">
        <v>0</v>
      </c>
      <c r="Q281" s="51">
        <v>267966</v>
      </c>
      <c r="R281" s="51">
        <v>545226</v>
      </c>
      <c r="T281" s="51">
        <v>545226</v>
      </c>
      <c r="U281" s="2">
        <v>0</v>
      </c>
      <c r="V281" s="2">
        <v>0</v>
      </c>
      <c r="W281" t="s">
        <v>373</v>
      </c>
      <c r="X281" t="s">
        <v>373</v>
      </c>
      <c r="Y281">
        <v>489.11</v>
      </c>
      <c r="Z281">
        <v>477.24</v>
      </c>
      <c r="AB281" s="2">
        <v>1</v>
      </c>
      <c r="AC281">
        <v>225.58</v>
      </c>
      <c r="AD281">
        <v>236.54</v>
      </c>
      <c r="AF281" s="2">
        <v>1</v>
      </c>
      <c r="AG281">
        <v>253.83</v>
      </c>
      <c r="AH281">
        <v>267.06</v>
      </c>
      <c r="AJ281" s="2">
        <v>1</v>
      </c>
      <c r="AK281">
        <v>137.68</v>
      </c>
      <c r="AL281">
        <v>144.83000000000001</v>
      </c>
      <c r="AN281" s="2">
        <v>1</v>
      </c>
      <c r="AR281" t="s">
        <v>373</v>
      </c>
      <c r="AS281" t="s">
        <v>16</v>
      </c>
      <c r="AT281" t="str">
        <f t="shared" si="4"/>
        <v>Hudsonville - 524AL</v>
      </c>
    </row>
    <row r="282" spans="1:46" x14ac:dyDescent="0.25">
      <c r="A282" t="s">
        <v>316</v>
      </c>
      <c r="B282" t="s">
        <v>252</v>
      </c>
      <c r="C282" t="s">
        <v>132</v>
      </c>
      <c r="D282" s="50">
        <v>46054</v>
      </c>
      <c r="E282" s="2">
        <v>0.996</v>
      </c>
      <c r="F282" s="2">
        <v>0.97799999999999998</v>
      </c>
      <c r="G282" t="s">
        <v>373</v>
      </c>
      <c r="H282" t="s">
        <v>373</v>
      </c>
      <c r="I282" s="2">
        <v>0</v>
      </c>
      <c r="J282" s="2">
        <v>0</v>
      </c>
      <c r="K282" s="2">
        <v>0</v>
      </c>
      <c r="L282" s="2">
        <v>0</v>
      </c>
      <c r="M282" s="51">
        <v>0</v>
      </c>
      <c r="N282" s="51">
        <v>0</v>
      </c>
      <c r="P282" s="51">
        <v>0</v>
      </c>
      <c r="Q282" s="51">
        <v>277260</v>
      </c>
      <c r="R282" s="51">
        <v>545226</v>
      </c>
      <c r="T282" s="51">
        <v>545226</v>
      </c>
      <c r="U282" s="2">
        <v>0</v>
      </c>
      <c r="V282" s="2">
        <v>0</v>
      </c>
      <c r="W282" t="s">
        <v>373</v>
      </c>
      <c r="X282" t="s">
        <v>373</v>
      </c>
      <c r="Y282">
        <v>465.38</v>
      </c>
      <c r="Z282">
        <v>477.24</v>
      </c>
      <c r="AB282" s="2">
        <v>1</v>
      </c>
      <c r="AC282">
        <v>247.5</v>
      </c>
      <c r="AD282">
        <v>236.54</v>
      </c>
      <c r="AF282" s="2">
        <v>1</v>
      </c>
      <c r="AG282">
        <v>280.29000000000002</v>
      </c>
      <c r="AH282">
        <v>267.06</v>
      </c>
      <c r="AJ282" s="2">
        <v>1</v>
      </c>
      <c r="AK282">
        <v>151.97999999999999</v>
      </c>
      <c r="AL282">
        <v>144.83000000000001</v>
      </c>
      <c r="AN282" s="2">
        <v>1</v>
      </c>
      <c r="AR282" t="s">
        <v>373</v>
      </c>
      <c r="AS282" t="s">
        <v>16</v>
      </c>
      <c r="AT282" t="str">
        <f t="shared" si="4"/>
        <v>Hudsonville - 524AL</v>
      </c>
    </row>
    <row r="283" spans="1:46" x14ac:dyDescent="0.25">
      <c r="A283" t="s">
        <v>316</v>
      </c>
      <c r="B283" t="s">
        <v>252</v>
      </c>
      <c r="C283" t="s">
        <v>181</v>
      </c>
      <c r="D283" s="50">
        <v>46023</v>
      </c>
      <c r="E283" s="2">
        <v>0.91500000000000004</v>
      </c>
      <c r="F283" s="2">
        <v>0.94299999999999995</v>
      </c>
      <c r="G283" t="s">
        <v>373</v>
      </c>
      <c r="H283" t="s">
        <v>373</v>
      </c>
      <c r="I283" s="2">
        <v>0</v>
      </c>
      <c r="J283" s="2">
        <v>0.33300000000000002</v>
      </c>
      <c r="K283" s="2">
        <v>0</v>
      </c>
      <c r="L283" s="2">
        <v>0.33300000000000002</v>
      </c>
      <c r="M283" s="51">
        <v>456</v>
      </c>
      <c r="N283" s="51">
        <v>4041</v>
      </c>
      <c r="P283" s="51">
        <v>4041</v>
      </c>
      <c r="Q283" s="51">
        <v>241224</v>
      </c>
      <c r="R283" s="51">
        <v>486491</v>
      </c>
      <c r="T283" s="51">
        <v>486491</v>
      </c>
      <c r="U283" s="2">
        <v>2E-3</v>
      </c>
      <c r="V283" s="2">
        <v>8.0000000000000002E-3</v>
      </c>
      <c r="W283" t="s">
        <v>373</v>
      </c>
      <c r="X283" t="s">
        <v>373</v>
      </c>
      <c r="Y283">
        <v>451.11</v>
      </c>
      <c r="Z283">
        <v>458.15</v>
      </c>
      <c r="AB283" s="2">
        <v>1</v>
      </c>
      <c r="AC283">
        <v>202.14</v>
      </c>
      <c r="AD283">
        <v>211.39</v>
      </c>
      <c r="AF283" s="2">
        <v>1</v>
      </c>
      <c r="AG283">
        <v>268.58999999999997</v>
      </c>
      <c r="AH283">
        <v>278.14</v>
      </c>
      <c r="AJ283" s="2">
        <v>1</v>
      </c>
      <c r="AN283" t="s">
        <v>373</v>
      </c>
      <c r="AR283" t="s">
        <v>373</v>
      </c>
      <c r="AS283" t="s">
        <v>16</v>
      </c>
      <c r="AT283" t="str">
        <f t="shared" si="4"/>
        <v>Lowell - 156AL</v>
      </c>
    </row>
    <row r="284" spans="1:46" x14ac:dyDescent="0.25">
      <c r="A284" t="s">
        <v>316</v>
      </c>
      <c r="B284" t="s">
        <v>252</v>
      </c>
      <c r="C284" t="s">
        <v>181</v>
      </c>
      <c r="D284" s="50">
        <v>46054</v>
      </c>
      <c r="E284" s="2">
        <v>0.97399999999999998</v>
      </c>
      <c r="F284" s="2">
        <v>0.94299999999999995</v>
      </c>
      <c r="G284" t="s">
        <v>373</v>
      </c>
      <c r="H284" t="s">
        <v>373</v>
      </c>
      <c r="I284" s="2">
        <v>0.5</v>
      </c>
      <c r="J284" s="2">
        <v>0.33300000000000002</v>
      </c>
      <c r="K284" s="2">
        <v>0</v>
      </c>
      <c r="L284" s="2">
        <v>0.33300000000000002</v>
      </c>
      <c r="M284" s="51">
        <v>3585</v>
      </c>
      <c r="N284" s="51">
        <v>4041</v>
      </c>
      <c r="P284" s="51">
        <v>4041</v>
      </c>
      <c r="Q284" s="51">
        <v>245267</v>
      </c>
      <c r="R284" s="51">
        <v>486491</v>
      </c>
      <c r="T284" s="51">
        <v>486491</v>
      </c>
      <c r="U284" s="2">
        <v>1.4999999999999999E-2</v>
      </c>
      <c r="V284" s="2">
        <v>8.0000000000000002E-3</v>
      </c>
      <c r="W284" t="s">
        <v>373</v>
      </c>
      <c r="X284" t="s">
        <v>373</v>
      </c>
      <c r="Y284">
        <v>465.19</v>
      </c>
      <c r="Z284">
        <v>458.15</v>
      </c>
      <c r="AB284" s="2">
        <v>1</v>
      </c>
      <c r="AC284">
        <v>220.64</v>
      </c>
      <c r="AD284">
        <v>211.39</v>
      </c>
      <c r="AF284" s="2">
        <v>1</v>
      </c>
      <c r="AG284">
        <v>287.68</v>
      </c>
      <c r="AH284">
        <v>278.14</v>
      </c>
      <c r="AJ284" s="2">
        <v>1</v>
      </c>
      <c r="AN284" t="s">
        <v>373</v>
      </c>
      <c r="AR284" t="s">
        <v>373</v>
      </c>
      <c r="AS284" t="s">
        <v>16</v>
      </c>
      <c r="AT284" t="str">
        <f t="shared" si="4"/>
        <v>Lowell - 156AL</v>
      </c>
    </row>
    <row r="285" spans="1:46" x14ac:dyDescent="0.25">
      <c r="A285" t="s">
        <v>316</v>
      </c>
      <c r="B285" t="s">
        <v>252</v>
      </c>
      <c r="C285" t="s">
        <v>193</v>
      </c>
      <c r="D285" s="50">
        <v>46023</v>
      </c>
      <c r="E285" s="2">
        <v>0.94</v>
      </c>
      <c r="F285" s="2">
        <v>0.95299999999999996</v>
      </c>
      <c r="G285" t="s">
        <v>373</v>
      </c>
      <c r="H285" t="s">
        <v>373</v>
      </c>
      <c r="I285" s="2">
        <v>0</v>
      </c>
      <c r="J285" s="2">
        <v>0</v>
      </c>
      <c r="K285" s="2">
        <v>0</v>
      </c>
      <c r="L285" s="2">
        <v>0</v>
      </c>
      <c r="M285" s="51">
        <v>1229</v>
      </c>
      <c r="N285" s="51">
        <v>1778</v>
      </c>
      <c r="P285" s="51">
        <v>1778</v>
      </c>
      <c r="Q285" s="51">
        <v>263641</v>
      </c>
      <c r="R285" s="51">
        <v>532421</v>
      </c>
      <c r="T285" s="51">
        <v>532421</v>
      </c>
      <c r="U285" s="2">
        <v>5.0000000000000001E-3</v>
      </c>
      <c r="V285" s="2">
        <v>3.0000000000000001E-3</v>
      </c>
      <c r="W285" t="s">
        <v>373</v>
      </c>
      <c r="X285" t="s">
        <v>373</v>
      </c>
      <c r="Y285">
        <v>481.21</v>
      </c>
      <c r="Z285">
        <v>487.81</v>
      </c>
      <c r="AB285" s="2">
        <v>1</v>
      </c>
      <c r="AC285">
        <v>220.66</v>
      </c>
      <c r="AD285">
        <v>232.52</v>
      </c>
      <c r="AF285" s="2">
        <v>1</v>
      </c>
      <c r="AG285">
        <v>243.47</v>
      </c>
      <c r="AH285">
        <v>255.88</v>
      </c>
      <c r="AJ285" s="2">
        <v>1</v>
      </c>
      <c r="AK285">
        <v>136.82</v>
      </c>
      <c r="AL285">
        <v>142.9</v>
      </c>
      <c r="AN285" s="2">
        <v>1</v>
      </c>
      <c r="AR285" t="s">
        <v>373</v>
      </c>
      <c r="AS285" t="s">
        <v>16</v>
      </c>
      <c r="AT285" t="str">
        <f t="shared" si="4"/>
        <v>Muskegon - 525AL</v>
      </c>
    </row>
    <row r="286" spans="1:46" x14ac:dyDescent="0.25">
      <c r="A286" t="s">
        <v>316</v>
      </c>
      <c r="B286" t="s">
        <v>252</v>
      </c>
      <c r="C286" t="s">
        <v>193</v>
      </c>
      <c r="D286" s="50">
        <v>46054</v>
      </c>
      <c r="E286" s="2">
        <v>0.96599999999999997</v>
      </c>
      <c r="F286" s="2">
        <v>0.95299999999999996</v>
      </c>
      <c r="G286" t="s">
        <v>373</v>
      </c>
      <c r="H286" t="s">
        <v>373</v>
      </c>
      <c r="I286" s="2">
        <v>0</v>
      </c>
      <c r="J286" s="2">
        <v>0</v>
      </c>
      <c r="K286" s="2">
        <v>0</v>
      </c>
      <c r="L286" s="2">
        <v>0</v>
      </c>
      <c r="M286" s="51">
        <v>549</v>
      </c>
      <c r="N286" s="51">
        <v>1778</v>
      </c>
      <c r="P286" s="51">
        <v>1778</v>
      </c>
      <c r="Q286" s="51">
        <v>268780</v>
      </c>
      <c r="R286" s="51">
        <v>532421</v>
      </c>
      <c r="T286" s="51">
        <v>532421</v>
      </c>
      <c r="U286" s="2">
        <v>2E-3</v>
      </c>
      <c r="V286" s="2">
        <v>3.0000000000000001E-3</v>
      </c>
      <c r="W286" t="s">
        <v>373</v>
      </c>
      <c r="X286" t="s">
        <v>373</v>
      </c>
      <c r="Y286">
        <v>494.41</v>
      </c>
      <c r="Z286">
        <v>487.81</v>
      </c>
      <c r="AB286" s="2">
        <v>1</v>
      </c>
      <c r="AC286">
        <v>244.37</v>
      </c>
      <c r="AD286">
        <v>232.52</v>
      </c>
      <c r="AF286" s="2">
        <v>1</v>
      </c>
      <c r="AG286">
        <v>268.27999999999997</v>
      </c>
      <c r="AH286">
        <v>255.88</v>
      </c>
      <c r="AJ286" s="2">
        <v>1</v>
      </c>
      <c r="AK286">
        <v>148.97</v>
      </c>
      <c r="AL286">
        <v>142.9</v>
      </c>
      <c r="AN286" s="2">
        <v>1</v>
      </c>
      <c r="AR286" t="s">
        <v>373</v>
      </c>
      <c r="AS286" t="s">
        <v>16</v>
      </c>
      <c r="AT286" t="str">
        <f t="shared" si="4"/>
        <v>Muskegon - 525AL</v>
      </c>
    </row>
    <row r="287" spans="1:46" x14ac:dyDescent="0.25">
      <c r="A287" t="s">
        <v>316</v>
      </c>
      <c r="B287" t="s">
        <v>252</v>
      </c>
      <c r="C287" t="s">
        <v>224</v>
      </c>
      <c r="D287" s="50">
        <v>46023</v>
      </c>
      <c r="E287" s="2">
        <v>0.92600000000000005</v>
      </c>
      <c r="F287" s="2">
        <v>0.93899999999999995</v>
      </c>
      <c r="G287" t="s">
        <v>373</v>
      </c>
      <c r="H287" t="s">
        <v>373</v>
      </c>
      <c r="I287" s="2">
        <v>0</v>
      </c>
      <c r="J287" s="2">
        <v>0</v>
      </c>
      <c r="K287" s="2">
        <v>0</v>
      </c>
      <c r="L287" s="2">
        <v>0</v>
      </c>
      <c r="M287" s="51">
        <v>498</v>
      </c>
      <c r="N287" s="51">
        <v>996</v>
      </c>
      <c r="P287" s="51">
        <v>996</v>
      </c>
      <c r="Q287" s="51">
        <v>66176</v>
      </c>
      <c r="R287" s="51">
        <v>134593</v>
      </c>
      <c r="T287" s="51">
        <v>134593</v>
      </c>
      <c r="U287" s="2">
        <v>8.0000000000000002E-3</v>
      </c>
      <c r="V287" s="2">
        <v>7.0000000000000001E-3</v>
      </c>
      <c r="W287" t="s">
        <v>373</v>
      </c>
      <c r="X287" t="s">
        <v>373</v>
      </c>
      <c r="Y287">
        <v>491.58</v>
      </c>
      <c r="Z287">
        <v>489.62</v>
      </c>
      <c r="AB287" s="2">
        <v>1</v>
      </c>
      <c r="AC287">
        <v>118.86</v>
      </c>
      <c r="AD287">
        <v>124.94</v>
      </c>
      <c r="AF287" s="2">
        <v>1</v>
      </c>
      <c r="AJ287" t="s">
        <v>373</v>
      </c>
      <c r="AN287" t="s">
        <v>373</v>
      </c>
      <c r="AR287" t="s">
        <v>373</v>
      </c>
      <c r="AS287" t="s">
        <v>16</v>
      </c>
      <c r="AT287" t="str">
        <f t="shared" si="4"/>
        <v>Sun Prairie - 572AL</v>
      </c>
    </row>
    <row r="288" spans="1:46" x14ac:dyDescent="0.25">
      <c r="A288" t="s">
        <v>316</v>
      </c>
      <c r="B288" t="s">
        <v>252</v>
      </c>
      <c r="C288" t="s">
        <v>224</v>
      </c>
      <c r="D288" s="50">
        <v>46054</v>
      </c>
      <c r="E288" s="2">
        <v>0.95399999999999996</v>
      </c>
      <c r="F288" s="2">
        <v>0.93899999999999995</v>
      </c>
      <c r="G288" t="s">
        <v>373</v>
      </c>
      <c r="H288" t="s">
        <v>373</v>
      </c>
      <c r="I288" s="2">
        <v>0</v>
      </c>
      <c r="J288" s="2">
        <v>0</v>
      </c>
      <c r="K288" s="2">
        <v>0</v>
      </c>
      <c r="L288" s="2">
        <v>0</v>
      </c>
      <c r="M288" s="51">
        <v>498</v>
      </c>
      <c r="N288" s="51">
        <v>996</v>
      </c>
      <c r="P288" s="51">
        <v>996</v>
      </c>
      <c r="Q288" s="51">
        <v>68416</v>
      </c>
      <c r="R288" s="51">
        <v>134593</v>
      </c>
      <c r="T288" s="51">
        <v>134593</v>
      </c>
      <c r="U288" s="2">
        <v>7.0000000000000001E-3</v>
      </c>
      <c r="V288" s="2">
        <v>7.0000000000000001E-3</v>
      </c>
      <c r="W288" t="s">
        <v>373</v>
      </c>
      <c r="X288" t="s">
        <v>373</v>
      </c>
      <c r="Y288">
        <v>487.65</v>
      </c>
      <c r="Z288">
        <v>489.62</v>
      </c>
      <c r="AB288" s="2">
        <v>1</v>
      </c>
      <c r="AC288">
        <v>131.02000000000001</v>
      </c>
      <c r="AD288">
        <v>124.94</v>
      </c>
      <c r="AF288" s="2">
        <v>1</v>
      </c>
      <c r="AJ288" t="s">
        <v>373</v>
      </c>
      <c r="AN288" t="s">
        <v>373</v>
      </c>
      <c r="AR288" t="s">
        <v>373</v>
      </c>
      <c r="AS288" t="s">
        <v>16</v>
      </c>
      <c r="AT288" t="str">
        <f t="shared" si="4"/>
        <v>Sun Prairie - 572AL</v>
      </c>
    </row>
    <row r="289" spans="1:46" x14ac:dyDescent="0.25">
      <c r="A289" t="s">
        <v>316</v>
      </c>
      <c r="B289" t="s">
        <v>252</v>
      </c>
      <c r="C289" t="s">
        <v>235</v>
      </c>
      <c r="D289" s="50">
        <v>46023</v>
      </c>
      <c r="E289" s="2">
        <v>0.80700000000000005</v>
      </c>
      <c r="F289" s="2">
        <v>0.80400000000000005</v>
      </c>
      <c r="G289" t="s">
        <v>373</v>
      </c>
      <c r="H289" t="s">
        <v>373</v>
      </c>
      <c r="I289" s="2">
        <v>0.33300000000000002</v>
      </c>
      <c r="J289" s="2">
        <v>0.125</v>
      </c>
      <c r="K289" s="2">
        <v>0</v>
      </c>
      <c r="L289" s="2">
        <v>0.125</v>
      </c>
      <c r="M289" s="51">
        <v>14040</v>
      </c>
      <c r="N289" s="51">
        <v>28486</v>
      </c>
      <c r="P289" s="51">
        <v>28486</v>
      </c>
      <c r="Q289" s="51">
        <v>343245</v>
      </c>
      <c r="R289" s="51">
        <v>676958</v>
      </c>
      <c r="T289" s="51">
        <v>676958</v>
      </c>
      <c r="U289" s="2">
        <v>4.1000000000000002E-2</v>
      </c>
      <c r="V289" s="2">
        <v>4.2000000000000003E-2</v>
      </c>
      <c r="W289" t="s">
        <v>373</v>
      </c>
      <c r="X289" t="s">
        <v>373</v>
      </c>
      <c r="Y289">
        <v>416.95</v>
      </c>
      <c r="Z289">
        <v>426.23</v>
      </c>
      <c r="AB289" s="2">
        <v>1</v>
      </c>
      <c r="AC289">
        <v>178.54</v>
      </c>
      <c r="AD289">
        <v>186.33</v>
      </c>
      <c r="AF289" s="2">
        <v>1</v>
      </c>
      <c r="AG289">
        <v>205.68</v>
      </c>
      <c r="AH289">
        <v>215.75</v>
      </c>
      <c r="AJ289" s="2">
        <v>1</v>
      </c>
      <c r="AN289" t="s">
        <v>373</v>
      </c>
      <c r="AR289" t="s">
        <v>373</v>
      </c>
      <c r="AS289" t="s">
        <v>16</v>
      </c>
      <c r="AT289" t="str">
        <f t="shared" si="4"/>
        <v>Valparaiso - 139AL</v>
      </c>
    </row>
    <row r="290" spans="1:46" x14ac:dyDescent="0.25">
      <c r="A290" t="s">
        <v>316</v>
      </c>
      <c r="B290" t="s">
        <v>252</v>
      </c>
      <c r="C290" t="s">
        <v>235</v>
      </c>
      <c r="D290" s="50">
        <v>46054</v>
      </c>
      <c r="E290" s="2">
        <v>0.8</v>
      </c>
      <c r="F290" s="2">
        <v>0.80400000000000005</v>
      </c>
      <c r="G290" t="s">
        <v>373</v>
      </c>
      <c r="H290" t="s">
        <v>373</v>
      </c>
      <c r="I290" s="2">
        <v>0</v>
      </c>
      <c r="J290" s="2">
        <v>0.125</v>
      </c>
      <c r="K290" s="2">
        <v>0</v>
      </c>
      <c r="L290" s="2">
        <v>0.125</v>
      </c>
      <c r="M290" s="51">
        <v>14446</v>
      </c>
      <c r="N290" s="51">
        <v>28486</v>
      </c>
      <c r="P290" s="51">
        <v>28486</v>
      </c>
      <c r="Q290" s="51">
        <v>333713</v>
      </c>
      <c r="R290" s="51">
        <v>676958</v>
      </c>
      <c r="T290" s="51">
        <v>676958</v>
      </c>
      <c r="U290" s="2">
        <v>4.2999999999999997E-2</v>
      </c>
      <c r="V290" s="2">
        <v>4.2000000000000003E-2</v>
      </c>
      <c r="W290" t="s">
        <v>373</v>
      </c>
      <c r="X290" t="s">
        <v>373</v>
      </c>
      <c r="Y290">
        <v>435.51</v>
      </c>
      <c r="Z290">
        <v>426.23</v>
      </c>
      <c r="AB290" s="2">
        <v>1</v>
      </c>
      <c r="AC290">
        <v>194.13</v>
      </c>
      <c r="AD290">
        <v>186.33</v>
      </c>
      <c r="AF290" s="2">
        <v>1</v>
      </c>
      <c r="AG290">
        <v>225.83</v>
      </c>
      <c r="AH290">
        <v>215.75</v>
      </c>
      <c r="AJ290" s="2">
        <v>1</v>
      </c>
      <c r="AN290" t="s">
        <v>373</v>
      </c>
      <c r="AR290" t="s">
        <v>373</v>
      </c>
      <c r="AS290" t="s">
        <v>16</v>
      </c>
      <c r="AT290" t="str">
        <f t="shared" si="4"/>
        <v>Valparaiso - 139AL</v>
      </c>
    </row>
    <row r="291" spans="1:46" x14ac:dyDescent="0.25">
      <c r="A291" t="s">
        <v>316</v>
      </c>
      <c r="B291" t="s">
        <v>252</v>
      </c>
      <c r="C291" t="s">
        <v>243</v>
      </c>
      <c r="D291" s="50">
        <v>46023</v>
      </c>
      <c r="E291" s="2">
        <v>0.95199999999999996</v>
      </c>
      <c r="F291" s="2">
        <v>0.95599999999999996</v>
      </c>
      <c r="G291" t="s">
        <v>373</v>
      </c>
      <c r="H291" t="s">
        <v>373</v>
      </c>
      <c r="I291" s="2">
        <v>0</v>
      </c>
      <c r="J291" s="2">
        <v>0</v>
      </c>
      <c r="K291" s="2">
        <v>0</v>
      </c>
      <c r="L291" s="2">
        <v>0</v>
      </c>
      <c r="M291" s="51">
        <v>14963</v>
      </c>
      <c r="N291" s="51">
        <v>26543</v>
      </c>
      <c r="P291" s="51">
        <v>26543</v>
      </c>
      <c r="Q291" s="51">
        <v>407937</v>
      </c>
      <c r="R291" s="51">
        <v>829798</v>
      </c>
      <c r="T291" s="51">
        <v>829798</v>
      </c>
      <c r="U291" s="2">
        <v>3.6999999999999998E-2</v>
      </c>
      <c r="V291" s="2">
        <v>3.2000000000000001E-2</v>
      </c>
      <c r="W291" t="s">
        <v>373</v>
      </c>
      <c r="X291" t="s">
        <v>373</v>
      </c>
      <c r="Y291">
        <v>514.54999999999995</v>
      </c>
      <c r="Z291">
        <v>514.03</v>
      </c>
      <c r="AB291" s="2">
        <v>1</v>
      </c>
      <c r="AC291">
        <v>112.08</v>
      </c>
      <c r="AD291">
        <v>118.42</v>
      </c>
      <c r="AF291" s="2">
        <v>1</v>
      </c>
      <c r="AG291">
        <v>200.51</v>
      </c>
      <c r="AH291">
        <v>215.93</v>
      </c>
      <c r="AJ291" s="2">
        <v>1</v>
      </c>
      <c r="AN291" t="s">
        <v>373</v>
      </c>
      <c r="AO291">
        <v>80.03</v>
      </c>
      <c r="AP291">
        <v>87.05</v>
      </c>
      <c r="AR291" s="2">
        <v>1</v>
      </c>
      <c r="AS291" t="s">
        <v>16</v>
      </c>
      <c r="AT291" t="str">
        <f t="shared" si="4"/>
        <v>Waunakee - 571AL</v>
      </c>
    </row>
    <row r="292" spans="1:46" x14ac:dyDescent="0.25">
      <c r="A292" t="s">
        <v>316</v>
      </c>
      <c r="B292" t="s">
        <v>252</v>
      </c>
      <c r="C292" t="s">
        <v>243</v>
      </c>
      <c r="D292" s="50">
        <v>46054</v>
      </c>
      <c r="E292" s="2">
        <v>0.96</v>
      </c>
      <c r="F292" s="2">
        <v>0.95599999999999996</v>
      </c>
      <c r="G292" t="s">
        <v>373</v>
      </c>
      <c r="H292" t="s">
        <v>373</v>
      </c>
      <c r="I292" s="2">
        <v>0</v>
      </c>
      <c r="J292" s="2">
        <v>0</v>
      </c>
      <c r="K292" s="2">
        <v>0</v>
      </c>
      <c r="L292" s="2">
        <v>0</v>
      </c>
      <c r="M292" s="51">
        <v>11580</v>
      </c>
      <c r="N292" s="51">
        <v>26543</v>
      </c>
      <c r="P292" s="51">
        <v>26543</v>
      </c>
      <c r="Q292" s="51">
        <v>421861</v>
      </c>
      <c r="R292" s="51">
        <v>829798</v>
      </c>
      <c r="T292" s="51">
        <v>829798</v>
      </c>
      <c r="U292" s="2">
        <v>2.7E-2</v>
      </c>
      <c r="V292" s="2">
        <v>3.2000000000000001E-2</v>
      </c>
      <c r="W292" t="s">
        <v>373</v>
      </c>
      <c r="X292" t="s">
        <v>373</v>
      </c>
      <c r="Y292">
        <v>513.51</v>
      </c>
      <c r="Z292">
        <v>514.03</v>
      </c>
      <c r="AB292" s="2">
        <v>1</v>
      </c>
      <c r="AC292">
        <v>124.77</v>
      </c>
      <c r="AD292">
        <v>118.42</v>
      </c>
      <c r="AF292" s="2">
        <v>1</v>
      </c>
      <c r="AG292">
        <v>231.35</v>
      </c>
      <c r="AH292">
        <v>215.93</v>
      </c>
      <c r="AJ292" s="2">
        <v>1</v>
      </c>
      <c r="AN292" t="s">
        <v>373</v>
      </c>
      <c r="AO292">
        <v>94.07</v>
      </c>
      <c r="AP292">
        <v>87.05</v>
      </c>
      <c r="AR292" s="2">
        <v>1</v>
      </c>
      <c r="AS292" t="s">
        <v>16</v>
      </c>
      <c r="AT292" t="str">
        <f t="shared" si="4"/>
        <v>Waunakee - 571AL</v>
      </c>
    </row>
    <row r="293" spans="1:46" x14ac:dyDescent="0.25">
      <c r="A293" t="s">
        <v>316</v>
      </c>
      <c r="B293" t="s">
        <v>76</v>
      </c>
      <c r="C293" t="s">
        <v>77</v>
      </c>
      <c r="D293" s="50">
        <v>46023</v>
      </c>
      <c r="E293" s="2">
        <v>0.875</v>
      </c>
      <c r="F293" s="2">
        <v>0.86399999999999999</v>
      </c>
      <c r="G293" t="s">
        <v>373</v>
      </c>
      <c r="H293" t="s">
        <v>373</v>
      </c>
      <c r="I293" s="2">
        <v>1</v>
      </c>
      <c r="J293" s="2">
        <v>0.5</v>
      </c>
      <c r="K293" s="2">
        <v>0</v>
      </c>
      <c r="L293" s="2">
        <v>0.5</v>
      </c>
      <c r="M293" s="51">
        <v>0</v>
      </c>
      <c r="N293" s="51">
        <v>3000</v>
      </c>
      <c r="P293" s="51">
        <v>3000</v>
      </c>
      <c r="Q293" s="51">
        <v>211007</v>
      </c>
      <c r="R293" s="51">
        <v>419381</v>
      </c>
      <c r="T293" s="51">
        <v>419381</v>
      </c>
      <c r="U293" s="2">
        <v>0</v>
      </c>
      <c r="V293" s="2">
        <v>7.0000000000000001E-3</v>
      </c>
      <c r="W293" t="s">
        <v>373</v>
      </c>
      <c r="X293" t="s">
        <v>373</v>
      </c>
      <c r="Y293">
        <v>442.97</v>
      </c>
      <c r="Z293">
        <v>443.64</v>
      </c>
      <c r="AB293" s="2">
        <v>1</v>
      </c>
      <c r="AC293">
        <v>215.72</v>
      </c>
      <c r="AD293">
        <v>223.33</v>
      </c>
      <c r="AF293" s="2">
        <v>1</v>
      </c>
      <c r="AG293">
        <v>252.01</v>
      </c>
      <c r="AH293">
        <v>263.27</v>
      </c>
      <c r="AJ293" s="2">
        <v>1</v>
      </c>
      <c r="AN293" t="s">
        <v>373</v>
      </c>
      <c r="AO293">
        <v>101.98</v>
      </c>
      <c r="AP293">
        <v>107.31</v>
      </c>
      <c r="AR293" s="2">
        <v>1</v>
      </c>
      <c r="AS293" t="s">
        <v>16</v>
      </c>
      <c r="AT293" t="str">
        <f t="shared" si="4"/>
        <v>Corydon - 2180AL</v>
      </c>
    </row>
    <row r="294" spans="1:46" x14ac:dyDescent="0.25">
      <c r="A294" t="s">
        <v>316</v>
      </c>
      <c r="B294" t="s">
        <v>76</v>
      </c>
      <c r="C294" t="s">
        <v>77</v>
      </c>
      <c r="D294" s="50">
        <v>46054</v>
      </c>
      <c r="E294" s="2">
        <v>0.85199999999999998</v>
      </c>
      <c r="F294" s="2">
        <v>0.86399999999999999</v>
      </c>
      <c r="G294" t="s">
        <v>373</v>
      </c>
      <c r="H294" t="s">
        <v>373</v>
      </c>
      <c r="I294" s="2">
        <v>0</v>
      </c>
      <c r="J294" s="2">
        <v>0.5</v>
      </c>
      <c r="K294" s="2">
        <v>0</v>
      </c>
      <c r="L294" s="2">
        <v>0.5</v>
      </c>
      <c r="M294" s="51">
        <v>3000</v>
      </c>
      <c r="N294" s="51">
        <v>3000</v>
      </c>
      <c r="P294" s="51">
        <v>3000</v>
      </c>
      <c r="Q294" s="51">
        <v>208374</v>
      </c>
      <c r="R294" s="51">
        <v>419381</v>
      </c>
      <c r="T294" s="51">
        <v>419381</v>
      </c>
      <c r="U294" s="2">
        <v>1.4E-2</v>
      </c>
      <c r="V294" s="2">
        <v>7.0000000000000001E-3</v>
      </c>
      <c r="W294" t="s">
        <v>373</v>
      </c>
      <c r="X294" t="s">
        <v>373</v>
      </c>
      <c r="Y294">
        <v>444.31</v>
      </c>
      <c r="Z294">
        <v>443.64</v>
      </c>
      <c r="AB294" s="2">
        <v>1</v>
      </c>
      <c r="AC294">
        <v>230.94</v>
      </c>
      <c r="AD294">
        <v>223.33</v>
      </c>
      <c r="AF294" s="2">
        <v>1</v>
      </c>
      <c r="AG294">
        <v>274.52999999999997</v>
      </c>
      <c r="AH294">
        <v>263.27</v>
      </c>
      <c r="AJ294" s="2">
        <v>1</v>
      </c>
      <c r="AN294" t="s">
        <v>373</v>
      </c>
      <c r="AO294">
        <v>112.65</v>
      </c>
      <c r="AP294">
        <v>107.31</v>
      </c>
      <c r="AR294" s="2">
        <v>1</v>
      </c>
      <c r="AS294" t="s">
        <v>16</v>
      </c>
      <c r="AT294" t="str">
        <f t="shared" si="4"/>
        <v>Corydon - 2180AL</v>
      </c>
    </row>
    <row r="295" spans="1:46" x14ac:dyDescent="0.25">
      <c r="A295" t="s">
        <v>316</v>
      </c>
      <c r="B295" t="s">
        <v>76</v>
      </c>
      <c r="C295" t="s">
        <v>166</v>
      </c>
      <c r="D295" s="50">
        <v>46023</v>
      </c>
      <c r="E295" s="2">
        <v>0.98499999999999999</v>
      </c>
      <c r="F295" s="2">
        <v>0.99</v>
      </c>
      <c r="G295" t="s">
        <v>373</v>
      </c>
      <c r="H295" t="s">
        <v>373</v>
      </c>
      <c r="I295" s="2">
        <v>0</v>
      </c>
      <c r="J295" s="2">
        <v>0</v>
      </c>
      <c r="K295" s="2">
        <v>0</v>
      </c>
      <c r="L295" s="2">
        <v>0</v>
      </c>
      <c r="M295" s="51">
        <v>969</v>
      </c>
      <c r="N295" s="51">
        <v>1599</v>
      </c>
      <c r="P295" s="51">
        <v>1599</v>
      </c>
      <c r="Q295" s="51">
        <v>513834</v>
      </c>
      <c r="R295" s="51">
        <v>1028699</v>
      </c>
      <c r="T295" s="51">
        <v>1028699</v>
      </c>
      <c r="U295" s="2">
        <v>2E-3</v>
      </c>
      <c r="V295" s="2">
        <v>2E-3</v>
      </c>
      <c r="W295" t="s">
        <v>373</v>
      </c>
      <c r="X295" t="s">
        <v>373</v>
      </c>
      <c r="AB295" t="s">
        <v>373</v>
      </c>
      <c r="AC295">
        <v>309</v>
      </c>
      <c r="AD295">
        <v>309</v>
      </c>
      <c r="AF295" s="2">
        <v>1</v>
      </c>
      <c r="AG295">
        <v>264.93</v>
      </c>
      <c r="AH295">
        <v>279.45999999999998</v>
      </c>
      <c r="AJ295" s="2">
        <v>1</v>
      </c>
      <c r="AN295" t="s">
        <v>373</v>
      </c>
      <c r="AR295" t="s">
        <v>373</v>
      </c>
      <c r="AS295" t="s">
        <v>16</v>
      </c>
      <c r="AT295" t="str">
        <f t="shared" si="4"/>
        <v>Louisville ES - 210AL</v>
      </c>
    </row>
    <row r="296" spans="1:46" x14ac:dyDescent="0.25">
      <c r="A296" t="s">
        <v>316</v>
      </c>
      <c r="B296" t="s">
        <v>76</v>
      </c>
      <c r="C296" t="s">
        <v>166</v>
      </c>
      <c r="D296" s="50">
        <v>46054</v>
      </c>
      <c r="E296" s="2">
        <v>0.995</v>
      </c>
      <c r="F296" s="2">
        <v>0.99</v>
      </c>
      <c r="G296" t="s">
        <v>373</v>
      </c>
      <c r="H296" t="s">
        <v>373</v>
      </c>
      <c r="I296" s="2">
        <v>0</v>
      </c>
      <c r="J296" s="2">
        <v>0</v>
      </c>
      <c r="K296" s="2">
        <v>0</v>
      </c>
      <c r="L296" s="2">
        <v>0</v>
      </c>
      <c r="M296" s="51">
        <v>630</v>
      </c>
      <c r="N296" s="51">
        <v>1599</v>
      </c>
      <c r="P296" s="51">
        <v>1599</v>
      </c>
      <c r="Q296" s="51">
        <v>514865</v>
      </c>
      <c r="R296" s="51">
        <v>1028699</v>
      </c>
      <c r="T296" s="51">
        <v>1028699</v>
      </c>
      <c r="U296" s="2">
        <v>1E-3</v>
      </c>
      <c r="V296" s="2">
        <v>2E-3</v>
      </c>
      <c r="W296" t="s">
        <v>373</v>
      </c>
      <c r="X296" t="s">
        <v>373</v>
      </c>
      <c r="AB296" t="s">
        <v>373</v>
      </c>
      <c r="AC296">
        <v>309</v>
      </c>
      <c r="AD296">
        <v>309</v>
      </c>
      <c r="AF296" s="2">
        <v>1</v>
      </c>
      <c r="AG296">
        <v>293.99</v>
      </c>
      <c r="AH296">
        <v>279.45999999999998</v>
      </c>
      <c r="AJ296" s="2">
        <v>1</v>
      </c>
      <c r="AN296" t="s">
        <v>373</v>
      </c>
      <c r="AR296" t="s">
        <v>373</v>
      </c>
      <c r="AS296" t="s">
        <v>16</v>
      </c>
      <c r="AT296" t="str">
        <f t="shared" si="4"/>
        <v>Louisville ES - 210AL</v>
      </c>
    </row>
    <row r="297" spans="1:46" x14ac:dyDescent="0.25">
      <c r="A297" t="s">
        <v>316</v>
      </c>
      <c r="B297" t="s">
        <v>76</v>
      </c>
      <c r="C297" t="s">
        <v>167</v>
      </c>
      <c r="D297" s="50">
        <v>46023</v>
      </c>
      <c r="E297" s="2">
        <v>0.96799999999999997</v>
      </c>
      <c r="F297" s="2">
        <v>0.97099999999999997</v>
      </c>
      <c r="G297" t="s">
        <v>373</v>
      </c>
      <c r="H297" t="s">
        <v>373</v>
      </c>
      <c r="I297" s="2">
        <v>0</v>
      </c>
      <c r="J297" s="2">
        <v>0</v>
      </c>
      <c r="K297" s="2">
        <v>0</v>
      </c>
      <c r="L297" s="2">
        <v>0</v>
      </c>
      <c r="M297" s="51">
        <v>0</v>
      </c>
      <c r="N297" s="51">
        <v>0</v>
      </c>
      <c r="P297" s="51">
        <v>0</v>
      </c>
      <c r="Q297" s="51">
        <v>141605</v>
      </c>
      <c r="R297" s="51">
        <v>283254</v>
      </c>
      <c r="T297" s="51">
        <v>283254</v>
      </c>
      <c r="U297" s="2">
        <v>0</v>
      </c>
      <c r="V297" s="2">
        <v>0</v>
      </c>
      <c r="W297" t="s">
        <v>373</v>
      </c>
      <c r="X297" t="s">
        <v>373</v>
      </c>
      <c r="Y297">
        <v>468.86</v>
      </c>
      <c r="Z297">
        <v>467.43</v>
      </c>
      <c r="AB297" s="2">
        <v>1</v>
      </c>
      <c r="AC297">
        <v>85.62</v>
      </c>
      <c r="AD297">
        <v>91.02</v>
      </c>
      <c r="AF297" s="2">
        <v>1</v>
      </c>
      <c r="AJ297" t="s">
        <v>373</v>
      </c>
      <c r="AN297" t="s">
        <v>373</v>
      </c>
      <c r="AR297" t="s">
        <v>373</v>
      </c>
      <c r="AS297" t="s">
        <v>16</v>
      </c>
      <c r="AT297" t="str">
        <f t="shared" si="4"/>
        <v>Louisville FH - 2137AL</v>
      </c>
    </row>
    <row r="298" spans="1:46" x14ac:dyDescent="0.25">
      <c r="A298" t="s">
        <v>316</v>
      </c>
      <c r="B298" t="s">
        <v>76</v>
      </c>
      <c r="C298" t="s">
        <v>167</v>
      </c>
      <c r="D298" s="50">
        <v>46054</v>
      </c>
      <c r="E298" s="2">
        <v>0.97499999999999998</v>
      </c>
      <c r="F298" s="2">
        <v>0.97099999999999997</v>
      </c>
      <c r="G298" t="s">
        <v>373</v>
      </c>
      <c r="H298" t="s">
        <v>373</v>
      </c>
      <c r="I298" s="2">
        <v>0</v>
      </c>
      <c r="J298" s="2">
        <v>0</v>
      </c>
      <c r="K298" s="2">
        <v>0</v>
      </c>
      <c r="L298" s="2">
        <v>0</v>
      </c>
      <c r="M298" s="51">
        <v>0</v>
      </c>
      <c r="N298" s="51">
        <v>0</v>
      </c>
      <c r="P298" s="51">
        <v>0</v>
      </c>
      <c r="Q298" s="51">
        <v>141649</v>
      </c>
      <c r="R298" s="51">
        <v>283254</v>
      </c>
      <c r="T298" s="51">
        <v>283254</v>
      </c>
      <c r="U298" s="2">
        <v>0</v>
      </c>
      <c r="V298" s="2">
        <v>0</v>
      </c>
      <c r="W298" t="s">
        <v>373</v>
      </c>
      <c r="X298" t="s">
        <v>373</v>
      </c>
      <c r="Y298">
        <v>466.01</v>
      </c>
      <c r="Z298">
        <v>467.43</v>
      </c>
      <c r="AB298" s="2">
        <v>1</v>
      </c>
      <c r="AC298">
        <v>96.42</v>
      </c>
      <c r="AD298">
        <v>91.02</v>
      </c>
      <c r="AF298" s="2">
        <v>1</v>
      </c>
      <c r="AJ298" t="s">
        <v>373</v>
      </c>
      <c r="AN298" t="s">
        <v>373</v>
      </c>
      <c r="AR298" t="s">
        <v>373</v>
      </c>
      <c r="AS298" t="s">
        <v>16</v>
      </c>
      <c r="AT298" t="str">
        <f t="shared" si="4"/>
        <v>Louisville FH - 2137AL</v>
      </c>
    </row>
    <row r="299" spans="1:46" x14ac:dyDescent="0.25">
      <c r="A299" t="s">
        <v>316</v>
      </c>
      <c r="B299" t="s">
        <v>76</v>
      </c>
      <c r="C299" t="s">
        <v>168</v>
      </c>
      <c r="D299" s="50">
        <v>46023</v>
      </c>
      <c r="E299" s="2">
        <v>0.90800000000000003</v>
      </c>
      <c r="F299" s="2">
        <v>0.89300000000000002</v>
      </c>
      <c r="G299" t="s">
        <v>373</v>
      </c>
      <c r="H299" t="s">
        <v>373</v>
      </c>
      <c r="I299" s="2">
        <v>0</v>
      </c>
      <c r="J299" s="2">
        <v>0</v>
      </c>
      <c r="K299" s="2">
        <v>0</v>
      </c>
      <c r="L299" s="2">
        <v>0</v>
      </c>
      <c r="M299" s="51">
        <v>0</v>
      </c>
      <c r="N299" s="51">
        <v>610</v>
      </c>
      <c r="P299" s="51">
        <v>610</v>
      </c>
      <c r="Q299" s="51">
        <v>214196</v>
      </c>
      <c r="R299" s="51">
        <v>422009</v>
      </c>
      <c r="T299" s="51">
        <v>422009</v>
      </c>
      <c r="U299" s="2">
        <v>0</v>
      </c>
      <c r="V299" s="2">
        <v>1E-3</v>
      </c>
      <c r="W299" t="s">
        <v>373</v>
      </c>
      <c r="X299" t="s">
        <v>373</v>
      </c>
      <c r="Y299">
        <v>491.64</v>
      </c>
      <c r="Z299">
        <v>492.22</v>
      </c>
      <c r="AB299" s="2">
        <v>1</v>
      </c>
      <c r="AC299">
        <v>203.31</v>
      </c>
      <c r="AD299">
        <v>215.9</v>
      </c>
      <c r="AF299" s="2">
        <v>1</v>
      </c>
      <c r="AG299">
        <v>257.81</v>
      </c>
      <c r="AH299">
        <v>271.64</v>
      </c>
      <c r="AJ299" s="2">
        <v>1</v>
      </c>
      <c r="AN299" t="s">
        <v>373</v>
      </c>
      <c r="AO299">
        <v>119.34</v>
      </c>
      <c r="AP299">
        <v>125.74</v>
      </c>
      <c r="AR299" s="2">
        <v>1</v>
      </c>
      <c r="AS299" t="s">
        <v>16</v>
      </c>
      <c r="AT299" t="str">
        <f t="shared" si="4"/>
        <v>Louisville FS - 2154AL</v>
      </c>
    </row>
    <row r="300" spans="1:46" x14ac:dyDescent="0.25">
      <c r="A300" t="s">
        <v>316</v>
      </c>
      <c r="B300" t="s">
        <v>76</v>
      </c>
      <c r="C300" t="s">
        <v>168</v>
      </c>
      <c r="D300" s="50">
        <v>46054</v>
      </c>
      <c r="E300" s="2">
        <v>0.876</v>
      </c>
      <c r="F300" s="2">
        <v>0.89300000000000002</v>
      </c>
      <c r="G300" t="s">
        <v>373</v>
      </c>
      <c r="H300" t="s">
        <v>373</v>
      </c>
      <c r="I300" s="2">
        <v>0</v>
      </c>
      <c r="J300" s="2">
        <v>0</v>
      </c>
      <c r="K300" s="2">
        <v>0</v>
      </c>
      <c r="L300" s="2">
        <v>0</v>
      </c>
      <c r="M300" s="51">
        <v>610</v>
      </c>
      <c r="N300" s="51">
        <v>610</v>
      </c>
      <c r="P300" s="51">
        <v>610</v>
      </c>
      <c r="Q300" s="51">
        <v>207813</v>
      </c>
      <c r="R300" s="51">
        <v>422009</v>
      </c>
      <c r="T300" s="51">
        <v>422009</v>
      </c>
      <c r="U300" s="2">
        <v>3.0000000000000001E-3</v>
      </c>
      <c r="V300" s="2">
        <v>1E-3</v>
      </c>
      <c r="W300" t="s">
        <v>373</v>
      </c>
      <c r="X300" t="s">
        <v>373</v>
      </c>
      <c r="Y300">
        <v>492.8</v>
      </c>
      <c r="Z300">
        <v>492.22</v>
      </c>
      <c r="AB300" s="2">
        <v>1</v>
      </c>
      <c r="AC300">
        <v>228.49</v>
      </c>
      <c r="AD300">
        <v>215.9</v>
      </c>
      <c r="AF300" s="2">
        <v>1</v>
      </c>
      <c r="AG300">
        <v>285.48</v>
      </c>
      <c r="AH300">
        <v>271.64</v>
      </c>
      <c r="AJ300" s="2">
        <v>1</v>
      </c>
      <c r="AN300" t="s">
        <v>373</v>
      </c>
      <c r="AO300">
        <v>132.13</v>
      </c>
      <c r="AP300">
        <v>125.74</v>
      </c>
      <c r="AR300" s="2">
        <v>1</v>
      </c>
      <c r="AS300" t="s">
        <v>16</v>
      </c>
      <c r="AT300" t="str">
        <f t="shared" si="4"/>
        <v>Louisville FS - 2154AL</v>
      </c>
    </row>
    <row r="301" spans="1:46" x14ac:dyDescent="0.25">
      <c r="A301" t="s">
        <v>316</v>
      </c>
      <c r="B301" t="s">
        <v>76</v>
      </c>
      <c r="C301" t="s">
        <v>169</v>
      </c>
      <c r="D301" s="50">
        <v>46023</v>
      </c>
      <c r="E301" s="2">
        <v>0.96199999999999997</v>
      </c>
      <c r="F301" s="2">
        <v>0.96099999999999997</v>
      </c>
      <c r="G301" t="s">
        <v>373</v>
      </c>
      <c r="H301" t="s">
        <v>373</v>
      </c>
      <c r="I301" s="2">
        <v>0</v>
      </c>
      <c r="J301" s="2">
        <v>0</v>
      </c>
      <c r="K301" s="2">
        <v>0</v>
      </c>
      <c r="L301" s="2">
        <v>0</v>
      </c>
      <c r="M301" s="51">
        <v>0</v>
      </c>
      <c r="N301" s="51">
        <v>0</v>
      </c>
      <c r="P301" s="51">
        <v>0</v>
      </c>
      <c r="Q301" s="51">
        <v>132228</v>
      </c>
      <c r="R301" s="51">
        <v>259916</v>
      </c>
      <c r="T301" s="51">
        <v>259916</v>
      </c>
      <c r="U301" s="2">
        <v>0</v>
      </c>
      <c r="V301" s="2">
        <v>0</v>
      </c>
      <c r="W301" t="s">
        <v>373</v>
      </c>
      <c r="X301" t="s">
        <v>373</v>
      </c>
      <c r="Y301">
        <v>492.59</v>
      </c>
      <c r="Z301">
        <v>488.76</v>
      </c>
      <c r="AB301" s="2">
        <v>1</v>
      </c>
      <c r="AC301">
        <v>188.14</v>
      </c>
      <c r="AD301">
        <v>195.24</v>
      </c>
      <c r="AF301" s="2">
        <v>1</v>
      </c>
      <c r="AJ301" t="s">
        <v>373</v>
      </c>
      <c r="AN301" t="s">
        <v>373</v>
      </c>
      <c r="AR301" t="s">
        <v>373</v>
      </c>
      <c r="AS301" t="s">
        <v>16</v>
      </c>
      <c r="AT301" t="str">
        <f t="shared" si="4"/>
        <v>Louisville GR - 126AL</v>
      </c>
    </row>
    <row r="302" spans="1:46" x14ac:dyDescent="0.25">
      <c r="A302" t="s">
        <v>316</v>
      </c>
      <c r="B302" t="s">
        <v>76</v>
      </c>
      <c r="C302" t="s">
        <v>169</v>
      </c>
      <c r="D302" s="50">
        <v>46054</v>
      </c>
      <c r="E302" s="2">
        <v>0.95899999999999996</v>
      </c>
      <c r="F302" s="2">
        <v>0.96099999999999997</v>
      </c>
      <c r="G302" t="s">
        <v>373</v>
      </c>
      <c r="H302" t="s">
        <v>373</v>
      </c>
      <c r="I302" s="2">
        <v>0</v>
      </c>
      <c r="J302" s="2">
        <v>0</v>
      </c>
      <c r="K302" s="2">
        <v>0</v>
      </c>
      <c r="L302" s="2">
        <v>0</v>
      </c>
      <c r="M302" s="51">
        <v>0</v>
      </c>
      <c r="N302" s="51">
        <v>0</v>
      </c>
      <c r="P302" s="51">
        <v>0</v>
      </c>
      <c r="Q302" s="51">
        <v>127688</v>
      </c>
      <c r="R302" s="51">
        <v>259916</v>
      </c>
      <c r="T302" s="51">
        <v>259916</v>
      </c>
      <c r="U302" s="2">
        <v>0</v>
      </c>
      <c r="V302" s="2">
        <v>0</v>
      </c>
      <c r="W302" t="s">
        <v>373</v>
      </c>
      <c r="X302" t="s">
        <v>373</v>
      </c>
      <c r="Y302">
        <v>484.93</v>
      </c>
      <c r="Z302">
        <v>488.76</v>
      </c>
      <c r="AB302" s="2">
        <v>1</v>
      </c>
      <c r="AC302">
        <v>202.35</v>
      </c>
      <c r="AD302">
        <v>195.24</v>
      </c>
      <c r="AF302" s="2">
        <v>1</v>
      </c>
      <c r="AJ302" t="s">
        <v>373</v>
      </c>
      <c r="AN302" t="s">
        <v>373</v>
      </c>
      <c r="AR302" t="s">
        <v>373</v>
      </c>
      <c r="AS302" t="s">
        <v>16</v>
      </c>
      <c r="AT302" t="str">
        <f t="shared" si="4"/>
        <v>Louisville GR - 126AL</v>
      </c>
    </row>
    <row r="303" spans="1:46" x14ac:dyDescent="0.25">
      <c r="A303" t="s">
        <v>316</v>
      </c>
      <c r="B303" t="s">
        <v>76</v>
      </c>
      <c r="C303" t="s">
        <v>172</v>
      </c>
      <c r="D303" s="50">
        <v>46023</v>
      </c>
      <c r="E303" s="2">
        <v>0.84599999999999997</v>
      </c>
      <c r="F303" s="2">
        <v>0.82599999999999996</v>
      </c>
      <c r="G303" t="s">
        <v>373</v>
      </c>
      <c r="H303" t="s">
        <v>373</v>
      </c>
      <c r="I303" s="2">
        <v>1</v>
      </c>
      <c r="J303" s="2">
        <v>0.25</v>
      </c>
      <c r="K303" s="2">
        <v>0</v>
      </c>
      <c r="L303" s="2">
        <v>0.25</v>
      </c>
      <c r="M303" s="51">
        <v>-184</v>
      </c>
      <c r="N303" s="51">
        <v>-753</v>
      </c>
      <c r="P303" s="51">
        <v>-753</v>
      </c>
      <c r="Q303" s="51">
        <v>165287</v>
      </c>
      <c r="R303" s="51">
        <v>314462</v>
      </c>
      <c r="T303" s="51">
        <v>314462</v>
      </c>
      <c r="U303" s="2">
        <v>-1E-3</v>
      </c>
      <c r="V303" s="2">
        <v>-2E-3</v>
      </c>
      <c r="W303" t="s">
        <v>373</v>
      </c>
      <c r="X303" t="s">
        <v>373</v>
      </c>
      <c r="Y303">
        <v>475.45</v>
      </c>
      <c r="Z303">
        <v>472.72</v>
      </c>
      <c r="AB303" s="2">
        <v>1</v>
      </c>
      <c r="AC303">
        <v>205.84</v>
      </c>
      <c r="AD303">
        <v>213.33</v>
      </c>
      <c r="AF303" s="2">
        <v>1</v>
      </c>
      <c r="AJ303" t="s">
        <v>373</v>
      </c>
      <c r="AK303">
        <v>119.9</v>
      </c>
      <c r="AL303">
        <v>127.37</v>
      </c>
      <c r="AN303" s="2">
        <v>1</v>
      </c>
      <c r="AR303" t="s">
        <v>373</v>
      </c>
      <c r="AS303" t="s">
        <v>16</v>
      </c>
      <c r="AT303" t="str">
        <f t="shared" si="4"/>
        <v>Louisville SB - 175AL</v>
      </c>
    </row>
    <row r="304" spans="1:46" x14ac:dyDescent="0.25">
      <c r="A304" t="s">
        <v>316</v>
      </c>
      <c r="B304" t="s">
        <v>76</v>
      </c>
      <c r="C304" t="s">
        <v>172</v>
      </c>
      <c r="D304" s="50">
        <v>46054</v>
      </c>
      <c r="E304" s="2">
        <v>0.80400000000000005</v>
      </c>
      <c r="F304" s="2">
        <v>0.82599999999999996</v>
      </c>
      <c r="G304" t="s">
        <v>373</v>
      </c>
      <c r="H304" t="s">
        <v>373</v>
      </c>
      <c r="I304" s="2">
        <v>0</v>
      </c>
      <c r="J304" s="2">
        <v>0.25</v>
      </c>
      <c r="K304" s="2">
        <v>0</v>
      </c>
      <c r="L304" s="2">
        <v>0.25</v>
      </c>
      <c r="M304" s="51">
        <v>-570</v>
      </c>
      <c r="N304" s="51">
        <v>-753</v>
      </c>
      <c r="P304" s="51">
        <v>-753</v>
      </c>
      <c r="Q304" s="51">
        <v>149175</v>
      </c>
      <c r="R304" s="51">
        <v>314462</v>
      </c>
      <c r="T304" s="51">
        <v>314462</v>
      </c>
      <c r="U304" s="2">
        <v>-4.0000000000000001E-3</v>
      </c>
      <c r="V304" s="2">
        <v>-2E-3</v>
      </c>
      <c r="W304" t="s">
        <v>373</v>
      </c>
      <c r="X304" t="s">
        <v>373</v>
      </c>
      <c r="Y304">
        <v>469.99</v>
      </c>
      <c r="Z304">
        <v>472.72</v>
      </c>
      <c r="AB304" s="2">
        <v>1</v>
      </c>
      <c r="AC304">
        <v>220.82</v>
      </c>
      <c r="AD304">
        <v>213.33</v>
      </c>
      <c r="AF304" s="2">
        <v>1</v>
      </c>
      <c r="AJ304" t="s">
        <v>373</v>
      </c>
      <c r="AK304">
        <v>134.84</v>
      </c>
      <c r="AL304">
        <v>127.37</v>
      </c>
      <c r="AN304" s="2">
        <v>1</v>
      </c>
      <c r="AR304" t="s">
        <v>373</v>
      </c>
      <c r="AS304" t="s">
        <v>16</v>
      </c>
      <c r="AT304" t="str">
        <f t="shared" si="4"/>
        <v>Louisville SB - 175AL</v>
      </c>
    </row>
    <row r="305" spans="1:46" x14ac:dyDescent="0.25">
      <c r="A305" t="s">
        <v>316</v>
      </c>
      <c r="B305" t="s">
        <v>76</v>
      </c>
      <c r="C305" t="s">
        <v>175</v>
      </c>
      <c r="D305" s="50">
        <v>46023</v>
      </c>
      <c r="E305" s="2">
        <v>0.97099999999999997</v>
      </c>
      <c r="F305" s="2">
        <v>0.93799999999999994</v>
      </c>
      <c r="G305" t="s">
        <v>373</v>
      </c>
      <c r="H305" t="s">
        <v>373</v>
      </c>
      <c r="I305" s="2">
        <v>0</v>
      </c>
      <c r="J305" s="2">
        <v>0</v>
      </c>
      <c r="K305" s="2">
        <v>0</v>
      </c>
      <c r="L305" s="2">
        <v>0</v>
      </c>
      <c r="M305" s="51">
        <v>300</v>
      </c>
      <c r="N305" s="51">
        <v>300</v>
      </c>
      <c r="P305" s="51">
        <v>300</v>
      </c>
      <c r="Q305" s="51">
        <v>154029</v>
      </c>
      <c r="R305" s="51">
        <v>296475</v>
      </c>
      <c r="T305" s="51">
        <v>296475</v>
      </c>
      <c r="U305" s="2">
        <v>2E-3</v>
      </c>
      <c r="V305" s="2">
        <v>1E-3</v>
      </c>
      <c r="W305" t="s">
        <v>373</v>
      </c>
      <c r="X305" t="s">
        <v>373</v>
      </c>
      <c r="Y305">
        <v>507.96</v>
      </c>
      <c r="Z305">
        <v>511.71</v>
      </c>
      <c r="AB305" s="2">
        <v>1</v>
      </c>
      <c r="AC305">
        <v>216.22</v>
      </c>
      <c r="AD305">
        <v>226.3</v>
      </c>
      <c r="AF305" s="2">
        <v>1</v>
      </c>
      <c r="AJ305" t="s">
        <v>373</v>
      </c>
      <c r="AN305" t="s">
        <v>373</v>
      </c>
      <c r="AR305" t="s">
        <v>373</v>
      </c>
      <c r="AS305" t="s">
        <v>16</v>
      </c>
      <c r="AT305" t="str">
        <f t="shared" si="4"/>
        <v>Louisville WP - 145AL</v>
      </c>
    </row>
    <row r="306" spans="1:46" x14ac:dyDescent="0.25">
      <c r="A306" t="s">
        <v>316</v>
      </c>
      <c r="B306" t="s">
        <v>76</v>
      </c>
      <c r="C306" t="s">
        <v>175</v>
      </c>
      <c r="D306" s="50">
        <v>46054</v>
      </c>
      <c r="E306" s="2">
        <v>0.90100000000000002</v>
      </c>
      <c r="F306" s="2">
        <v>0.93799999999999994</v>
      </c>
      <c r="G306" t="s">
        <v>373</v>
      </c>
      <c r="H306" t="s">
        <v>373</v>
      </c>
      <c r="I306" s="2">
        <v>0</v>
      </c>
      <c r="J306" s="2">
        <v>0</v>
      </c>
      <c r="K306" s="2">
        <v>0</v>
      </c>
      <c r="L306" s="2">
        <v>0</v>
      </c>
      <c r="M306" s="51">
        <v>0</v>
      </c>
      <c r="N306" s="51">
        <v>300</v>
      </c>
      <c r="P306" s="51">
        <v>300</v>
      </c>
      <c r="Q306" s="51">
        <v>142446</v>
      </c>
      <c r="R306" s="51">
        <v>296475</v>
      </c>
      <c r="T306" s="51">
        <v>296475</v>
      </c>
      <c r="U306" s="2">
        <v>0</v>
      </c>
      <c r="V306" s="2">
        <v>1E-3</v>
      </c>
      <c r="W306" t="s">
        <v>373</v>
      </c>
      <c r="X306" t="s">
        <v>373</v>
      </c>
      <c r="Y306">
        <v>515.45000000000005</v>
      </c>
      <c r="Z306">
        <v>511.71</v>
      </c>
      <c r="AB306" s="2">
        <v>1</v>
      </c>
      <c r="AC306">
        <v>236.37</v>
      </c>
      <c r="AD306">
        <v>226.3</v>
      </c>
      <c r="AF306" s="2">
        <v>1</v>
      </c>
      <c r="AJ306" t="s">
        <v>373</v>
      </c>
      <c r="AN306" t="s">
        <v>373</v>
      </c>
      <c r="AR306" t="s">
        <v>373</v>
      </c>
      <c r="AS306" t="s">
        <v>16</v>
      </c>
      <c r="AT306" t="str">
        <f t="shared" si="4"/>
        <v>Louisville WP - 145AL</v>
      </c>
    </row>
    <row r="307" spans="1:46" x14ac:dyDescent="0.25">
      <c r="A307" t="s">
        <v>316</v>
      </c>
      <c r="B307" t="s">
        <v>76</v>
      </c>
      <c r="C307" t="s">
        <v>176</v>
      </c>
      <c r="D307" s="50">
        <v>46023</v>
      </c>
      <c r="E307" s="2">
        <v>0.91900000000000004</v>
      </c>
      <c r="F307" s="2">
        <v>0.90700000000000003</v>
      </c>
      <c r="G307" t="s">
        <v>373</v>
      </c>
      <c r="H307" t="s">
        <v>373</v>
      </c>
      <c r="I307" s="2">
        <v>0</v>
      </c>
      <c r="J307" s="2">
        <v>0</v>
      </c>
      <c r="K307" s="2">
        <v>0</v>
      </c>
      <c r="L307" s="2">
        <v>0</v>
      </c>
      <c r="M307" s="51">
        <v>0</v>
      </c>
      <c r="N307" s="51">
        <v>0</v>
      </c>
      <c r="P307" s="51">
        <v>0</v>
      </c>
      <c r="Q307" s="51">
        <v>455821</v>
      </c>
      <c r="R307" s="51">
        <v>894075</v>
      </c>
      <c r="T307" s="51">
        <v>894075</v>
      </c>
      <c r="U307" s="2">
        <v>0</v>
      </c>
      <c r="V307" s="2">
        <v>0</v>
      </c>
      <c r="W307" t="s">
        <v>373</v>
      </c>
      <c r="X307" t="s">
        <v>373</v>
      </c>
      <c r="Y307">
        <v>562.89</v>
      </c>
      <c r="Z307">
        <v>543.65</v>
      </c>
      <c r="AB307" s="2">
        <v>1</v>
      </c>
      <c r="AC307">
        <v>174.57</v>
      </c>
      <c r="AD307">
        <v>182.99</v>
      </c>
      <c r="AF307" s="2">
        <v>1</v>
      </c>
      <c r="AG307">
        <v>247.03</v>
      </c>
      <c r="AH307">
        <v>261.02</v>
      </c>
      <c r="AJ307" s="2">
        <v>1</v>
      </c>
      <c r="AK307">
        <v>102.94</v>
      </c>
      <c r="AL307">
        <v>102.97</v>
      </c>
      <c r="AN307" s="2">
        <v>1</v>
      </c>
      <c r="AO307">
        <v>75.069999999999993</v>
      </c>
      <c r="AP307">
        <v>79.67</v>
      </c>
      <c r="AR307" s="2">
        <v>1</v>
      </c>
      <c r="AS307" t="s">
        <v>16</v>
      </c>
      <c r="AT307" t="str">
        <f t="shared" si="4"/>
        <v>Louisville WS - 190AL</v>
      </c>
    </row>
    <row r="308" spans="1:46" x14ac:dyDescent="0.25">
      <c r="A308" t="s">
        <v>316</v>
      </c>
      <c r="B308" t="s">
        <v>76</v>
      </c>
      <c r="C308" t="s">
        <v>176</v>
      </c>
      <c r="D308" s="50">
        <v>46054</v>
      </c>
      <c r="E308" s="2">
        <v>0.89300000000000002</v>
      </c>
      <c r="F308" s="2">
        <v>0.90700000000000003</v>
      </c>
      <c r="G308" t="s">
        <v>373</v>
      </c>
      <c r="H308" t="s">
        <v>373</v>
      </c>
      <c r="I308" s="2">
        <v>0</v>
      </c>
      <c r="J308" s="2">
        <v>0</v>
      </c>
      <c r="K308" s="2">
        <v>0</v>
      </c>
      <c r="L308" s="2">
        <v>0</v>
      </c>
      <c r="M308" s="51">
        <v>0</v>
      </c>
      <c r="N308" s="51">
        <v>0</v>
      </c>
      <c r="P308" s="51">
        <v>0</v>
      </c>
      <c r="Q308" s="51">
        <v>438254</v>
      </c>
      <c r="R308" s="51">
        <v>894075</v>
      </c>
      <c r="T308" s="51">
        <v>894075</v>
      </c>
      <c r="U308" s="2">
        <v>0</v>
      </c>
      <c r="V308" s="2">
        <v>0</v>
      </c>
      <c r="W308" t="s">
        <v>373</v>
      </c>
      <c r="X308" t="s">
        <v>373</v>
      </c>
      <c r="Y308">
        <v>524.41</v>
      </c>
      <c r="Z308">
        <v>543.65</v>
      </c>
      <c r="AB308" s="2">
        <v>1</v>
      </c>
      <c r="AC308">
        <v>191.41</v>
      </c>
      <c r="AD308">
        <v>182.99</v>
      </c>
      <c r="AF308" s="2">
        <v>1</v>
      </c>
      <c r="AG308">
        <v>275.02</v>
      </c>
      <c r="AH308">
        <v>261.02</v>
      </c>
      <c r="AJ308" s="2">
        <v>1</v>
      </c>
      <c r="AK308">
        <v>102.99</v>
      </c>
      <c r="AL308">
        <v>102.97</v>
      </c>
      <c r="AN308" s="2">
        <v>1</v>
      </c>
      <c r="AO308">
        <v>84.28</v>
      </c>
      <c r="AP308">
        <v>79.67</v>
      </c>
      <c r="AR308" s="2">
        <v>1</v>
      </c>
      <c r="AS308" t="s">
        <v>16</v>
      </c>
      <c r="AT308" t="str">
        <f t="shared" si="4"/>
        <v>Louisville WS - 190AL</v>
      </c>
    </row>
    <row r="309" spans="1:46" x14ac:dyDescent="0.25">
      <c r="A309" t="s">
        <v>316</v>
      </c>
      <c r="B309" t="s">
        <v>76</v>
      </c>
      <c r="C309" t="s">
        <v>195</v>
      </c>
      <c r="D309" s="50">
        <v>46023</v>
      </c>
      <c r="E309" s="2">
        <v>0.70299999999999996</v>
      </c>
      <c r="F309" s="2">
        <v>0.71299999999999997</v>
      </c>
      <c r="G309" t="s">
        <v>373</v>
      </c>
      <c r="H309" t="s">
        <v>373</v>
      </c>
      <c r="I309" s="2">
        <v>0</v>
      </c>
      <c r="J309" s="2">
        <v>0.1</v>
      </c>
      <c r="K309" s="2">
        <v>0</v>
      </c>
      <c r="L309" s="2">
        <v>0.1</v>
      </c>
      <c r="M309" s="51">
        <v>4442</v>
      </c>
      <c r="N309" s="51">
        <v>5446</v>
      </c>
      <c r="P309" s="51">
        <v>5446</v>
      </c>
      <c r="Q309" s="51">
        <v>395652</v>
      </c>
      <c r="R309" s="51">
        <v>801057</v>
      </c>
      <c r="T309" s="51">
        <v>801057</v>
      </c>
      <c r="U309" s="2">
        <v>1.0999999999999999E-2</v>
      </c>
      <c r="V309" s="2">
        <v>7.0000000000000001E-3</v>
      </c>
      <c r="W309" t="s">
        <v>373</v>
      </c>
      <c r="X309" t="s">
        <v>373</v>
      </c>
      <c r="AB309" t="s">
        <v>373</v>
      </c>
      <c r="AC309">
        <v>184.28</v>
      </c>
      <c r="AD309">
        <v>195.42</v>
      </c>
      <c r="AF309" s="2">
        <v>1</v>
      </c>
      <c r="AG309">
        <v>246.79</v>
      </c>
      <c r="AH309">
        <v>255.65</v>
      </c>
      <c r="AJ309" s="2">
        <v>1</v>
      </c>
      <c r="AN309" t="s">
        <v>373</v>
      </c>
      <c r="AO309">
        <v>117.88</v>
      </c>
      <c r="AP309">
        <v>124.09</v>
      </c>
      <c r="AR309" s="2">
        <v>1</v>
      </c>
      <c r="AS309" t="s">
        <v>16</v>
      </c>
      <c r="AT309" t="str">
        <f t="shared" si="4"/>
        <v>New Albany RC - 236AL</v>
      </c>
    </row>
    <row r="310" spans="1:46" x14ac:dyDescent="0.25">
      <c r="A310" t="s">
        <v>316</v>
      </c>
      <c r="B310" t="s">
        <v>76</v>
      </c>
      <c r="C310" t="s">
        <v>195</v>
      </c>
      <c r="D310" s="50">
        <v>46054</v>
      </c>
      <c r="E310" s="2">
        <v>0.72499999999999998</v>
      </c>
      <c r="F310" s="2">
        <v>0.71299999999999997</v>
      </c>
      <c r="G310" t="s">
        <v>373</v>
      </c>
      <c r="H310" t="s">
        <v>373</v>
      </c>
      <c r="I310" s="2">
        <v>0.16700000000000001</v>
      </c>
      <c r="J310" s="2">
        <v>0.1</v>
      </c>
      <c r="K310" s="2">
        <v>0</v>
      </c>
      <c r="L310" s="2">
        <v>0.1</v>
      </c>
      <c r="M310" s="51">
        <v>1004</v>
      </c>
      <c r="N310" s="51">
        <v>5446</v>
      </c>
      <c r="P310" s="51">
        <v>5446</v>
      </c>
      <c r="Q310" s="51">
        <v>405405</v>
      </c>
      <c r="R310" s="51">
        <v>801057</v>
      </c>
      <c r="T310" s="51">
        <v>801057</v>
      </c>
      <c r="U310" s="2">
        <v>2E-3</v>
      </c>
      <c r="V310" s="2">
        <v>7.0000000000000001E-3</v>
      </c>
      <c r="W310" t="s">
        <v>373</v>
      </c>
      <c r="X310" t="s">
        <v>373</v>
      </c>
      <c r="AB310" t="s">
        <v>373</v>
      </c>
      <c r="AC310">
        <v>206.57</v>
      </c>
      <c r="AD310">
        <v>195.42</v>
      </c>
      <c r="AF310" s="2">
        <v>1</v>
      </c>
      <c r="AG310">
        <v>264.51</v>
      </c>
      <c r="AH310">
        <v>255.65</v>
      </c>
      <c r="AJ310" s="2">
        <v>1</v>
      </c>
      <c r="AN310" t="s">
        <v>373</v>
      </c>
      <c r="AO310">
        <v>130.31</v>
      </c>
      <c r="AP310">
        <v>124.09</v>
      </c>
      <c r="AR310" s="2">
        <v>1</v>
      </c>
      <c r="AS310" t="s">
        <v>16</v>
      </c>
      <c r="AT310" t="str">
        <f t="shared" si="4"/>
        <v>New Albany RC - 236AL</v>
      </c>
    </row>
    <row r="311" spans="1:46" x14ac:dyDescent="0.25">
      <c r="A311" t="s">
        <v>316</v>
      </c>
      <c r="B311" t="s">
        <v>76</v>
      </c>
      <c r="C311" t="s">
        <v>197</v>
      </c>
      <c r="D311" s="50">
        <v>46023</v>
      </c>
      <c r="E311" s="2">
        <v>0.84299999999999997</v>
      </c>
      <c r="F311" s="2">
        <v>0.82599999999999996</v>
      </c>
      <c r="G311" t="s">
        <v>373</v>
      </c>
      <c r="H311" t="s">
        <v>373</v>
      </c>
      <c r="I311" s="2">
        <v>0.25</v>
      </c>
      <c r="J311" s="2">
        <v>0.4</v>
      </c>
      <c r="K311" s="2">
        <v>0</v>
      </c>
      <c r="L311" s="2">
        <v>0.4</v>
      </c>
      <c r="M311" s="51">
        <v>6589</v>
      </c>
      <c r="N311" s="51">
        <v>13997</v>
      </c>
      <c r="P311" s="51">
        <v>13997</v>
      </c>
      <c r="Q311" s="51">
        <v>216931</v>
      </c>
      <c r="R311" s="51">
        <v>428529</v>
      </c>
      <c r="T311" s="51">
        <v>428529</v>
      </c>
      <c r="U311" s="2">
        <v>0.03</v>
      </c>
      <c r="V311" s="2">
        <v>3.3000000000000002E-2</v>
      </c>
      <c r="W311" t="s">
        <v>373</v>
      </c>
      <c r="X311" t="s">
        <v>373</v>
      </c>
      <c r="Y311">
        <v>456.94</v>
      </c>
      <c r="Z311">
        <v>460.28</v>
      </c>
      <c r="AB311" s="2">
        <v>1</v>
      </c>
      <c r="AC311">
        <v>203.62</v>
      </c>
      <c r="AD311">
        <v>214.3</v>
      </c>
      <c r="AF311" s="2">
        <v>1</v>
      </c>
      <c r="AJ311" t="s">
        <v>373</v>
      </c>
      <c r="AN311" t="s">
        <v>373</v>
      </c>
      <c r="AO311">
        <v>104.94</v>
      </c>
      <c r="AP311">
        <v>110.14</v>
      </c>
      <c r="AR311" s="2">
        <v>1</v>
      </c>
      <c r="AS311" t="s">
        <v>16</v>
      </c>
      <c r="AT311" t="str">
        <f t="shared" si="4"/>
        <v>New Albany SC - 5151AL</v>
      </c>
    </row>
    <row r="312" spans="1:46" x14ac:dyDescent="0.25">
      <c r="A312" t="s">
        <v>316</v>
      </c>
      <c r="B312" t="s">
        <v>76</v>
      </c>
      <c r="C312" t="s">
        <v>197</v>
      </c>
      <c r="D312" s="50">
        <v>46054</v>
      </c>
      <c r="E312" s="2">
        <v>0.80800000000000005</v>
      </c>
      <c r="F312" s="2">
        <v>0.82599999999999996</v>
      </c>
      <c r="G312" t="s">
        <v>373</v>
      </c>
      <c r="H312" t="s">
        <v>373</v>
      </c>
      <c r="I312" s="2">
        <v>1</v>
      </c>
      <c r="J312" s="2">
        <v>0.4</v>
      </c>
      <c r="K312" s="2">
        <v>0</v>
      </c>
      <c r="L312" s="2">
        <v>0.4</v>
      </c>
      <c r="M312" s="51">
        <v>7408</v>
      </c>
      <c r="N312" s="51">
        <v>13997</v>
      </c>
      <c r="P312" s="51">
        <v>13997</v>
      </c>
      <c r="Q312" s="51">
        <v>211598</v>
      </c>
      <c r="R312" s="51">
        <v>428529</v>
      </c>
      <c r="T312" s="51">
        <v>428529</v>
      </c>
      <c r="U312" s="2">
        <v>3.5000000000000003E-2</v>
      </c>
      <c r="V312" s="2">
        <v>3.3000000000000002E-2</v>
      </c>
      <c r="W312" t="s">
        <v>373</v>
      </c>
      <c r="X312" t="s">
        <v>373</v>
      </c>
      <c r="Y312">
        <v>463.62</v>
      </c>
      <c r="Z312">
        <v>460.28</v>
      </c>
      <c r="AB312" s="2">
        <v>1</v>
      </c>
      <c r="AC312">
        <v>224.98</v>
      </c>
      <c r="AD312">
        <v>214.3</v>
      </c>
      <c r="AF312" s="2">
        <v>1</v>
      </c>
      <c r="AJ312" t="s">
        <v>373</v>
      </c>
      <c r="AN312" t="s">
        <v>373</v>
      </c>
      <c r="AO312">
        <v>115.33</v>
      </c>
      <c r="AP312">
        <v>110.14</v>
      </c>
      <c r="AR312" s="2">
        <v>1</v>
      </c>
      <c r="AS312" t="s">
        <v>16</v>
      </c>
      <c r="AT312" t="str">
        <f t="shared" si="4"/>
        <v>New Albany SC - 5151AL</v>
      </c>
    </row>
    <row r="313" spans="1:46" x14ac:dyDescent="0.25">
      <c r="A313" t="s">
        <v>316</v>
      </c>
      <c r="B313" t="s">
        <v>282</v>
      </c>
      <c r="C313" t="s">
        <v>283</v>
      </c>
      <c r="D313" s="50">
        <v>46023</v>
      </c>
      <c r="E313" s="2">
        <v>0.75600000000000001</v>
      </c>
      <c r="F313" s="2">
        <v>0.77400000000000002</v>
      </c>
      <c r="G313" t="s">
        <v>373</v>
      </c>
      <c r="H313" t="s">
        <v>373</v>
      </c>
      <c r="I313" s="2">
        <v>0</v>
      </c>
      <c r="J313" s="2">
        <v>0</v>
      </c>
      <c r="K313" s="2">
        <v>0</v>
      </c>
      <c r="L313" s="2">
        <v>0</v>
      </c>
      <c r="M313" s="51">
        <v>1729</v>
      </c>
      <c r="N313" s="51">
        <v>3536</v>
      </c>
      <c r="P313" s="51">
        <v>3536</v>
      </c>
      <c r="Q313" s="51">
        <v>793449</v>
      </c>
      <c r="R313" s="51">
        <v>1609134</v>
      </c>
      <c r="T313" s="51">
        <v>1609134</v>
      </c>
      <c r="U313" s="2">
        <v>2E-3</v>
      </c>
      <c r="V313" s="2">
        <v>2E-3</v>
      </c>
      <c r="W313" t="s">
        <v>373</v>
      </c>
      <c r="X313" t="s">
        <v>373</v>
      </c>
      <c r="AB313" t="s">
        <v>373</v>
      </c>
      <c r="AC313">
        <v>192.43</v>
      </c>
      <c r="AD313">
        <v>202.94</v>
      </c>
      <c r="AF313" s="2">
        <v>1</v>
      </c>
      <c r="AG313">
        <v>256.26</v>
      </c>
      <c r="AH313">
        <v>269.99</v>
      </c>
      <c r="AJ313" s="2">
        <v>1</v>
      </c>
      <c r="AN313" t="s">
        <v>373</v>
      </c>
      <c r="AR313" t="s">
        <v>373</v>
      </c>
      <c r="AS313" t="s">
        <v>16</v>
      </c>
      <c r="AT313" t="str">
        <f t="shared" si="4"/>
        <v>Santa Fe KRS-0564AL</v>
      </c>
    </row>
    <row r="314" spans="1:46" x14ac:dyDescent="0.25">
      <c r="A314" t="s">
        <v>316</v>
      </c>
      <c r="B314" t="s">
        <v>282</v>
      </c>
      <c r="C314" t="s">
        <v>283</v>
      </c>
      <c r="D314" s="50">
        <v>46054</v>
      </c>
      <c r="E314" s="2">
        <v>0.79400000000000004</v>
      </c>
      <c r="F314" s="2">
        <v>0.77400000000000002</v>
      </c>
      <c r="G314" t="s">
        <v>373</v>
      </c>
      <c r="H314" t="s">
        <v>373</v>
      </c>
      <c r="I314" s="2">
        <v>0</v>
      </c>
      <c r="J314" s="2">
        <v>0</v>
      </c>
      <c r="K314" s="2">
        <v>0</v>
      </c>
      <c r="L314" s="2">
        <v>0</v>
      </c>
      <c r="M314" s="51">
        <v>1807</v>
      </c>
      <c r="N314" s="51">
        <v>3536</v>
      </c>
      <c r="P314" s="51">
        <v>3536</v>
      </c>
      <c r="Q314" s="51">
        <v>815685</v>
      </c>
      <c r="R314" s="51">
        <v>1609134</v>
      </c>
      <c r="T314" s="51">
        <v>1609134</v>
      </c>
      <c r="U314" s="2">
        <v>2E-3</v>
      </c>
      <c r="V314" s="2">
        <v>2E-3</v>
      </c>
      <c r="W314" t="s">
        <v>373</v>
      </c>
      <c r="X314" t="s">
        <v>373</v>
      </c>
      <c r="AB314" t="s">
        <v>373</v>
      </c>
      <c r="AC314">
        <v>213.44</v>
      </c>
      <c r="AD314">
        <v>202.94</v>
      </c>
      <c r="AF314" s="2">
        <v>1</v>
      </c>
      <c r="AG314">
        <v>283.73</v>
      </c>
      <c r="AH314">
        <v>269.99</v>
      </c>
      <c r="AJ314" s="2">
        <v>1</v>
      </c>
      <c r="AN314" t="s">
        <v>373</v>
      </c>
      <c r="AR314" t="s">
        <v>373</v>
      </c>
      <c r="AS314" t="s">
        <v>16</v>
      </c>
      <c r="AT314" t="str">
        <f t="shared" si="4"/>
        <v>Santa Fe KRS-0564AL</v>
      </c>
    </row>
    <row r="315" spans="1:46" x14ac:dyDescent="0.25">
      <c r="A315" t="s">
        <v>316</v>
      </c>
      <c r="B315" t="s">
        <v>72</v>
      </c>
      <c r="C315" t="s">
        <v>73</v>
      </c>
      <c r="D315" s="50">
        <v>46023</v>
      </c>
      <c r="E315" s="2">
        <v>0.86499999999999999</v>
      </c>
      <c r="F315" s="2">
        <v>0.86799999999999999</v>
      </c>
      <c r="G315" t="s">
        <v>373</v>
      </c>
      <c r="H315" t="s">
        <v>373</v>
      </c>
      <c r="I315" s="2">
        <v>1</v>
      </c>
      <c r="J315" s="2">
        <v>0.33300000000000002</v>
      </c>
      <c r="K315" s="2">
        <v>0</v>
      </c>
      <c r="L315" s="2">
        <v>0.33300000000000002</v>
      </c>
      <c r="M315" s="51">
        <v>14870</v>
      </c>
      <c r="N315" s="51">
        <v>29497</v>
      </c>
      <c r="P315" s="51">
        <v>29497</v>
      </c>
      <c r="Q315" s="51">
        <v>363641</v>
      </c>
      <c r="R315" s="51">
        <v>725812</v>
      </c>
      <c r="T315" s="51">
        <v>725812</v>
      </c>
      <c r="U315" s="2">
        <v>4.1000000000000002E-2</v>
      </c>
      <c r="V315" s="2">
        <v>4.1000000000000002E-2</v>
      </c>
      <c r="W315" t="s">
        <v>373</v>
      </c>
      <c r="X315" t="s">
        <v>373</v>
      </c>
      <c r="Y315">
        <v>524.03</v>
      </c>
      <c r="Z315">
        <v>523.47</v>
      </c>
      <c r="AB315" s="2">
        <v>1</v>
      </c>
      <c r="AC315">
        <v>248.21</v>
      </c>
      <c r="AD315">
        <v>257.83</v>
      </c>
      <c r="AF315" s="2">
        <v>1</v>
      </c>
      <c r="AG315">
        <v>249.68</v>
      </c>
      <c r="AH315">
        <v>263.52</v>
      </c>
      <c r="AJ315" s="2">
        <v>1</v>
      </c>
      <c r="AN315" t="s">
        <v>373</v>
      </c>
      <c r="AO315">
        <v>131.21</v>
      </c>
      <c r="AP315">
        <v>138.9</v>
      </c>
      <c r="AR315" s="2">
        <v>1</v>
      </c>
      <c r="AS315" t="s">
        <v>16</v>
      </c>
      <c r="AT315" t="str">
        <f t="shared" si="4"/>
        <v>Commerce - 503AL</v>
      </c>
    </row>
    <row r="316" spans="1:46" x14ac:dyDescent="0.25">
      <c r="A316" t="s">
        <v>316</v>
      </c>
      <c r="B316" t="s">
        <v>72</v>
      </c>
      <c r="C316" t="s">
        <v>73</v>
      </c>
      <c r="D316" s="50">
        <v>46054</v>
      </c>
      <c r="E316" s="2">
        <v>0.872</v>
      </c>
      <c r="F316" s="2">
        <v>0.86799999999999999</v>
      </c>
      <c r="G316" t="s">
        <v>373</v>
      </c>
      <c r="H316" t="s">
        <v>373</v>
      </c>
      <c r="I316" s="2">
        <v>0</v>
      </c>
      <c r="J316" s="2">
        <v>0.33300000000000002</v>
      </c>
      <c r="K316" s="2">
        <v>0</v>
      </c>
      <c r="L316" s="2">
        <v>0.33300000000000002</v>
      </c>
      <c r="M316" s="51">
        <v>14627</v>
      </c>
      <c r="N316" s="51">
        <v>29497</v>
      </c>
      <c r="P316" s="51">
        <v>29497</v>
      </c>
      <c r="Q316" s="51">
        <v>362170</v>
      </c>
      <c r="R316" s="51">
        <v>725812</v>
      </c>
      <c r="T316" s="51">
        <v>725812</v>
      </c>
      <c r="U316" s="2">
        <v>0.04</v>
      </c>
      <c r="V316" s="2">
        <v>4.1000000000000002E-2</v>
      </c>
      <c r="W316" t="s">
        <v>373</v>
      </c>
      <c r="X316" t="s">
        <v>373</v>
      </c>
      <c r="Y316">
        <v>522.91</v>
      </c>
      <c r="Z316">
        <v>523.47</v>
      </c>
      <c r="AB316" s="2">
        <v>1</v>
      </c>
      <c r="AC316">
        <v>267.45</v>
      </c>
      <c r="AD316">
        <v>257.83</v>
      </c>
      <c r="AF316" s="2">
        <v>1</v>
      </c>
      <c r="AG316">
        <v>277.36</v>
      </c>
      <c r="AH316">
        <v>263.52</v>
      </c>
      <c r="AJ316" s="2">
        <v>1</v>
      </c>
      <c r="AN316" t="s">
        <v>373</v>
      </c>
      <c r="AO316">
        <v>146.59</v>
      </c>
      <c r="AP316">
        <v>138.9</v>
      </c>
      <c r="AR316" s="2">
        <v>1</v>
      </c>
      <c r="AS316" t="s">
        <v>16</v>
      </c>
      <c r="AT316" t="str">
        <f t="shared" si="4"/>
        <v>Commerce - 503AL</v>
      </c>
    </row>
    <row r="317" spans="1:46" x14ac:dyDescent="0.25">
      <c r="A317" t="s">
        <v>316</v>
      </c>
      <c r="B317" t="s">
        <v>72</v>
      </c>
      <c r="C317" t="s">
        <v>91</v>
      </c>
      <c r="D317" s="50">
        <v>46023</v>
      </c>
      <c r="E317" s="2">
        <v>0.89</v>
      </c>
      <c r="F317" s="2">
        <v>0.86299999999999999</v>
      </c>
      <c r="G317" t="s">
        <v>373</v>
      </c>
      <c r="H317" t="s">
        <v>373</v>
      </c>
      <c r="I317" s="2">
        <v>0</v>
      </c>
      <c r="J317" s="2">
        <v>0</v>
      </c>
      <c r="K317" s="2">
        <v>0</v>
      </c>
      <c r="L317" s="2">
        <v>0</v>
      </c>
      <c r="M317" s="51">
        <v>0</v>
      </c>
      <c r="N317" s="51">
        <v>0</v>
      </c>
      <c r="P317" s="51">
        <v>0</v>
      </c>
      <c r="Q317" s="51">
        <v>430051</v>
      </c>
      <c r="R317" s="51">
        <v>822681</v>
      </c>
      <c r="T317" s="51">
        <v>822681</v>
      </c>
      <c r="U317" s="2">
        <v>0</v>
      </c>
      <c r="V317" s="2">
        <v>0</v>
      </c>
      <c r="W317" t="s">
        <v>373</v>
      </c>
      <c r="X317" t="s">
        <v>373</v>
      </c>
      <c r="Y317">
        <v>505.15</v>
      </c>
      <c r="Z317">
        <v>531.04999999999995</v>
      </c>
      <c r="AB317" s="2">
        <v>1</v>
      </c>
      <c r="AC317">
        <v>225.4</v>
      </c>
      <c r="AD317">
        <v>240.16</v>
      </c>
      <c r="AF317" s="2">
        <v>1</v>
      </c>
      <c r="AG317">
        <v>250.61</v>
      </c>
      <c r="AH317">
        <v>263.02999999999997</v>
      </c>
      <c r="AJ317" s="2">
        <v>1</v>
      </c>
      <c r="AN317" t="s">
        <v>373</v>
      </c>
      <c r="AR317" t="s">
        <v>373</v>
      </c>
      <c r="AS317" t="s">
        <v>16</v>
      </c>
      <c r="AT317" t="str">
        <f t="shared" si="4"/>
        <v>East Lansing - 2507AL</v>
      </c>
    </row>
    <row r="318" spans="1:46" x14ac:dyDescent="0.25">
      <c r="A318" t="s">
        <v>316</v>
      </c>
      <c r="B318" t="s">
        <v>72</v>
      </c>
      <c r="C318" t="s">
        <v>91</v>
      </c>
      <c r="D318" s="50">
        <v>46054</v>
      </c>
      <c r="E318" s="2">
        <v>0.83299999999999996</v>
      </c>
      <c r="F318" s="2">
        <v>0.86299999999999999</v>
      </c>
      <c r="G318" t="s">
        <v>373</v>
      </c>
      <c r="H318" t="s">
        <v>373</v>
      </c>
      <c r="I318" s="2">
        <v>0</v>
      </c>
      <c r="J318" s="2">
        <v>0</v>
      </c>
      <c r="K318" s="2">
        <v>0</v>
      </c>
      <c r="L318" s="2">
        <v>0</v>
      </c>
      <c r="M318" s="51">
        <v>0</v>
      </c>
      <c r="N318" s="51">
        <v>0</v>
      </c>
      <c r="P318" s="51">
        <v>0</v>
      </c>
      <c r="Q318" s="51">
        <v>392631</v>
      </c>
      <c r="R318" s="51">
        <v>822681</v>
      </c>
      <c r="T318" s="51">
        <v>822681</v>
      </c>
      <c r="U318" s="2">
        <v>0</v>
      </c>
      <c r="V318" s="2">
        <v>0</v>
      </c>
      <c r="W318" t="s">
        <v>373</v>
      </c>
      <c r="X318" t="s">
        <v>373</v>
      </c>
      <c r="Y318">
        <v>556.96</v>
      </c>
      <c r="Z318">
        <v>531.04999999999995</v>
      </c>
      <c r="AB318" s="2">
        <v>1</v>
      </c>
      <c r="AC318">
        <v>254.93</v>
      </c>
      <c r="AD318">
        <v>240.16</v>
      </c>
      <c r="AF318" s="2">
        <v>1</v>
      </c>
      <c r="AG318">
        <v>275.45</v>
      </c>
      <c r="AH318">
        <v>263.02999999999997</v>
      </c>
      <c r="AJ318" s="2">
        <v>1</v>
      </c>
      <c r="AN318" t="s">
        <v>373</v>
      </c>
      <c r="AR318" t="s">
        <v>373</v>
      </c>
      <c r="AS318" t="s">
        <v>16</v>
      </c>
      <c r="AT318" t="str">
        <f t="shared" si="4"/>
        <v>East Lansing - 2507AL</v>
      </c>
    </row>
    <row r="319" spans="1:46" x14ac:dyDescent="0.25">
      <c r="A319" t="s">
        <v>316</v>
      </c>
      <c r="B319" t="s">
        <v>72</v>
      </c>
      <c r="C319" t="s">
        <v>120</v>
      </c>
      <c r="D319" s="50">
        <v>46023</v>
      </c>
      <c r="E319" s="2">
        <v>0.76</v>
      </c>
      <c r="F319" s="2">
        <v>0.78100000000000003</v>
      </c>
      <c r="G319" t="s">
        <v>373</v>
      </c>
      <c r="H319" t="s">
        <v>373</v>
      </c>
      <c r="I319" s="2">
        <v>1</v>
      </c>
      <c r="J319" s="2">
        <v>0.71399999999999997</v>
      </c>
      <c r="K319" s="2">
        <v>0</v>
      </c>
      <c r="L319" s="2">
        <v>0.71399999999999997</v>
      </c>
      <c r="M319" s="51">
        <v>10141</v>
      </c>
      <c r="N319" s="51">
        <v>20870</v>
      </c>
      <c r="P319" s="51">
        <v>20870</v>
      </c>
      <c r="Q319" s="51">
        <v>194126</v>
      </c>
      <c r="R319" s="51">
        <v>392713</v>
      </c>
      <c r="T319" s="51">
        <v>392713</v>
      </c>
      <c r="U319" s="2">
        <v>5.1999999999999998E-2</v>
      </c>
      <c r="V319" s="2">
        <v>5.2999999999999999E-2</v>
      </c>
      <c r="W319" t="s">
        <v>373</v>
      </c>
      <c r="X319" t="s">
        <v>373</v>
      </c>
      <c r="Y319">
        <v>535.21</v>
      </c>
      <c r="Z319">
        <v>513.99</v>
      </c>
      <c r="AB319" s="2">
        <v>1</v>
      </c>
      <c r="AC319">
        <v>196.98</v>
      </c>
      <c r="AD319">
        <v>205.74</v>
      </c>
      <c r="AF319" s="2">
        <v>1</v>
      </c>
      <c r="AG319">
        <v>261.94</v>
      </c>
      <c r="AH319">
        <v>275.61</v>
      </c>
      <c r="AJ319" s="2">
        <v>1</v>
      </c>
      <c r="AN319" t="s">
        <v>373</v>
      </c>
      <c r="AR319" t="s">
        <v>373</v>
      </c>
      <c r="AS319" t="s">
        <v>16</v>
      </c>
      <c r="AT319" t="str">
        <f t="shared" si="4"/>
        <v>Grand Blanc - 2505AL</v>
      </c>
    </row>
    <row r="320" spans="1:46" x14ac:dyDescent="0.25">
      <c r="A320" t="s">
        <v>316</v>
      </c>
      <c r="B320" t="s">
        <v>72</v>
      </c>
      <c r="C320" t="s">
        <v>120</v>
      </c>
      <c r="D320" s="50">
        <v>46054</v>
      </c>
      <c r="E320" s="2">
        <v>0.80500000000000005</v>
      </c>
      <c r="F320" s="2">
        <v>0.78100000000000003</v>
      </c>
      <c r="G320" t="s">
        <v>373</v>
      </c>
      <c r="H320" t="s">
        <v>373</v>
      </c>
      <c r="I320" s="2">
        <v>0.66700000000000004</v>
      </c>
      <c r="J320" s="2">
        <v>0.71399999999999997</v>
      </c>
      <c r="K320" s="2">
        <v>0</v>
      </c>
      <c r="L320" s="2">
        <v>0.71399999999999997</v>
      </c>
      <c r="M320" s="51">
        <v>10728</v>
      </c>
      <c r="N320" s="51">
        <v>20870</v>
      </c>
      <c r="P320" s="51">
        <v>20870</v>
      </c>
      <c r="Q320" s="51">
        <v>198587</v>
      </c>
      <c r="R320" s="51">
        <v>392713</v>
      </c>
      <c r="T320" s="51">
        <v>392713</v>
      </c>
      <c r="U320" s="2">
        <v>5.3999999999999999E-2</v>
      </c>
      <c r="V320" s="2">
        <v>5.2999999999999999E-2</v>
      </c>
      <c r="W320" t="s">
        <v>373</v>
      </c>
      <c r="X320" t="s">
        <v>373</v>
      </c>
      <c r="Y320">
        <v>492.78</v>
      </c>
      <c r="Z320">
        <v>513.99</v>
      </c>
      <c r="AB320" s="2">
        <v>1</v>
      </c>
      <c r="AC320">
        <v>214.5</v>
      </c>
      <c r="AD320">
        <v>205.74</v>
      </c>
      <c r="AF320" s="2">
        <v>1</v>
      </c>
      <c r="AG320">
        <v>289.27999999999997</v>
      </c>
      <c r="AH320">
        <v>275.61</v>
      </c>
      <c r="AJ320" s="2">
        <v>1</v>
      </c>
      <c r="AN320" t="s">
        <v>373</v>
      </c>
      <c r="AR320" t="s">
        <v>373</v>
      </c>
      <c r="AS320" t="s">
        <v>16</v>
      </c>
      <c r="AT320" t="str">
        <f t="shared" si="4"/>
        <v>Grand Blanc - 2505AL</v>
      </c>
    </row>
    <row r="321" spans="1:46" x14ac:dyDescent="0.25">
      <c r="A321" t="s">
        <v>316</v>
      </c>
      <c r="B321" t="s">
        <v>72</v>
      </c>
      <c r="C321" t="s">
        <v>131</v>
      </c>
      <c r="D321" s="50">
        <v>46023</v>
      </c>
      <c r="E321" s="2">
        <v>0.97599999999999998</v>
      </c>
      <c r="F321" s="2">
        <v>0.97</v>
      </c>
      <c r="G321" t="s">
        <v>373</v>
      </c>
      <c r="H321" t="s">
        <v>373</v>
      </c>
      <c r="I321" s="2">
        <v>0</v>
      </c>
      <c r="J321" s="2">
        <v>0</v>
      </c>
      <c r="K321" s="2">
        <v>0</v>
      </c>
      <c r="L321" s="2">
        <v>0</v>
      </c>
      <c r="M321" s="51">
        <v>2445</v>
      </c>
      <c r="N321" s="51">
        <v>5054</v>
      </c>
      <c r="P321" s="51">
        <v>5054</v>
      </c>
      <c r="Q321" s="51">
        <v>497529</v>
      </c>
      <c r="R321" s="51">
        <v>973496</v>
      </c>
      <c r="T321" s="51">
        <v>973496</v>
      </c>
      <c r="U321" s="2">
        <v>5.0000000000000001E-3</v>
      </c>
      <c r="V321" s="2">
        <v>5.0000000000000001E-3</v>
      </c>
      <c r="W321" t="s">
        <v>373</v>
      </c>
      <c r="X321" t="s">
        <v>373</v>
      </c>
      <c r="Y321">
        <v>485.34</v>
      </c>
      <c r="Z321">
        <v>469.27</v>
      </c>
      <c r="AB321" s="2">
        <v>1</v>
      </c>
      <c r="AC321">
        <v>212.12</v>
      </c>
      <c r="AD321">
        <v>220.62</v>
      </c>
      <c r="AF321" s="2">
        <v>1</v>
      </c>
      <c r="AG321">
        <v>244.42</v>
      </c>
      <c r="AH321">
        <v>256.67</v>
      </c>
      <c r="AJ321" s="2">
        <v>1</v>
      </c>
      <c r="AN321" t="s">
        <v>373</v>
      </c>
      <c r="AR321" t="s">
        <v>373</v>
      </c>
      <c r="AS321" t="s">
        <v>16</v>
      </c>
      <c r="AT321" t="str">
        <f t="shared" si="4"/>
        <v>Howell - 2509AL</v>
      </c>
    </row>
    <row r="322" spans="1:46" x14ac:dyDescent="0.25">
      <c r="A322" t="s">
        <v>316</v>
      </c>
      <c r="B322" t="s">
        <v>72</v>
      </c>
      <c r="C322" t="s">
        <v>131</v>
      </c>
      <c r="D322" s="50">
        <v>46054</v>
      </c>
      <c r="E322" s="2">
        <v>0.96299999999999997</v>
      </c>
      <c r="F322" s="2">
        <v>0.97</v>
      </c>
      <c r="G322" t="s">
        <v>373</v>
      </c>
      <c r="H322" t="s">
        <v>373</v>
      </c>
      <c r="I322" s="2">
        <v>0</v>
      </c>
      <c r="J322" s="2">
        <v>0</v>
      </c>
      <c r="K322" s="2">
        <v>0</v>
      </c>
      <c r="L322" s="2">
        <v>0</v>
      </c>
      <c r="M322" s="51">
        <v>2609</v>
      </c>
      <c r="N322" s="51">
        <v>5054</v>
      </c>
      <c r="P322" s="51">
        <v>5054</v>
      </c>
      <c r="Q322" s="51">
        <v>475967</v>
      </c>
      <c r="R322" s="51">
        <v>973496</v>
      </c>
      <c r="T322" s="51">
        <v>973496</v>
      </c>
      <c r="U322" s="2">
        <v>5.0000000000000001E-3</v>
      </c>
      <c r="V322" s="2">
        <v>5.0000000000000001E-3</v>
      </c>
      <c r="W322" t="s">
        <v>373</v>
      </c>
      <c r="X322" t="s">
        <v>373</v>
      </c>
      <c r="Y322">
        <v>453.2</v>
      </c>
      <c r="Z322">
        <v>469.27</v>
      </c>
      <c r="AB322" s="2">
        <v>1</v>
      </c>
      <c r="AC322">
        <v>229.12</v>
      </c>
      <c r="AD322">
        <v>220.62</v>
      </c>
      <c r="AF322" s="2">
        <v>1</v>
      </c>
      <c r="AG322">
        <v>268.92</v>
      </c>
      <c r="AH322">
        <v>256.67</v>
      </c>
      <c r="AJ322" s="2">
        <v>1</v>
      </c>
      <c r="AN322" t="s">
        <v>373</v>
      </c>
      <c r="AR322" t="s">
        <v>373</v>
      </c>
      <c r="AS322" t="s">
        <v>16</v>
      </c>
      <c r="AT322" t="str">
        <f t="shared" si="4"/>
        <v>Howell - 2509AL</v>
      </c>
    </row>
    <row r="323" spans="1:46" x14ac:dyDescent="0.25">
      <c r="A323" t="s">
        <v>316</v>
      </c>
      <c r="B323" t="s">
        <v>72</v>
      </c>
      <c r="C323" t="s">
        <v>149</v>
      </c>
      <c r="D323" s="50">
        <v>46023</v>
      </c>
      <c r="E323" s="2">
        <v>0.78700000000000003</v>
      </c>
      <c r="F323" s="2">
        <v>0.77600000000000002</v>
      </c>
      <c r="G323" t="s">
        <v>373</v>
      </c>
      <c r="H323" t="s">
        <v>373</v>
      </c>
      <c r="I323" s="2">
        <v>0</v>
      </c>
      <c r="J323" s="2">
        <v>0</v>
      </c>
      <c r="K323" s="2">
        <v>0</v>
      </c>
      <c r="L323" s="2">
        <v>0</v>
      </c>
      <c r="M323" s="51">
        <v>4447</v>
      </c>
      <c r="N323" s="51">
        <v>8253</v>
      </c>
      <c r="P323" s="51">
        <v>8253</v>
      </c>
      <c r="Q323" s="51">
        <v>196412</v>
      </c>
      <c r="R323" s="51">
        <v>388217</v>
      </c>
      <c r="T323" s="51">
        <v>388217</v>
      </c>
      <c r="U323" s="2">
        <v>2.3E-2</v>
      </c>
      <c r="V323" s="2">
        <v>2.1000000000000001E-2</v>
      </c>
      <c r="W323" t="s">
        <v>373</v>
      </c>
      <c r="X323" t="s">
        <v>373</v>
      </c>
      <c r="Y323">
        <v>484.28</v>
      </c>
      <c r="Z323">
        <v>455.36</v>
      </c>
      <c r="AB323" s="2">
        <v>1</v>
      </c>
      <c r="AC323">
        <v>211.78</v>
      </c>
      <c r="AD323">
        <v>221.46</v>
      </c>
      <c r="AF323" s="2">
        <v>1</v>
      </c>
      <c r="AG323">
        <v>229.42</v>
      </c>
      <c r="AH323">
        <v>243.15</v>
      </c>
      <c r="AJ323" s="2">
        <v>1</v>
      </c>
      <c r="AN323" t="s">
        <v>373</v>
      </c>
      <c r="AR323" t="s">
        <v>373</v>
      </c>
      <c r="AS323" t="s">
        <v>16</v>
      </c>
      <c r="AT323" t="str">
        <f t="shared" ref="AT323:AT386" si="5">C323&amp;AS323</f>
        <v>Lapeer - 2506AL</v>
      </c>
    </row>
    <row r="324" spans="1:46" x14ac:dyDescent="0.25">
      <c r="A324" t="s">
        <v>316</v>
      </c>
      <c r="B324" t="s">
        <v>72</v>
      </c>
      <c r="C324" t="s">
        <v>149</v>
      </c>
      <c r="D324" s="50">
        <v>46054</v>
      </c>
      <c r="E324" s="2">
        <v>0.76400000000000001</v>
      </c>
      <c r="F324" s="2">
        <v>0.77600000000000002</v>
      </c>
      <c r="G324" t="s">
        <v>373</v>
      </c>
      <c r="H324" t="s">
        <v>373</v>
      </c>
      <c r="I324" s="2">
        <v>0</v>
      </c>
      <c r="J324" s="2">
        <v>0</v>
      </c>
      <c r="K324" s="2">
        <v>0</v>
      </c>
      <c r="L324" s="2">
        <v>0</v>
      </c>
      <c r="M324" s="51">
        <v>3807</v>
      </c>
      <c r="N324" s="51">
        <v>8253</v>
      </c>
      <c r="P324" s="51">
        <v>8253</v>
      </c>
      <c r="Q324" s="51">
        <v>191805</v>
      </c>
      <c r="R324" s="51">
        <v>388217</v>
      </c>
      <c r="T324" s="51">
        <v>388217</v>
      </c>
      <c r="U324" s="2">
        <v>0.02</v>
      </c>
      <c r="V324" s="2">
        <v>2.1000000000000001E-2</v>
      </c>
      <c r="W324" t="s">
        <v>373</v>
      </c>
      <c r="X324" t="s">
        <v>373</v>
      </c>
      <c r="Y324">
        <v>426.44</v>
      </c>
      <c r="Z324">
        <v>455.36</v>
      </c>
      <c r="AB324" s="2">
        <v>1</v>
      </c>
      <c r="AC324">
        <v>231.14</v>
      </c>
      <c r="AD324">
        <v>221.46</v>
      </c>
      <c r="AF324" s="2">
        <v>1</v>
      </c>
      <c r="AG324">
        <v>256.89</v>
      </c>
      <c r="AH324">
        <v>243.15</v>
      </c>
      <c r="AJ324" s="2">
        <v>1</v>
      </c>
      <c r="AN324" t="s">
        <v>373</v>
      </c>
      <c r="AR324" t="s">
        <v>373</v>
      </c>
      <c r="AS324" t="s">
        <v>16</v>
      </c>
      <c r="AT324" t="str">
        <f t="shared" si="5"/>
        <v>Lapeer - 2506AL</v>
      </c>
    </row>
    <row r="325" spans="1:46" x14ac:dyDescent="0.25">
      <c r="A325" t="s">
        <v>316</v>
      </c>
      <c r="B325" t="s">
        <v>72</v>
      </c>
      <c r="C325" t="s">
        <v>182</v>
      </c>
      <c r="D325" s="50">
        <v>46023</v>
      </c>
      <c r="E325" s="2">
        <v>0.90100000000000002</v>
      </c>
      <c r="F325" s="2">
        <v>0.89600000000000002</v>
      </c>
      <c r="G325" t="s">
        <v>373</v>
      </c>
      <c r="H325" t="s">
        <v>373</v>
      </c>
      <c r="I325" s="2">
        <v>0</v>
      </c>
      <c r="J325" s="2">
        <v>0</v>
      </c>
      <c r="K325" s="2">
        <v>0</v>
      </c>
      <c r="L325" s="2">
        <v>0</v>
      </c>
      <c r="M325" s="51">
        <v>294</v>
      </c>
      <c r="N325" s="51">
        <v>653</v>
      </c>
      <c r="P325" s="51">
        <v>653</v>
      </c>
      <c r="Q325" s="51">
        <v>507794</v>
      </c>
      <c r="R325" s="51">
        <v>1005200</v>
      </c>
      <c r="T325" s="51">
        <v>1005200</v>
      </c>
      <c r="U325" s="2">
        <v>1E-3</v>
      </c>
      <c r="V325" s="2">
        <v>1E-3</v>
      </c>
      <c r="W325" t="s">
        <v>373</v>
      </c>
      <c r="X325" t="s">
        <v>373</v>
      </c>
      <c r="Y325">
        <v>537.03</v>
      </c>
      <c r="Z325">
        <v>534.32000000000005</v>
      </c>
      <c r="AB325" s="2">
        <v>1</v>
      </c>
      <c r="AC325">
        <v>266.79000000000002</v>
      </c>
      <c r="AD325">
        <v>279.86</v>
      </c>
      <c r="AF325" s="2">
        <v>1</v>
      </c>
      <c r="AG325">
        <v>262.54000000000002</v>
      </c>
      <c r="AH325">
        <v>276.51</v>
      </c>
      <c r="AJ325" s="2">
        <v>1</v>
      </c>
      <c r="AN325" t="s">
        <v>373</v>
      </c>
      <c r="AR325" t="s">
        <v>373</v>
      </c>
      <c r="AS325" t="s">
        <v>16</v>
      </c>
      <c r="AT325" t="str">
        <f t="shared" si="5"/>
        <v>Macomb - 2508AL</v>
      </c>
    </row>
    <row r="326" spans="1:46" x14ac:dyDescent="0.25">
      <c r="A326" t="s">
        <v>316</v>
      </c>
      <c r="B326" t="s">
        <v>72</v>
      </c>
      <c r="C326" t="s">
        <v>182</v>
      </c>
      <c r="D326" s="50">
        <v>46054</v>
      </c>
      <c r="E326" s="2">
        <v>0.89</v>
      </c>
      <c r="F326" s="2">
        <v>0.89600000000000002</v>
      </c>
      <c r="G326" t="s">
        <v>373</v>
      </c>
      <c r="H326" t="s">
        <v>373</v>
      </c>
      <c r="I326" s="2">
        <v>0</v>
      </c>
      <c r="J326" s="2">
        <v>0</v>
      </c>
      <c r="K326" s="2">
        <v>0</v>
      </c>
      <c r="L326" s="2">
        <v>0</v>
      </c>
      <c r="M326" s="51">
        <v>359</v>
      </c>
      <c r="N326" s="51">
        <v>653</v>
      </c>
      <c r="P326" s="51">
        <v>653</v>
      </c>
      <c r="Q326" s="51">
        <v>497406</v>
      </c>
      <c r="R326" s="51">
        <v>1005200</v>
      </c>
      <c r="T326" s="51">
        <v>1005200</v>
      </c>
      <c r="U326" s="2">
        <v>1E-3</v>
      </c>
      <c r="V326" s="2">
        <v>1E-3</v>
      </c>
      <c r="W326" t="s">
        <v>373</v>
      </c>
      <c r="X326" t="s">
        <v>373</v>
      </c>
      <c r="Y326">
        <v>531.61</v>
      </c>
      <c r="Z326">
        <v>534.32000000000005</v>
      </c>
      <c r="AB326" s="2">
        <v>1</v>
      </c>
      <c r="AC326">
        <v>292.93</v>
      </c>
      <c r="AD326">
        <v>279.86</v>
      </c>
      <c r="AF326" s="2">
        <v>1</v>
      </c>
      <c r="AG326">
        <v>290.47000000000003</v>
      </c>
      <c r="AH326">
        <v>276.51</v>
      </c>
      <c r="AJ326" s="2">
        <v>1</v>
      </c>
      <c r="AN326" t="s">
        <v>373</v>
      </c>
      <c r="AR326" t="s">
        <v>373</v>
      </c>
      <c r="AS326" t="s">
        <v>16</v>
      </c>
      <c r="AT326" t="str">
        <f t="shared" si="5"/>
        <v>Macomb - 2508AL</v>
      </c>
    </row>
    <row r="327" spans="1:46" x14ac:dyDescent="0.25">
      <c r="A327" t="s">
        <v>316</v>
      </c>
      <c r="B327" t="s">
        <v>72</v>
      </c>
      <c r="C327" t="s">
        <v>203</v>
      </c>
      <c r="D327" s="50">
        <v>46023</v>
      </c>
      <c r="E327" s="2">
        <v>0.72</v>
      </c>
      <c r="F327" s="2">
        <v>0.71099999999999997</v>
      </c>
      <c r="G327" t="s">
        <v>373</v>
      </c>
      <c r="H327" t="s">
        <v>373</v>
      </c>
      <c r="I327" s="2">
        <v>1</v>
      </c>
      <c r="J327" s="2">
        <v>0.28599999999999998</v>
      </c>
      <c r="K327" s="2">
        <v>0</v>
      </c>
      <c r="L327" s="2">
        <v>0.28599999999999998</v>
      </c>
      <c r="M327" s="51">
        <v>0</v>
      </c>
      <c r="N327" s="51">
        <v>0</v>
      </c>
      <c r="P327" s="51">
        <v>0</v>
      </c>
      <c r="Q327" s="51">
        <v>199509</v>
      </c>
      <c r="R327" s="51">
        <v>390231</v>
      </c>
      <c r="T327" s="51">
        <v>390231</v>
      </c>
      <c r="U327" s="2">
        <v>0</v>
      </c>
      <c r="V327" s="2">
        <v>0</v>
      </c>
      <c r="W327" t="s">
        <v>373</v>
      </c>
      <c r="X327" t="s">
        <v>373</v>
      </c>
      <c r="Y327">
        <v>345.67</v>
      </c>
      <c r="Z327">
        <v>465.66</v>
      </c>
      <c r="AB327" s="2">
        <v>1</v>
      </c>
      <c r="AC327">
        <v>258.68</v>
      </c>
      <c r="AD327">
        <v>272.45999999999998</v>
      </c>
      <c r="AF327" s="2">
        <v>1</v>
      </c>
      <c r="AJ327" t="s">
        <v>373</v>
      </c>
      <c r="AN327" t="s">
        <v>373</v>
      </c>
      <c r="AR327" t="s">
        <v>373</v>
      </c>
      <c r="AS327" t="s">
        <v>16</v>
      </c>
      <c r="AT327" t="str">
        <f t="shared" si="5"/>
        <v>Novi - 2510AL</v>
      </c>
    </row>
    <row r="328" spans="1:46" x14ac:dyDescent="0.25">
      <c r="A328" t="s">
        <v>316</v>
      </c>
      <c r="B328" t="s">
        <v>72</v>
      </c>
      <c r="C328" t="s">
        <v>203</v>
      </c>
      <c r="D328" s="50">
        <v>46054</v>
      </c>
      <c r="E328" s="2">
        <v>0.70199999999999996</v>
      </c>
      <c r="F328" s="2">
        <v>0.71099999999999997</v>
      </c>
      <c r="G328" t="s">
        <v>373</v>
      </c>
      <c r="H328" t="s">
        <v>373</v>
      </c>
      <c r="I328" s="2">
        <v>0.16700000000000001</v>
      </c>
      <c r="J328" s="2">
        <v>0.28599999999999998</v>
      </c>
      <c r="K328" s="2">
        <v>0</v>
      </c>
      <c r="L328" s="2">
        <v>0.28599999999999998</v>
      </c>
      <c r="M328" s="51">
        <v>0</v>
      </c>
      <c r="N328" s="51">
        <v>0</v>
      </c>
      <c r="P328" s="51">
        <v>0</v>
      </c>
      <c r="Q328" s="51">
        <v>190721</v>
      </c>
      <c r="R328" s="51">
        <v>390231</v>
      </c>
      <c r="T328" s="51">
        <v>390231</v>
      </c>
      <c r="U328" s="2">
        <v>0</v>
      </c>
      <c r="V328" s="2">
        <v>0</v>
      </c>
      <c r="W328" t="s">
        <v>373</v>
      </c>
      <c r="X328" t="s">
        <v>373</v>
      </c>
      <c r="Y328">
        <v>585.65</v>
      </c>
      <c r="Z328">
        <v>465.66</v>
      </c>
      <c r="AB328" s="2">
        <v>1</v>
      </c>
      <c r="AC328">
        <v>286.25</v>
      </c>
      <c r="AD328">
        <v>272.45999999999998</v>
      </c>
      <c r="AF328" s="2">
        <v>1</v>
      </c>
      <c r="AJ328" t="s">
        <v>373</v>
      </c>
      <c r="AN328" t="s">
        <v>373</v>
      </c>
      <c r="AR328" t="s">
        <v>373</v>
      </c>
      <c r="AS328" t="s">
        <v>16</v>
      </c>
      <c r="AT328" t="str">
        <f t="shared" si="5"/>
        <v>Novi - 2510AL</v>
      </c>
    </row>
    <row r="329" spans="1:46" x14ac:dyDescent="0.25">
      <c r="A329" t="s">
        <v>316</v>
      </c>
      <c r="B329" t="s">
        <v>72</v>
      </c>
      <c r="C329" t="s">
        <v>204</v>
      </c>
      <c r="D329" s="50">
        <v>46023</v>
      </c>
      <c r="E329" s="2">
        <v>1</v>
      </c>
      <c r="F329" s="2">
        <v>0.997</v>
      </c>
      <c r="G329" t="s">
        <v>373</v>
      </c>
      <c r="H329" t="s">
        <v>373</v>
      </c>
      <c r="I329" s="2">
        <v>0</v>
      </c>
      <c r="J329" s="2">
        <v>0</v>
      </c>
      <c r="K329" s="2">
        <v>0</v>
      </c>
      <c r="L329" s="2">
        <v>0</v>
      </c>
      <c r="M329" s="51">
        <v>0</v>
      </c>
      <c r="N329" s="51">
        <v>0</v>
      </c>
      <c r="P329" s="51">
        <v>0</v>
      </c>
      <c r="Q329" s="51">
        <v>181842</v>
      </c>
      <c r="R329" s="51">
        <v>363282</v>
      </c>
      <c r="T329" s="51">
        <v>363282</v>
      </c>
      <c r="U329" s="2">
        <v>0</v>
      </c>
      <c r="V329" s="2">
        <v>0</v>
      </c>
      <c r="W329" t="s">
        <v>373</v>
      </c>
      <c r="X329" t="s">
        <v>373</v>
      </c>
      <c r="Y329">
        <v>516.03</v>
      </c>
      <c r="Z329">
        <v>536.61</v>
      </c>
      <c r="AB329" s="2">
        <v>1</v>
      </c>
      <c r="AC329">
        <v>255.16</v>
      </c>
      <c r="AD329">
        <v>267.98</v>
      </c>
      <c r="AF329" s="2">
        <v>1</v>
      </c>
      <c r="AJ329" t="s">
        <v>373</v>
      </c>
      <c r="AN329" t="s">
        <v>373</v>
      </c>
      <c r="AR329" t="s">
        <v>373</v>
      </c>
      <c r="AS329" t="s">
        <v>16</v>
      </c>
      <c r="AT329" t="str">
        <f t="shared" si="5"/>
        <v>Okemos - 2504AL</v>
      </c>
    </row>
    <row r="330" spans="1:46" x14ac:dyDescent="0.25">
      <c r="A330" t="s">
        <v>316</v>
      </c>
      <c r="B330" t="s">
        <v>72</v>
      </c>
      <c r="C330" t="s">
        <v>204</v>
      </c>
      <c r="D330" s="50">
        <v>46054</v>
      </c>
      <c r="E330" s="2">
        <v>0.99299999999999999</v>
      </c>
      <c r="F330" s="2">
        <v>0.997</v>
      </c>
      <c r="G330" t="s">
        <v>373</v>
      </c>
      <c r="H330" t="s">
        <v>373</v>
      </c>
      <c r="I330" s="2">
        <v>0</v>
      </c>
      <c r="J330" s="2">
        <v>0</v>
      </c>
      <c r="K330" s="2">
        <v>0</v>
      </c>
      <c r="L330" s="2">
        <v>0</v>
      </c>
      <c r="M330" s="51">
        <v>0</v>
      </c>
      <c r="N330" s="51">
        <v>0</v>
      </c>
      <c r="P330" s="51">
        <v>0</v>
      </c>
      <c r="Q330" s="51">
        <v>181440</v>
      </c>
      <c r="R330" s="51">
        <v>363282</v>
      </c>
      <c r="T330" s="51">
        <v>363282</v>
      </c>
      <c r="U330" s="2">
        <v>0</v>
      </c>
      <c r="V330" s="2">
        <v>0</v>
      </c>
      <c r="W330" t="s">
        <v>373</v>
      </c>
      <c r="X330" t="s">
        <v>373</v>
      </c>
      <c r="Y330">
        <v>557.19000000000005</v>
      </c>
      <c r="Z330">
        <v>536.61</v>
      </c>
      <c r="AB330" s="2">
        <v>1</v>
      </c>
      <c r="AC330">
        <v>280.8</v>
      </c>
      <c r="AD330">
        <v>267.98</v>
      </c>
      <c r="AF330" s="2">
        <v>1</v>
      </c>
      <c r="AJ330" t="s">
        <v>373</v>
      </c>
      <c r="AN330" t="s">
        <v>373</v>
      </c>
      <c r="AR330" t="s">
        <v>373</v>
      </c>
      <c r="AS330" t="s">
        <v>16</v>
      </c>
      <c r="AT330" t="str">
        <f t="shared" si="5"/>
        <v>Okemos - 2504AL</v>
      </c>
    </row>
    <row r="331" spans="1:46" x14ac:dyDescent="0.25">
      <c r="A331" t="s">
        <v>316</v>
      </c>
      <c r="B331" t="s">
        <v>72</v>
      </c>
      <c r="C331" t="s">
        <v>215</v>
      </c>
      <c r="D331" s="50">
        <v>46023</v>
      </c>
      <c r="E331" s="2">
        <v>0.98399999999999999</v>
      </c>
      <c r="F331" s="2">
        <v>0.96899999999999997</v>
      </c>
      <c r="G331" t="s">
        <v>373</v>
      </c>
      <c r="H331" t="s">
        <v>373</v>
      </c>
      <c r="I331" s="2">
        <v>0.2</v>
      </c>
      <c r="J331" s="2">
        <v>0.111</v>
      </c>
      <c r="K331" s="2">
        <v>0</v>
      </c>
      <c r="L331" s="2">
        <v>0.111</v>
      </c>
      <c r="M331" s="51">
        <v>1987</v>
      </c>
      <c r="N331" s="51">
        <v>2588</v>
      </c>
      <c r="P331" s="51">
        <v>2588</v>
      </c>
      <c r="Q331" s="51">
        <v>520529</v>
      </c>
      <c r="R331" s="51">
        <v>1010364</v>
      </c>
      <c r="T331" s="51">
        <v>1010364</v>
      </c>
      <c r="U331" s="2">
        <v>4.0000000000000001E-3</v>
      </c>
      <c r="V331" s="2">
        <v>3.0000000000000001E-3</v>
      </c>
      <c r="W331" t="s">
        <v>373</v>
      </c>
      <c r="X331" t="s">
        <v>373</v>
      </c>
      <c r="Y331">
        <v>579.46</v>
      </c>
      <c r="Z331">
        <v>570.48</v>
      </c>
      <c r="AB331" s="2">
        <v>1</v>
      </c>
      <c r="AC331">
        <v>255.06</v>
      </c>
      <c r="AD331">
        <v>267.58999999999997</v>
      </c>
      <c r="AF331" s="2">
        <v>1</v>
      </c>
      <c r="AG331">
        <v>270.75</v>
      </c>
      <c r="AH331">
        <v>280.81</v>
      </c>
      <c r="AJ331" s="2">
        <v>1</v>
      </c>
      <c r="AN331" t="s">
        <v>373</v>
      </c>
      <c r="AR331" t="s">
        <v>373</v>
      </c>
      <c r="AS331" t="s">
        <v>16</v>
      </c>
      <c r="AT331" t="str">
        <f t="shared" si="5"/>
        <v>Romeo - 2512AL</v>
      </c>
    </row>
    <row r="332" spans="1:46" x14ac:dyDescent="0.25">
      <c r="A332" t="s">
        <v>316</v>
      </c>
      <c r="B332" t="s">
        <v>72</v>
      </c>
      <c r="C332" t="s">
        <v>215</v>
      </c>
      <c r="D332" s="50">
        <v>46054</v>
      </c>
      <c r="E332" s="2">
        <v>0.95399999999999996</v>
      </c>
      <c r="F332" s="2">
        <v>0.96899999999999997</v>
      </c>
      <c r="G332" t="s">
        <v>373</v>
      </c>
      <c r="H332" t="s">
        <v>373</v>
      </c>
      <c r="I332" s="2">
        <v>0</v>
      </c>
      <c r="J332" s="2">
        <v>0.111</v>
      </c>
      <c r="K332" s="2">
        <v>0</v>
      </c>
      <c r="L332" s="2">
        <v>0.111</v>
      </c>
      <c r="M332" s="51">
        <v>601</v>
      </c>
      <c r="N332" s="51">
        <v>2588</v>
      </c>
      <c r="P332" s="51">
        <v>2588</v>
      </c>
      <c r="Q332" s="51">
        <v>489834</v>
      </c>
      <c r="R332" s="51">
        <v>1010364</v>
      </c>
      <c r="T332" s="51">
        <v>1010364</v>
      </c>
      <c r="U332" s="2">
        <v>1E-3</v>
      </c>
      <c r="V332" s="2">
        <v>3.0000000000000001E-3</v>
      </c>
      <c r="W332" t="s">
        <v>373</v>
      </c>
      <c r="X332" t="s">
        <v>373</v>
      </c>
      <c r="Y332">
        <v>561.49</v>
      </c>
      <c r="Z332">
        <v>570.48</v>
      </c>
      <c r="AB332" s="2">
        <v>1</v>
      </c>
      <c r="AC332">
        <v>280.12</v>
      </c>
      <c r="AD332">
        <v>267.58999999999997</v>
      </c>
      <c r="AF332" s="2">
        <v>1</v>
      </c>
      <c r="AG332">
        <v>290.88</v>
      </c>
      <c r="AH332">
        <v>280.81</v>
      </c>
      <c r="AJ332" s="2">
        <v>1</v>
      </c>
      <c r="AN332" t="s">
        <v>373</v>
      </c>
      <c r="AR332" t="s">
        <v>373</v>
      </c>
      <c r="AS332" t="s">
        <v>16</v>
      </c>
      <c r="AT332" t="str">
        <f t="shared" si="5"/>
        <v>Romeo - 2512AL</v>
      </c>
    </row>
    <row r="333" spans="1:46" x14ac:dyDescent="0.25">
      <c r="A333" t="s">
        <v>316</v>
      </c>
      <c r="B333" t="s">
        <v>253</v>
      </c>
      <c r="C333" t="s">
        <v>9</v>
      </c>
      <c r="D333" s="50">
        <v>46023</v>
      </c>
      <c r="E333" s="2">
        <v>0.86099999999999999</v>
      </c>
      <c r="F333" s="2">
        <v>0.86</v>
      </c>
      <c r="G333" t="s">
        <v>373</v>
      </c>
      <c r="H333" t="s">
        <v>373</v>
      </c>
      <c r="I333" s="2">
        <v>0</v>
      </c>
      <c r="J333" s="2">
        <v>0</v>
      </c>
      <c r="K333" s="2">
        <v>0</v>
      </c>
      <c r="L333" s="2">
        <v>0</v>
      </c>
      <c r="M333" s="51">
        <v>270</v>
      </c>
      <c r="N333" s="51">
        <v>270</v>
      </c>
      <c r="P333" s="51">
        <v>270</v>
      </c>
      <c r="Q333" s="51">
        <v>305413</v>
      </c>
      <c r="R333" s="51">
        <v>606476</v>
      </c>
      <c r="T333" s="51">
        <v>606476</v>
      </c>
      <c r="U333" s="2">
        <v>1E-3</v>
      </c>
      <c r="V333" s="2">
        <v>0</v>
      </c>
      <c r="W333" t="s">
        <v>373</v>
      </c>
      <c r="X333" t="s">
        <v>373</v>
      </c>
      <c r="Y333">
        <v>401.95</v>
      </c>
      <c r="Z333">
        <v>396.48</v>
      </c>
      <c r="AB333" s="2">
        <v>1</v>
      </c>
      <c r="AC333">
        <v>173.98</v>
      </c>
      <c r="AD333">
        <v>181.68</v>
      </c>
      <c r="AF333" s="2">
        <v>1</v>
      </c>
      <c r="AG333">
        <v>220.11</v>
      </c>
      <c r="AH333">
        <v>230.56</v>
      </c>
      <c r="AJ333" s="2">
        <v>1</v>
      </c>
      <c r="AN333" t="s">
        <v>373</v>
      </c>
      <c r="AO333">
        <v>94.95</v>
      </c>
      <c r="AP333">
        <v>101.31</v>
      </c>
      <c r="AR333" s="2">
        <v>1</v>
      </c>
      <c r="AS333" t="s">
        <v>16</v>
      </c>
      <c r="AT333" t="str">
        <f t="shared" si="5"/>
        <v>Anderson - 112AL</v>
      </c>
    </row>
    <row r="334" spans="1:46" x14ac:dyDescent="0.25">
      <c r="A334" t="s">
        <v>316</v>
      </c>
      <c r="B334" t="s">
        <v>253</v>
      </c>
      <c r="C334" t="s">
        <v>9</v>
      </c>
      <c r="D334" s="50">
        <v>46054</v>
      </c>
      <c r="E334" s="2">
        <v>0.85899999999999999</v>
      </c>
      <c r="F334" s="2">
        <v>0.86</v>
      </c>
      <c r="G334" t="s">
        <v>373</v>
      </c>
      <c r="H334" t="s">
        <v>373</v>
      </c>
      <c r="I334" s="2">
        <v>0</v>
      </c>
      <c r="J334" s="2">
        <v>0</v>
      </c>
      <c r="K334" s="2">
        <v>0</v>
      </c>
      <c r="L334" s="2">
        <v>0</v>
      </c>
      <c r="M334" s="51">
        <v>0</v>
      </c>
      <c r="N334" s="51">
        <v>270</v>
      </c>
      <c r="P334" s="51">
        <v>270</v>
      </c>
      <c r="Q334" s="51">
        <v>301063</v>
      </c>
      <c r="R334" s="51">
        <v>606476</v>
      </c>
      <c r="T334" s="51">
        <v>606476</v>
      </c>
      <c r="U334" s="2">
        <v>0</v>
      </c>
      <c r="V334" s="2">
        <v>0</v>
      </c>
      <c r="W334" t="s">
        <v>373</v>
      </c>
      <c r="X334" t="s">
        <v>373</v>
      </c>
      <c r="Y334">
        <v>391.02</v>
      </c>
      <c r="Z334">
        <v>396.48</v>
      </c>
      <c r="AB334" s="2">
        <v>1</v>
      </c>
      <c r="AC334">
        <v>189.38</v>
      </c>
      <c r="AD334">
        <v>181.68</v>
      </c>
      <c r="AF334" s="2">
        <v>1</v>
      </c>
      <c r="AG334">
        <v>241.01</v>
      </c>
      <c r="AH334">
        <v>230.56</v>
      </c>
      <c r="AJ334" s="2">
        <v>1</v>
      </c>
      <c r="AN334" t="s">
        <v>373</v>
      </c>
      <c r="AO334">
        <v>107.67</v>
      </c>
      <c r="AP334">
        <v>101.31</v>
      </c>
      <c r="AR334" s="2">
        <v>1</v>
      </c>
      <c r="AS334" t="s">
        <v>16</v>
      </c>
      <c r="AT334" t="str">
        <f t="shared" si="5"/>
        <v>Anderson - 112AL</v>
      </c>
    </row>
    <row r="335" spans="1:46" x14ac:dyDescent="0.25">
      <c r="A335" t="s">
        <v>316</v>
      </c>
      <c r="B335" t="s">
        <v>253</v>
      </c>
      <c r="C335" t="s">
        <v>81</v>
      </c>
      <c r="D335" s="50">
        <v>46023</v>
      </c>
      <c r="E335" s="2">
        <v>0.98699999999999999</v>
      </c>
      <c r="F335" s="2">
        <v>0.98599999999999999</v>
      </c>
      <c r="G335" t="s">
        <v>373</v>
      </c>
      <c r="H335" t="s">
        <v>373</v>
      </c>
      <c r="I335" s="2">
        <v>0</v>
      </c>
      <c r="J335" s="2">
        <v>0</v>
      </c>
      <c r="K335" s="2">
        <v>0</v>
      </c>
      <c r="L335" s="2">
        <v>0</v>
      </c>
      <c r="M335" s="51">
        <v>0</v>
      </c>
      <c r="N335" s="51">
        <v>0</v>
      </c>
      <c r="P335" s="51">
        <v>0</v>
      </c>
      <c r="Q335" s="51">
        <v>359297</v>
      </c>
      <c r="R335" s="51">
        <v>721126</v>
      </c>
      <c r="T335" s="51">
        <v>721126</v>
      </c>
      <c r="U335" s="2">
        <v>0</v>
      </c>
      <c r="V335" s="2">
        <v>0</v>
      </c>
      <c r="W335" t="s">
        <v>373</v>
      </c>
      <c r="X335" t="s">
        <v>373</v>
      </c>
      <c r="Y335">
        <v>388.3</v>
      </c>
      <c r="Z335">
        <v>388.13</v>
      </c>
      <c r="AB335" s="2">
        <v>1</v>
      </c>
      <c r="AC335">
        <v>189.65</v>
      </c>
      <c r="AD335">
        <v>203.19</v>
      </c>
      <c r="AF335" s="2">
        <v>1</v>
      </c>
      <c r="AG335">
        <v>409.87</v>
      </c>
      <c r="AH335">
        <v>357.13</v>
      </c>
      <c r="AJ335" s="2">
        <v>1</v>
      </c>
      <c r="AN335" t="s">
        <v>373</v>
      </c>
      <c r="AR335" t="s">
        <v>373</v>
      </c>
      <c r="AS335" t="s">
        <v>16</v>
      </c>
      <c r="AT335" t="str">
        <f t="shared" si="5"/>
        <v>Crawfordsville - 5167AL</v>
      </c>
    </row>
    <row r="336" spans="1:46" x14ac:dyDescent="0.25">
      <c r="A336" t="s">
        <v>316</v>
      </c>
      <c r="B336" t="s">
        <v>253</v>
      </c>
      <c r="C336" t="s">
        <v>81</v>
      </c>
      <c r="D336" s="50">
        <v>46054</v>
      </c>
      <c r="E336" s="2">
        <v>0.98499999999999999</v>
      </c>
      <c r="F336" s="2">
        <v>0.98599999999999999</v>
      </c>
      <c r="G336" t="s">
        <v>373</v>
      </c>
      <c r="H336" t="s">
        <v>373</v>
      </c>
      <c r="I336" s="2">
        <v>0</v>
      </c>
      <c r="J336" s="2">
        <v>0</v>
      </c>
      <c r="K336" s="2">
        <v>0</v>
      </c>
      <c r="L336" s="2">
        <v>0</v>
      </c>
      <c r="M336" s="51">
        <v>0</v>
      </c>
      <c r="N336" s="51">
        <v>0</v>
      </c>
      <c r="P336" s="51">
        <v>0</v>
      </c>
      <c r="Q336" s="51">
        <v>361829</v>
      </c>
      <c r="R336" s="51">
        <v>721126</v>
      </c>
      <c r="T336" s="51">
        <v>721126</v>
      </c>
      <c r="U336" s="2">
        <v>0</v>
      </c>
      <c r="V336" s="2">
        <v>0</v>
      </c>
      <c r="W336" t="s">
        <v>373</v>
      </c>
      <c r="X336" t="s">
        <v>373</v>
      </c>
      <c r="Y336">
        <v>387.97</v>
      </c>
      <c r="Z336">
        <v>388.13</v>
      </c>
      <c r="AB336" s="2">
        <v>1</v>
      </c>
      <c r="AC336">
        <v>216.72</v>
      </c>
      <c r="AD336">
        <v>203.19</v>
      </c>
      <c r="AF336" s="2">
        <v>1</v>
      </c>
      <c r="AG336">
        <v>304.39</v>
      </c>
      <c r="AH336">
        <v>357.13</v>
      </c>
      <c r="AJ336" s="2">
        <v>1</v>
      </c>
      <c r="AN336" t="s">
        <v>373</v>
      </c>
      <c r="AR336" t="s">
        <v>373</v>
      </c>
      <c r="AS336" t="s">
        <v>16</v>
      </c>
      <c r="AT336" t="str">
        <f t="shared" si="5"/>
        <v>Crawfordsville - 5167AL</v>
      </c>
    </row>
    <row r="337" spans="1:46" x14ac:dyDescent="0.25">
      <c r="A337" t="s">
        <v>316</v>
      </c>
      <c r="B337" t="s">
        <v>253</v>
      </c>
      <c r="C337" t="s">
        <v>87</v>
      </c>
      <c r="D337" s="50">
        <v>46023</v>
      </c>
      <c r="E337" s="2">
        <v>0.85599999999999998</v>
      </c>
      <c r="F337" s="2">
        <v>0.83299999999999996</v>
      </c>
      <c r="G337" t="s">
        <v>373</v>
      </c>
      <c r="H337" t="s">
        <v>373</v>
      </c>
      <c r="I337" s="2">
        <v>1</v>
      </c>
      <c r="J337" s="2">
        <v>1</v>
      </c>
      <c r="K337" s="2">
        <v>0</v>
      </c>
      <c r="L337" s="2">
        <v>1</v>
      </c>
      <c r="M337" s="51">
        <v>13498</v>
      </c>
      <c r="N337" s="51">
        <v>24412</v>
      </c>
      <c r="P337" s="51">
        <v>24412</v>
      </c>
      <c r="Q337" s="51">
        <v>135218</v>
      </c>
      <c r="R337" s="51">
        <v>260381</v>
      </c>
      <c r="T337" s="51">
        <v>260381</v>
      </c>
      <c r="U337" s="2">
        <v>0.1</v>
      </c>
      <c r="V337" s="2">
        <v>9.4E-2</v>
      </c>
      <c r="W337" t="s">
        <v>373</v>
      </c>
      <c r="X337" t="s">
        <v>373</v>
      </c>
      <c r="Y337">
        <v>392.45</v>
      </c>
      <c r="Z337">
        <v>398.87</v>
      </c>
      <c r="AB337" s="2">
        <v>1</v>
      </c>
      <c r="AC337">
        <v>172.88</v>
      </c>
      <c r="AD337">
        <v>182.7</v>
      </c>
      <c r="AF337" s="2">
        <v>1</v>
      </c>
      <c r="AJ337" t="s">
        <v>373</v>
      </c>
      <c r="AN337" t="s">
        <v>373</v>
      </c>
      <c r="AR337" t="s">
        <v>373</v>
      </c>
      <c r="AS337" t="s">
        <v>16</v>
      </c>
      <c r="AT337" t="str">
        <f t="shared" si="5"/>
        <v>Delphi - 2134AL</v>
      </c>
    </row>
    <row r="338" spans="1:46" x14ac:dyDescent="0.25">
      <c r="A338" t="s">
        <v>316</v>
      </c>
      <c r="B338" t="s">
        <v>253</v>
      </c>
      <c r="C338" t="s">
        <v>87</v>
      </c>
      <c r="D338" s="50">
        <v>46054</v>
      </c>
      <c r="E338" s="2">
        <v>0.80800000000000005</v>
      </c>
      <c r="F338" s="2">
        <v>0.83299999999999996</v>
      </c>
      <c r="G338" t="s">
        <v>373</v>
      </c>
      <c r="H338" t="s">
        <v>373</v>
      </c>
      <c r="I338" s="2">
        <v>0</v>
      </c>
      <c r="J338" s="2">
        <v>1</v>
      </c>
      <c r="K338" s="2">
        <v>0</v>
      </c>
      <c r="L338" s="2">
        <v>1</v>
      </c>
      <c r="M338" s="51">
        <v>10914</v>
      </c>
      <c r="N338" s="51">
        <v>24412</v>
      </c>
      <c r="P338" s="51">
        <v>24412</v>
      </c>
      <c r="Q338" s="51">
        <v>125163</v>
      </c>
      <c r="R338" s="51">
        <v>260381</v>
      </c>
      <c r="T338" s="51">
        <v>260381</v>
      </c>
      <c r="U338" s="2">
        <v>8.6999999999999994E-2</v>
      </c>
      <c r="V338" s="2">
        <v>9.4E-2</v>
      </c>
      <c r="W338" t="s">
        <v>373</v>
      </c>
      <c r="X338" t="s">
        <v>373</v>
      </c>
      <c r="Y338">
        <v>405.3</v>
      </c>
      <c r="Z338">
        <v>398.87</v>
      </c>
      <c r="AB338" s="2">
        <v>1</v>
      </c>
      <c r="AC338">
        <v>192.52</v>
      </c>
      <c r="AD338">
        <v>182.7</v>
      </c>
      <c r="AF338" s="2">
        <v>1</v>
      </c>
      <c r="AJ338" t="s">
        <v>373</v>
      </c>
      <c r="AN338" t="s">
        <v>373</v>
      </c>
      <c r="AR338" t="s">
        <v>373</v>
      </c>
      <c r="AS338" t="s">
        <v>16</v>
      </c>
      <c r="AT338" t="str">
        <f t="shared" si="5"/>
        <v>Delphi - 2134AL</v>
      </c>
    </row>
    <row r="339" spans="1:46" x14ac:dyDescent="0.25">
      <c r="A339" t="s">
        <v>316</v>
      </c>
      <c r="B339" t="s">
        <v>253</v>
      </c>
      <c r="C339" t="s">
        <v>138</v>
      </c>
      <c r="D339" s="50">
        <v>46023</v>
      </c>
      <c r="E339" s="2">
        <v>0.996</v>
      </c>
      <c r="F339" s="2">
        <v>0.99099999999999999</v>
      </c>
      <c r="G339" t="s">
        <v>373</v>
      </c>
      <c r="H339" t="s">
        <v>373</v>
      </c>
      <c r="I339" s="2">
        <v>0</v>
      </c>
      <c r="J339" s="2">
        <v>0</v>
      </c>
      <c r="K339" s="2">
        <v>0</v>
      </c>
      <c r="L339" s="2">
        <v>0</v>
      </c>
      <c r="M339" s="51">
        <v>0</v>
      </c>
      <c r="N339" s="51">
        <v>0</v>
      </c>
      <c r="P339" s="51">
        <v>0</v>
      </c>
      <c r="Q339" s="51">
        <v>225726</v>
      </c>
      <c r="R339" s="51">
        <v>426443</v>
      </c>
      <c r="T339" s="51">
        <v>426443</v>
      </c>
      <c r="U339" s="2">
        <v>0</v>
      </c>
      <c r="V339" s="2">
        <v>0</v>
      </c>
      <c r="W339" t="s">
        <v>373</v>
      </c>
      <c r="X339" t="s">
        <v>373</v>
      </c>
      <c r="Y339">
        <v>421.7</v>
      </c>
      <c r="Z339">
        <v>426.49</v>
      </c>
      <c r="AB339" s="2">
        <v>1</v>
      </c>
      <c r="AC339">
        <v>204.93</v>
      </c>
      <c r="AD339">
        <v>201.76</v>
      </c>
      <c r="AF339" s="2">
        <v>1</v>
      </c>
      <c r="AJ339" t="s">
        <v>373</v>
      </c>
      <c r="AN339" t="s">
        <v>373</v>
      </c>
      <c r="AR339" t="s">
        <v>373</v>
      </c>
      <c r="AS339" t="s">
        <v>16</v>
      </c>
      <c r="AT339" t="str">
        <f t="shared" si="5"/>
        <v>Kokomo WK - 5168AL</v>
      </c>
    </row>
    <row r="340" spans="1:46" x14ac:dyDescent="0.25">
      <c r="A340" t="s">
        <v>316</v>
      </c>
      <c r="B340" t="s">
        <v>253</v>
      </c>
      <c r="C340" t="s">
        <v>138</v>
      </c>
      <c r="D340" s="50">
        <v>46054</v>
      </c>
      <c r="E340" s="2">
        <v>0.98599999999999999</v>
      </c>
      <c r="F340" s="2">
        <v>0.99099999999999999</v>
      </c>
      <c r="G340" t="s">
        <v>373</v>
      </c>
      <c r="H340" t="s">
        <v>373</v>
      </c>
      <c r="I340" s="2">
        <v>0</v>
      </c>
      <c r="J340" s="2">
        <v>0</v>
      </c>
      <c r="K340" s="2">
        <v>0</v>
      </c>
      <c r="L340" s="2">
        <v>0</v>
      </c>
      <c r="M340" s="51">
        <v>0</v>
      </c>
      <c r="N340" s="51">
        <v>0</v>
      </c>
      <c r="P340" s="51">
        <v>0</v>
      </c>
      <c r="Q340" s="51">
        <v>200717</v>
      </c>
      <c r="R340" s="51">
        <v>426443</v>
      </c>
      <c r="T340" s="51">
        <v>426443</v>
      </c>
      <c r="U340" s="2">
        <v>0</v>
      </c>
      <c r="V340" s="2">
        <v>0</v>
      </c>
      <c r="W340" t="s">
        <v>373</v>
      </c>
      <c r="X340" t="s">
        <v>373</v>
      </c>
      <c r="Y340">
        <v>431.27</v>
      </c>
      <c r="Z340">
        <v>426.49</v>
      </c>
      <c r="AB340" s="2">
        <v>1</v>
      </c>
      <c r="AC340">
        <v>198.59</v>
      </c>
      <c r="AD340">
        <v>201.76</v>
      </c>
      <c r="AF340" s="2">
        <v>1</v>
      </c>
      <c r="AJ340" t="s">
        <v>373</v>
      </c>
      <c r="AN340" t="s">
        <v>373</v>
      </c>
      <c r="AR340" t="s">
        <v>373</v>
      </c>
      <c r="AS340" t="s">
        <v>16</v>
      </c>
      <c r="AT340" t="str">
        <f t="shared" si="5"/>
        <v>Kokomo WK - 5168AL</v>
      </c>
    </row>
    <row r="341" spans="1:46" x14ac:dyDescent="0.25">
      <c r="A341" t="s">
        <v>316</v>
      </c>
      <c r="B341" t="s">
        <v>253</v>
      </c>
      <c r="C341" t="s">
        <v>139</v>
      </c>
      <c r="D341" s="50">
        <v>46023</v>
      </c>
      <c r="E341" s="2">
        <v>0.94299999999999995</v>
      </c>
      <c r="F341" s="2">
        <v>0.92900000000000005</v>
      </c>
      <c r="G341" t="s">
        <v>373</v>
      </c>
      <c r="H341" t="s">
        <v>373</v>
      </c>
      <c r="I341" s="2">
        <v>0</v>
      </c>
      <c r="J341" s="2">
        <v>0</v>
      </c>
      <c r="K341" s="2">
        <v>0</v>
      </c>
      <c r="L341" s="2">
        <v>0</v>
      </c>
      <c r="M341" s="51">
        <v>599</v>
      </c>
      <c r="N341" s="51">
        <v>599</v>
      </c>
      <c r="P341" s="51">
        <v>599</v>
      </c>
      <c r="Q341" s="51">
        <v>328274</v>
      </c>
      <c r="R341" s="51">
        <v>625851</v>
      </c>
      <c r="T341" s="51">
        <v>625851</v>
      </c>
      <c r="U341" s="2">
        <v>2E-3</v>
      </c>
      <c r="V341" s="2">
        <v>1E-3</v>
      </c>
      <c r="W341" t="s">
        <v>373</v>
      </c>
      <c r="X341" t="s">
        <v>373</v>
      </c>
      <c r="Y341">
        <v>356.61</v>
      </c>
      <c r="Z341">
        <v>345.6</v>
      </c>
      <c r="AB341" s="2">
        <v>1</v>
      </c>
      <c r="AC341">
        <v>164.61</v>
      </c>
      <c r="AD341">
        <v>172.97</v>
      </c>
      <c r="AF341" s="2">
        <v>1</v>
      </c>
      <c r="AG341">
        <v>240.5</v>
      </c>
      <c r="AH341">
        <v>253.03</v>
      </c>
      <c r="AJ341" s="2">
        <v>1</v>
      </c>
      <c r="AN341" t="s">
        <v>373</v>
      </c>
      <c r="AO341">
        <v>98.23</v>
      </c>
      <c r="AP341">
        <v>104.18</v>
      </c>
      <c r="AR341" s="2">
        <v>1</v>
      </c>
      <c r="AS341" t="s">
        <v>16</v>
      </c>
      <c r="AT341" t="str">
        <f t="shared" si="5"/>
        <v>Kokomo WP - 106AL</v>
      </c>
    </row>
    <row r="342" spans="1:46" x14ac:dyDescent="0.25">
      <c r="A342" t="s">
        <v>316</v>
      </c>
      <c r="B342" t="s">
        <v>253</v>
      </c>
      <c r="C342" t="s">
        <v>139</v>
      </c>
      <c r="D342" s="50">
        <v>46054</v>
      </c>
      <c r="E342" s="2">
        <v>0.91400000000000003</v>
      </c>
      <c r="F342" s="2">
        <v>0.92900000000000005</v>
      </c>
      <c r="G342" t="s">
        <v>373</v>
      </c>
      <c r="H342" t="s">
        <v>373</v>
      </c>
      <c r="I342" s="2">
        <v>0</v>
      </c>
      <c r="J342" s="2">
        <v>0</v>
      </c>
      <c r="K342" s="2">
        <v>0</v>
      </c>
      <c r="L342" s="2">
        <v>0</v>
      </c>
      <c r="M342" s="51">
        <v>0</v>
      </c>
      <c r="N342" s="51">
        <v>599</v>
      </c>
      <c r="P342" s="51">
        <v>599</v>
      </c>
      <c r="Q342" s="51">
        <v>297578</v>
      </c>
      <c r="R342" s="51">
        <v>625851</v>
      </c>
      <c r="T342" s="51">
        <v>625851</v>
      </c>
      <c r="U342" s="2">
        <v>0</v>
      </c>
      <c r="V342" s="2">
        <v>1E-3</v>
      </c>
      <c r="W342" t="s">
        <v>373</v>
      </c>
      <c r="X342" t="s">
        <v>373</v>
      </c>
      <c r="Y342">
        <v>334.58</v>
      </c>
      <c r="Z342">
        <v>345.6</v>
      </c>
      <c r="AB342" s="2">
        <v>1</v>
      </c>
      <c r="AC342">
        <v>181.34</v>
      </c>
      <c r="AD342">
        <v>172.97</v>
      </c>
      <c r="AF342" s="2">
        <v>1</v>
      </c>
      <c r="AG342">
        <v>265.57</v>
      </c>
      <c r="AH342">
        <v>253.03</v>
      </c>
      <c r="AJ342" s="2">
        <v>1</v>
      </c>
      <c r="AN342" t="s">
        <v>373</v>
      </c>
      <c r="AO342">
        <v>110.12</v>
      </c>
      <c r="AP342">
        <v>104.18</v>
      </c>
      <c r="AR342" s="2">
        <v>1</v>
      </c>
      <c r="AS342" t="s">
        <v>16</v>
      </c>
      <c r="AT342" t="str">
        <f t="shared" si="5"/>
        <v>Kokomo WP - 106AL</v>
      </c>
    </row>
    <row r="343" spans="1:46" x14ac:dyDescent="0.25">
      <c r="A343" t="s">
        <v>316</v>
      </c>
      <c r="B343" t="s">
        <v>253</v>
      </c>
      <c r="C343" t="s">
        <v>143</v>
      </c>
      <c r="D343" s="50">
        <v>46023</v>
      </c>
      <c r="E343" s="2">
        <v>0.88200000000000001</v>
      </c>
      <c r="F343" s="2">
        <v>0.92400000000000004</v>
      </c>
      <c r="G343" t="s">
        <v>373</v>
      </c>
      <c r="H343" t="s">
        <v>373</v>
      </c>
      <c r="I343" s="2">
        <v>0</v>
      </c>
      <c r="J343" s="2">
        <v>0</v>
      </c>
      <c r="K343" s="2">
        <v>0</v>
      </c>
      <c r="L343" s="2">
        <v>0</v>
      </c>
      <c r="M343" s="51">
        <v>0</v>
      </c>
      <c r="N343" s="51">
        <v>0</v>
      </c>
      <c r="P343" s="51">
        <v>0</v>
      </c>
      <c r="Q343" s="51">
        <v>381470</v>
      </c>
      <c r="R343" s="51">
        <v>800647</v>
      </c>
      <c r="T343" s="51">
        <v>800647</v>
      </c>
      <c r="U343" s="2">
        <v>0</v>
      </c>
      <c r="V343" s="2">
        <v>0</v>
      </c>
      <c r="W343" t="s">
        <v>373</v>
      </c>
      <c r="X343" t="s">
        <v>373</v>
      </c>
      <c r="Y343">
        <v>449.75</v>
      </c>
      <c r="Z343">
        <v>456.64</v>
      </c>
      <c r="AB343" s="2">
        <v>1</v>
      </c>
      <c r="AC343">
        <v>189.44</v>
      </c>
      <c r="AD343">
        <v>198.88</v>
      </c>
      <c r="AF343" s="2">
        <v>1</v>
      </c>
      <c r="AG343">
        <v>267.75</v>
      </c>
      <c r="AH343">
        <v>281.45999999999998</v>
      </c>
      <c r="AJ343" s="2">
        <v>1</v>
      </c>
      <c r="AN343" t="s">
        <v>373</v>
      </c>
      <c r="AO343">
        <v>115.28</v>
      </c>
      <c r="AP343">
        <v>121.41</v>
      </c>
      <c r="AR343" s="2">
        <v>1</v>
      </c>
      <c r="AS343" t="s">
        <v>16</v>
      </c>
      <c r="AT343" t="str">
        <f t="shared" si="5"/>
        <v>Lafayette CS - 133AL</v>
      </c>
    </row>
    <row r="344" spans="1:46" x14ac:dyDescent="0.25">
      <c r="A344" t="s">
        <v>316</v>
      </c>
      <c r="B344" t="s">
        <v>253</v>
      </c>
      <c r="C344" t="s">
        <v>143</v>
      </c>
      <c r="D344" s="50">
        <v>46054</v>
      </c>
      <c r="E344" s="2">
        <v>0.97</v>
      </c>
      <c r="F344" s="2">
        <v>0.92400000000000004</v>
      </c>
      <c r="G344" t="s">
        <v>373</v>
      </c>
      <c r="H344" t="s">
        <v>373</v>
      </c>
      <c r="I344" s="2">
        <v>0</v>
      </c>
      <c r="J344" s="2">
        <v>0</v>
      </c>
      <c r="K344" s="2">
        <v>0</v>
      </c>
      <c r="L344" s="2">
        <v>0</v>
      </c>
      <c r="M344" s="51">
        <v>0</v>
      </c>
      <c r="N344" s="51">
        <v>0</v>
      </c>
      <c r="P344" s="51">
        <v>0</v>
      </c>
      <c r="Q344" s="51">
        <v>419178</v>
      </c>
      <c r="R344" s="51">
        <v>800647</v>
      </c>
      <c r="T344" s="51">
        <v>800647</v>
      </c>
      <c r="U344" s="2">
        <v>0</v>
      </c>
      <c r="V344" s="2">
        <v>0</v>
      </c>
      <c r="W344" t="s">
        <v>373</v>
      </c>
      <c r="X344" t="s">
        <v>373</v>
      </c>
      <c r="Y344">
        <v>463.54</v>
      </c>
      <c r="Z344">
        <v>456.64</v>
      </c>
      <c r="AB344" s="2">
        <v>1</v>
      </c>
      <c r="AC344">
        <v>208.31</v>
      </c>
      <c r="AD344">
        <v>198.88</v>
      </c>
      <c r="AF344" s="2">
        <v>1</v>
      </c>
      <c r="AG344">
        <v>295.16000000000003</v>
      </c>
      <c r="AH344">
        <v>281.45999999999998</v>
      </c>
      <c r="AJ344" s="2">
        <v>1</v>
      </c>
      <c r="AN344" t="s">
        <v>373</v>
      </c>
      <c r="AO344">
        <v>127.54</v>
      </c>
      <c r="AP344">
        <v>121.41</v>
      </c>
      <c r="AR344" s="2">
        <v>1</v>
      </c>
      <c r="AS344" t="s">
        <v>16</v>
      </c>
      <c r="AT344" t="str">
        <f t="shared" si="5"/>
        <v>Lafayette CS - 133AL</v>
      </c>
    </row>
    <row r="345" spans="1:46" x14ac:dyDescent="0.25">
      <c r="A345" t="s">
        <v>316</v>
      </c>
      <c r="B345" t="s">
        <v>253</v>
      </c>
      <c r="C345" t="s">
        <v>144</v>
      </c>
      <c r="D345" s="50">
        <v>46023</v>
      </c>
      <c r="E345" s="2">
        <v>0.96299999999999997</v>
      </c>
      <c r="F345" s="2">
        <v>0.97599999999999998</v>
      </c>
      <c r="G345" t="s">
        <v>373</v>
      </c>
      <c r="H345" t="s">
        <v>373</v>
      </c>
      <c r="I345" s="2">
        <v>0</v>
      </c>
      <c r="J345" s="2">
        <v>0</v>
      </c>
      <c r="K345" s="2">
        <v>0</v>
      </c>
      <c r="L345" s="2">
        <v>0</v>
      </c>
      <c r="M345" s="51">
        <v>0</v>
      </c>
      <c r="N345" s="51">
        <v>0</v>
      </c>
      <c r="P345" s="51">
        <v>0</v>
      </c>
      <c r="Q345" s="51">
        <v>324113</v>
      </c>
      <c r="R345" s="51">
        <v>657171</v>
      </c>
      <c r="T345" s="51">
        <v>657171</v>
      </c>
      <c r="U345" s="2">
        <v>0</v>
      </c>
      <c r="V345" s="2">
        <v>0</v>
      </c>
      <c r="W345" t="s">
        <v>373</v>
      </c>
      <c r="X345" t="s">
        <v>373</v>
      </c>
      <c r="Y345">
        <v>467.12</v>
      </c>
      <c r="Z345">
        <v>494.4</v>
      </c>
      <c r="AB345" s="2">
        <v>1</v>
      </c>
      <c r="AC345">
        <v>200.04</v>
      </c>
      <c r="AD345">
        <v>209.45</v>
      </c>
      <c r="AF345" s="2">
        <v>1</v>
      </c>
      <c r="AG345">
        <v>241.41</v>
      </c>
      <c r="AH345">
        <v>253.45</v>
      </c>
      <c r="AJ345" s="2">
        <v>1</v>
      </c>
      <c r="AN345" t="s">
        <v>373</v>
      </c>
      <c r="AR345" t="s">
        <v>373</v>
      </c>
      <c r="AS345" t="s">
        <v>16</v>
      </c>
      <c r="AT345" t="str">
        <f t="shared" si="5"/>
        <v>Lafayette SL - 5162AL</v>
      </c>
    </row>
    <row r="346" spans="1:46" x14ac:dyDescent="0.25">
      <c r="A346" t="s">
        <v>316</v>
      </c>
      <c r="B346" t="s">
        <v>253</v>
      </c>
      <c r="C346" t="s">
        <v>144</v>
      </c>
      <c r="D346" s="50">
        <v>46054</v>
      </c>
      <c r="E346" s="2">
        <v>0.99099999999999999</v>
      </c>
      <c r="F346" s="2">
        <v>0.97599999999999998</v>
      </c>
      <c r="G346" t="s">
        <v>373</v>
      </c>
      <c r="H346" t="s">
        <v>373</v>
      </c>
      <c r="I346" s="2">
        <v>0</v>
      </c>
      <c r="J346" s="2">
        <v>0</v>
      </c>
      <c r="K346" s="2">
        <v>0</v>
      </c>
      <c r="L346" s="2">
        <v>0</v>
      </c>
      <c r="M346" s="51">
        <v>0</v>
      </c>
      <c r="N346" s="51">
        <v>0</v>
      </c>
      <c r="P346" s="51">
        <v>0</v>
      </c>
      <c r="Q346" s="51">
        <v>333057</v>
      </c>
      <c r="R346" s="51">
        <v>657171</v>
      </c>
      <c r="T346" s="51">
        <v>657171</v>
      </c>
      <c r="U346" s="2">
        <v>0</v>
      </c>
      <c r="V346" s="2">
        <v>0</v>
      </c>
      <c r="W346" t="s">
        <v>373</v>
      </c>
      <c r="X346" t="s">
        <v>373</v>
      </c>
      <c r="Y346">
        <v>521.67999999999995</v>
      </c>
      <c r="Z346">
        <v>494.4</v>
      </c>
      <c r="AB346" s="2">
        <v>1</v>
      </c>
      <c r="AC346">
        <v>218.85</v>
      </c>
      <c r="AD346">
        <v>209.45</v>
      </c>
      <c r="AF346" s="2">
        <v>1</v>
      </c>
      <c r="AG346">
        <v>265.5</v>
      </c>
      <c r="AH346">
        <v>253.45</v>
      </c>
      <c r="AJ346" s="2">
        <v>1</v>
      </c>
      <c r="AN346" t="s">
        <v>373</v>
      </c>
      <c r="AR346" t="s">
        <v>373</v>
      </c>
      <c r="AS346" t="s">
        <v>16</v>
      </c>
      <c r="AT346" t="str">
        <f t="shared" si="5"/>
        <v>Lafayette SL - 5162AL</v>
      </c>
    </row>
    <row r="347" spans="1:46" x14ac:dyDescent="0.25">
      <c r="A347" t="s">
        <v>316</v>
      </c>
      <c r="B347" t="s">
        <v>253</v>
      </c>
      <c r="C347" t="s">
        <v>151</v>
      </c>
      <c r="D347" s="50">
        <v>46023</v>
      </c>
      <c r="E347" s="2">
        <v>0.92100000000000004</v>
      </c>
      <c r="F347" s="2">
        <v>0.94699999999999995</v>
      </c>
      <c r="G347" t="s">
        <v>373</v>
      </c>
      <c r="H347" t="s">
        <v>373</v>
      </c>
      <c r="I347" s="2">
        <v>0</v>
      </c>
      <c r="J347" s="2">
        <v>0</v>
      </c>
      <c r="K347" s="2">
        <v>0</v>
      </c>
      <c r="L347" s="2">
        <v>0</v>
      </c>
      <c r="M347" s="51">
        <v>4480</v>
      </c>
      <c r="N347" s="51">
        <v>8960</v>
      </c>
      <c r="P347" s="51">
        <v>8960</v>
      </c>
      <c r="Q347" s="51">
        <v>231434</v>
      </c>
      <c r="R347" s="51">
        <v>474033</v>
      </c>
      <c r="T347" s="51">
        <v>474033</v>
      </c>
      <c r="U347" s="2">
        <v>1.9E-2</v>
      </c>
      <c r="V347" s="2">
        <v>1.9E-2</v>
      </c>
      <c r="W347" t="s">
        <v>373</v>
      </c>
      <c r="X347" t="s">
        <v>373</v>
      </c>
      <c r="Y347">
        <v>349.22</v>
      </c>
      <c r="Z347">
        <v>323.36</v>
      </c>
      <c r="AB347" s="2">
        <v>1</v>
      </c>
      <c r="AC347">
        <v>177.36</v>
      </c>
      <c r="AD347">
        <v>185.98</v>
      </c>
      <c r="AF347" s="2">
        <v>1</v>
      </c>
      <c r="AG347">
        <v>272.51</v>
      </c>
      <c r="AH347">
        <v>287.45</v>
      </c>
      <c r="AJ347" s="2">
        <v>1</v>
      </c>
      <c r="AN347" t="s">
        <v>373</v>
      </c>
      <c r="AR347" t="s">
        <v>373</v>
      </c>
      <c r="AS347" t="s">
        <v>16</v>
      </c>
      <c r="AT347" t="str">
        <f t="shared" si="5"/>
        <v>Lebanon - 104AL</v>
      </c>
    </row>
    <row r="348" spans="1:46" x14ac:dyDescent="0.25">
      <c r="A348" t="s">
        <v>316</v>
      </c>
      <c r="B348" t="s">
        <v>253</v>
      </c>
      <c r="C348" t="s">
        <v>151</v>
      </c>
      <c r="D348" s="50">
        <v>46054</v>
      </c>
      <c r="E348" s="2">
        <v>0.97599999999999998</v>
      </c>
      <c r="F348" s="2">
        <v>0.94699999999999995</v>
      </c>
      <c r="G348" t="s">
        <v>373</v>
      </c>
      <c r="H348" t="s">
        <v>373</v>
      </c>
      <c r="I348" s="2">
        <v>0</v>
      </c>
      <c r="J348" s="2">
        <v>0</v>
      </c>
      <c r="K348" s="2">
        <v>0</v>
      </c>
      <c r="L348" s="2">
        <v>0</v>
      </c>
      <c r="M348" s="51">
        <v>4480</v>
      </c>
      <c r="N348" s="51">
        <v>8960</v>
      </c>
      <c r="P348" s="51">
        <v>8960</v>
      </c>
      <c r="Q348" s="51">
        <v>242599</v>
      </c>
      <c r="R348" s="51">
        <v>474033</v>
      </c>
      <c r="T348" s="51">
        <v>474033</v>
      </c>
      <c r="U348" s="2">
        <v>1.7999999999999999E-2</v>
      </c>
      <c r="V348" s="2">
        <v>1.9E-2</v>
      </c>
      <c r="W348" t="s">
        <v>373</v>
      </c>
      <c r="X348" t="s">
        <v>373</v>
      </c>
      <c r="Y348">
        <v>297.49</v>
      </c>
      <c r="Z348">
        <v>323.36</v>
      </c>
      <c r="AB348" s="2">
        <v>1</v>
      </c>
      <c r="AC348">
        <v>194.6</v>
      </c>
      <c r="AD348">
        <v>185.98</v>
      </c>
      <c r="AF348" s="2">
        <v>1</v>
      </c>
      <c r="AG348">
        <v>302.39</v>
      </c>
      <c r="AH348">
        <v>287.45</v>
      </c>
      <c r="AJ348" s="2">
        <v>1</v>
      </c>
      <c r="AN348" t="s">
        <v>373</v>
      </c>
      <c r="AR348" t="s">
        <v>373</v>
      </c>
      <c r="AS348" t="s">
        <v>16</v>
      </c>
      <c r="AT348" t="str">
        <f t="shared" si="5"/>
        <v>Lebanon - 104AL</v>
      </c>
    </row>
    <row r="349" spans="1:46" x14ac:dyDescent="0.25">
      <c r="A349" t="s">
        <v>316</v>
      </c>
      <c r="B349" t="s">
        <v>253</v>
      </c>
      <c r="C349" t="s">
        <v>190</v>
      </c>
      <c r="D349" s="50">
        <v>46023</v>
      </c>
      <c r="E349" s="2">
        <v>0.92400000000000004</v>
      </c>
      <c r="F349" s="2">
        <v>0.92700000000000005</v>
      </c>
      <c r="G349" t="s">
        <v>373</v>
      </c>
      <c r="H349" t="s">
        <v>373</v>
      </c>
      <c r="I349" s="2">
        <v>0</v>
      </c>
      <c r="J349" s="2">
        <v>0</v>
      </c>
      <c r="K349" s="2">
        <v>0</v>
      </c>
      <c r="L349" s="2">
        <v>0</v>
      </c>
      <c r="M349" s="51">
        <v>380</v>
      </c>
      <c r="N349" s="51">
        <v>760</v>
      </c>
      <c r="P349" s="51">
        <v>760</v>
      </c>
      <c r="Q349" s="51">
        <v>495030</v>
      </c>
      <c r="R349" s="51">
        <v>997389</v>
      </c>
      <c r="T349" s="51">
        <v>997389</v>
      </c>
      <c r="U349" s="2">
        <v>1E-3</v>
      </c>
      <c r="V349" s="2">
        <v>1E-3</v>
      </c>
      <c r="W349" t="s">
        <v>373</v>
      </c>
      <c r="X349" t="s">
        <v>373</v>
      </c>
      <c r="Y349">
        <v>409.6</v>
      </c>
      <c r="Z349">
        <v>403.62</v>
      </c>
      <c r="AB349" s="2">
        <v>1</v>
      </c>
      <c r="AC349">
        <v>230.74</v>
      </c>
      <c r="AD349">
        <v>242.21</v>
      </c>
      <c r="AF349" s="2">
        <v>1</v>
      </c>
      <c r="AG349">
        <v>248.58</v>
      </c>
      <c r="AH349">
        <v>261.83</v>
      </c>
      <c r="AJ349" s="2">
        <v>1</v>
      </c>
      <c r="AN349" t="s">
        <v>373</v>
      </c>
      <c r="AO349">
        <v>112.58</v>
      </c>
      <c r="AP349">
        <v>118.52</v>
      </c>
      <c r="AR349" s="2">
        <v>1</v>
      </c>
      <c r="AS349" t="s">
        <v>16</v>
      </c>
      <c r="AT349" t="str">
        <f t="shared" si="5"/>
        <v>Muncie - 128AL</v>
      </c>
    </row>
    <row r="350" spans="1:46" x14ac:dyDescent="0.25">
      <c r="A350" t="s">
        <v>316</v>
      </c>
      <c r="B350" t="s">
        <v>253</v>
      </c>
      <c r="C350" t="s">
        <v>190</v>
      </c>
      <c r="D350" s="50">
        <v>46054</v>
      </c>
      <c r="E350" s="2">
        <v>0.93</v>
      </c>
      <c r="F350" s="2">
        <v>0.92700000000000005</v>
      </c>
      <c r="G350" t="s">
        <v>373</v>
      </c>
      <c r="H350" t="s">
        <v>373</v>
      </c>
      <c r="I350" s="2">
        <v>0</v>
      </c>
      <c r="J350" s="2">
        <v>0</v>
      </c>
      <c r="K350" s="2">
        <v>0</v>
      </c>
      <c r="L350" s="2">
        <v>0</v>
      </c>
      <c r="M350" s="51">
        <v>380</v>
      </c>
      <c r="N350" s="51">
        <v>760</v>
      </c>
      <c r="P350" s="51">
        <v>760</v>
      </c>
      <c r="Q350" s="51">
        <v>502358</v>
      </c>
      <c r="R350" s="51">
        <v>997389</v>
      </c>
      <c r="T350" s="51">
        <v>997389</v>
      </c>
      <c r="U350" s="2">
        <v>1E-3</v>
      </c>
      <c r="V350" s="2">
        <v>1E-3</v>
      </c>
      <c r="W350" t="s">
        <v>373</v>
      </c>
      <c r="X350" t="s">
        <v>373</v>
      </c>
      <c r="Y350">
        <v>397.65</v>
      </c>
      <c r="Z350">
        <v>403.62</v>
      </c>
      <c r="AB350" s="2">
        <v>1</v>
      </c>
      <c r="AC350">
        <v>253.69</v>
      </c>
      <c r="AD350">
        <v>242.21</v>
      </c>
      <c r="AF350" s="2">
        <v>1</v>
      </c>
      <c r="AG350">
        <v>275.08</v>
      </c>
      <c r="AH350">
        <v>261.83</v>
      </c>
      <c r="AJ350" s="2">
        <v>1</v>
      </c>
      <c r="AN350" t="s">
        <v>373</v>
      </c>
      <c r="AO350">
        <v>124.46</v>
      </c>
      <c r="AP350">
        <v>118.52</v>
      </c>
      <c r="AR350" s="2">
        <v>1</v>
      </c>
      <c r="AS350" t="s">
        <v>16</v>
      </c>
      <c r="AT350" t="str">
        <f t="shared" si="5"/>
        <v>Muncie - 128AL</v>
      </c>
    </row>
    <row r="351" spans="1:46" x14ac:dyDescent="0.25">
      <c r="A351" t="s">
        <v>316</v>
      </c>
      <c r="B351" t="s">
        <v>253</v>
      </c>
      <c r="C351" t="s">
        <v>201</v>
      </c>
      <c r="D351" s="50">
        <v>46023</v>
      </c>
      <c r="E351" s="2">
        <v>0.94199999999999995</v>
      </c>
      <c r="F351" s="2">
        <v>0.94899999999999995</v>
      </c>
      <c r="G351" t="s">
        <v>373</v>
      </c>
      <c r="H351" t="s">
        <v>373</v>
      </c>
      <c r="I351" s="2">
        <v>0</v>
      </c>
      <c r="J351" s="2">
        <v>0</v>
      </c>
      <c r="K351" s="2">
        <v>0</v>
      </c>
      <c r="L351" s="2">
        <v>0</v>
      </c>
      <c r="M351" s="51">
        <v>0</v>
      </c>
      <c r="N351" s="51">
        <v>598</v>
      </c>
      <c r="P351" s="51">
        <v>598</v>
      </c>
      <c r="Q351" s="51">
        <v>441125</v>
      </c>
      <c r="R351" s="51">
        <v>881052</v>
      </c>
      <c r="T351" s="51">
        <v>881052</v>
      </c>
      <c r="U351" s="2">
        <v>0</v>
      </c>
      <c r="V351" s="2">
        <v>1E-3</v>
      </c>
      <c r="W351" t="s">
        <v>373</v>
      </c>
      <c r="X351" t="s">
        <v>373</v>
      </c>
      <c r="Y351">
        <v>415.77</v>
      </c>
      <c r="Z351">
        <v>416.15</v>
      </c>
      <c r="AB351" s="2">
        <v>1</v>
      </c>
      <c r="AC351">
        <v>170.57</v>
      </c>
      <c r="AD351">
        <v>177.97</v>
      </c>
      <c r="AF351" s="2">
        <v>1</v>
      </c>
      <c r="AG351">
        <v>237.51</v>
      </c>
      <c r="AH351">
        <v>250.16</v>
      </c>
      <c r="AJ351" s="2">
        <v>1</v>
      </c>
      <c r="AN351" t="s">
        <v>373</v>
      </c>
      <c r="AR351" t="s">
        <v>373</v>
      </c>
      <c r="AS351" t="s">
        <v>16</v>
      </c>
      <c r="AT351" t="str">
        <f t="shared" si="5"/>
        <v>Noblesville - 141AL</v>
      </c>
    </row>
    <row r="352" spans="1:46" x14ac:dyDescent="0.25">
      <c r="A352" t="s">
        <v>316</v>
      </c>
      <c r="B352" t="s">
        <v>253</v>
      </c>
      <c r="C352" t="s">
        <v>201</v>
      </c>
      <c r="D352" s="50">
        <v>46054</v>
      </c>
      <c r="E352" s="2">
        <v>0.95699999999999996</v>
      </c>
      <c r="F352" s="2">
        <v>0.94899999999999995</v>
      </c>
      <c r="G352" t="s">
        <v>373</v>
      </c>
      <c r="H352" t="s">
        <v>373</v>
      </c>
      <c r="I352" s="2">
        <v>0</v>
      </c>
      <c r="J352" s="2">
        <v>0</v>
      </c>
      <c r="K352" s="2">
        <v>0</v>
      </c>
      <c r="L352" s="2">
        <v>0</v>
      </c>
      <c r="M352" s="51">
        <v>598</v>
      </c>
      <c r="N352" s="51">
        <v>598</v>
      </c>
      <c r="P352" s="51">
        <v>598</v>
      </c>
      <c r="Q352" s="51">
        <v>439927</v>
      </c>
      <c r="R352" s="51">
        <v>881052</v>
      </c>
      <c r="T352" s="51">
        <v>881052</v>
      </c>
      <c r="U352" s="2">
        <v>1E-3</v>
      </c>
      <c r="V352" s="2">
        <v>1E-3</v>
      </c>
      <c r="W352" t="s">
        <v>373</v>
      </c>
      <c r="X352" t="s">
        <v>373</v>
      </c>
      <c r="Y352">
        <v>416.54</v>
      </c>
      <c r="Z352">
        <v>416.15</v>
      </c>
      <c r="AB352" s="2">
        <v>1</v>
      </c>
      <c r="AC352">
        <v>185.37</v>
      </c>
      <c r="AD352">
        <v>177.97</v>
      </c>
      <c r="AF352" s="2">
        <v>1</v>
      </c>
      <c r="AG352">
        <v>262.81</v>
      </c>
      <c r="AH352">
        <v>250.16</v>
      </c>
      <c r="AJ352" s="2">
        <v>1</v>
      </c>
      <c r="AN352" t="s">
        <v>373</v>
      </c>
      <c r="AR352" t="s">
        <v>373</v>
      </c>
      <c r="AS352" t="s">
        <v>16</v>
      </c>
      <c r="AT352" t="str">
        <f t="shared" si="5"/>
        <v>Noblesville - 141AL</v>
      </c>
    </row>
    <row r="353" spans="1:46" x14ac:dyDescent="0.25">
      <c r="A353" t="s">
        <v>316</v>
      </c>
      <c r="B353" t="s">
        <v>253</v>
      </c>
      <c r="C353" t="s">
        <v>245</v>
      </c>
      <c r="D353" s="50">
        <v>46023</v>
      </c>
      <c r="E353" s="2">
        <v>0.88200000000000001</v>
      </c>
      <c r="F353" s="2">
        <v>0.876</v>
      </c>
      <c r="G353" t="s">
        <v>373</v>
      </c>
      <c r="H353" t="s">
        <v>373</v>
      </c>
      <c r="I353" s="2">
        <v>0</v>
      </c>
      <c r="J353" s="2">
        <v>0</v>
      </c>
      <c r="K353" s="2">
        <v>0</v>
      </c>
      <c r="L353" s="2">
        <v>0</v>
      </c>
      <c r="M353" s="51">
        <v>4110</v>
      </c>
      <c r="N353" s="51">
        <v>23137</v>
      </c>
      <c r="P353" s="51">
        <v>23137</v>
      </c>
      <c r="Q353" s="51">
        <v>328534</v>
      </c>
      <c r="R353" s="51">
        <v>634437</v>
      </c>
      <c r="T353" s="51">
        <v>634437</v>
      </c>
      <c r="U353" s="2">
        <v>1.2999999999999999E-2</v>
      </c>
      <c r="V353" s="2">
        <v>3.5999999999999997E-2</v>
      </c>
      <c r="W353" t="s">
        <v>373</v>
      </c>
      <c r="X353" t="s">
        <v>373</v>
      </c>
      <c r="Y353">
        <v>435.46</v>
      </c>
      <c r="Z353">
        <v>455.51</v>
      </c>
      <c r="AB353" s="2">
        <v>1</v>
      </c>
      <c r="AC353">
        <v>168.74</v>
      </c>
      <c r="AD353">
        <v>171.83</v>
      </c>
      <c r="AF353" s="2">
        <v>1</v>
      </c>
      <c r="AJ353" t="s">
        <v>373</v>
      </c>
      <c r="AN353" t="s">
        <v>373</v>
      </c>
      <c r="AR353" t="s">
        <v>373</v>
      </c>
      <c r="AS353" t="s">
        <v>16</v>
      </c>
      <c r="AT353" t="str">
        <f t="shared" si="5"/>
        <v>West Lafayette - 2135AL</v>
      </c>
    </row>
    <row r="354" spans="1:46" x14ac:dyDescent="0.25">
      <c r="A354" t="s">
        <v>316</v>
      </c>
      <c r="B354" t="s">
        <v>253</v>
      </c>
      <c r="C354" t="s">
        <v>245</v>
      </c>
      <c r="D354" s="50">
        <v>46054</v>
      </c>
      <c r="E354" s="2">
        <v>0.86899999999999999</v>
      </c>
      <c r="F354" s="2">
        <v>0.876</v>
      </c>
      <c r="G354" t="s">
        <v>373</v>
      </c>
      <c r="H354" t="s">
        <v>373</v>
      </c>
      <c r="I354" s="2">
        <v>0</v>
      </c>
      <c r="J354" s="2">
        <v>0</v>
      </c>
      <c r="K354" s="2">
        <v>0</v>
      </c>
      <c r="L354" s="2">
        <v>0</v>
      </c>
      <c r="M354" s="51">
        <v>19027</v>
      </c>
      <c r="N354" s="51">
        <v>23137</v>
      </c>
      <c r="P354" s="51">
        <v>23137</v>
      </c>
      <c r="Q354" s="51">
        <v>305903</v>
      </c>
      <c r="R354" s="51">
        <v>634437</v>
      </c>
      <c r="T354" s="51">
        <v>634437</v>
      </c>
      <c r="U354" s="2">
        <v>6.2E-2</v>
      </c>
      <c r="V354" s="2">
        <v>3.5999999999999997E-2</v>
      </c>
      <c r="W354" t="s">
        <v>373</v>
      </c>
      <c r="X354" t="s">
        <v>373</v>
      </c>
      <c r="Y354">
        <v>475.57</v>
      </c>
      <c r="Z354">
        <v>455.51</v>
      </c>
      <c r="AB354" s="2">
        <v>1</v>
      </c>
      <c r="AC354">
        <v>174.92</v>
      </c>
      <c r="AD354">
        <v>171.83</v>
      </c>
      <c r="AF354" s="2">
        <v>1</v>
      </c>
      <c r="AJ354" t="s">
        <v>373</v>
      </c>
      <c r="AN354" t="s">
        <v>373</v>
      </c>
      <c r="AR354" t="s">
        <v>373</v>
      </c>
      <c r="AS354" t="s">
        <v>16</v>
      </c>
      <c r="AT354" t="str">
        <f t="shared" si="5"/>
        <v>West Lafayette - 2135AL</v>
      </c>
    </row>
    <row r="355" spans="1:46" x14ac:dyDescent="0.25">
      <c r="A355" t="s">
        <v>316</v>
      </c>
      <c r="B355" t="s">
        <v>254</v>
      </c>
      <c r="C355" t="s">
        <v>93</v>
      </c>
      <c r="D355" s="50">
        <v>46023</v>
      </c>
      <c r="E355" s="2">
        <v>0.94499999999999995</v>
      </c>
      <c r="F355" s="2">
        <v>0.93799999999999994</v>
      </c>
      <c r="G355" t="s">
        <v>373</v>
      </c>
      <c r="H355" t="s">
        <v>373</v>
      </c>
      <c r="I355" s="2">
        <v>0.5</v>
      </c>
      <c r="J355" s="2">
        <v>0.5</v>
      </c>
      <c r="K355" s="2">
        <v>0</v>
      </c>
      <c r="L355" s="2">
        <v>0.5</v>
      </c>
      <c r="M355" s="51">
        <v>15977</v>
      </c>
      <c r="N355" s="51">
        <v>29264</v>
      </c>
      <c r="P355" s="51">
        <v>29264</v>
      </c>
      <c r="Q355" s="51">
        <v>286417</v>
      </c>
      <c r="R355" s="51">
        <v>569899</v>
      </c>
      <c r="T355" s="51">
        <v>569899</v>
      </c>
      <c r="U355" s="2">
        <v>5.6000000000000001E-2</v>
      </c>
      <c r="V355" s="2">
        <v>5.0999999999999997E-2</v>
      </c>
      <c r="W355" t="s">
        <v>373</v>
      </c>
      <c r="X355" t="s">
        <v>373</v>
      </c>
      <c r="Y355">
        <v>459.6</v>
      </c>
      <c r="Z355">
        <v>479.01</v>
      </c>
      <c r="AB355" s="2">
        <v>1</v>
      </c>
      <c r="AC355">
        <v>135.91999999999999</v>
      </c>
      <c r="AD355">
        <v>143.26</v>
      </c>
      <c r="AF355" s="2">
        <v>1</v>
      </c>
      <c r="AG355">
        <v>223.5</v>
      </c>
      <c r="AH355">
        <v>239.63</v>
      </c>
      <c r="AJ355" s="2">
        <v>1</v>
      </c>
      <c r="AN355" t="s">
        <v>373</v>
      </c>
      <c r="AR355" t="s">
        <v>373</v>
      </c>
      <c r="AS355" t="s">
        <v>16</v>
      </c>
      <c r="AT355" t="str">
        <f t="shared" si="5"/>
        <v>Elkhart - 132AL</v>
      </c>
    </row>
    <row r="356" spans="1:46" x14ac:dyDescent="0.25">
      <c r="A356" t="s">
        <v>316</v>
      </c>
      <c r="B356" t="s">
        <v>254</v>
      </c>
      <c r="C356" t="s">
        <v>93</v>
      </c>
      <c r="D356" s="50">
        <v>46054</v>
      </c>
      <c r="E356" s="2">
        <v>0.93100000000000005</v>
      </c>
      <c r="F356" s="2">
        <v>0.93799999999999994</v>
      </c>
      <c r="G356" t="s">
        <v>373</v>
      </c>
      <c r="H356" t="s">
        <v>373</v>
      </c>
      <c r="I356" s="2">
        <v>0</v>
      </c>
      <c r="J356" s="2">
        <v>0.5</v>
      </c>
      <c r="K356" s="2">
        <v>0</v>
      </c>
      <c r="L356" s="2">
        <v>0.5</v>
      </c>
      <c r="M356" s="51">
        <v>13287</v>
      </c>
      <c r="N356" s="51">
        <v>29264</v>
      </c>
      <c r="P356" s="51">
        <v>29264</v>
      </c>
      <c r="Q356" s="51">
        <v>283481</v>
      </c>
      <c r="R356" s="51">
        <v>569899</v>
      </c>
      <c r="T356" s="51">
        <v>569899</v>
      </c>
      <c r="U356" s="2">
        <v>4.7E-2</v>
      </c>
      <c r="V356" s="2">
        <v>5.0999999999999997E-2</v>
      </c>
      <c r="W356" t="s">
        <v>373</v>
      </c>
      <c r="X356" t="s">
        <v>373</v>
      </c>
      <c r="Y356">
        <v>498.42</v>
      </c>
      <c r="Z356">
        <v>479.01</v>
      </c>
      <c r="AB356" s="2">
        <v>1</v>
      </c>
      <c r="AC356">
        <v>150.6</v>
      </c>
      <c r="AD356">
        <v>143.26</v>
      </c>
      <c r="AF356" s="2">
        <v>1</v>
      </c>
      <c r="AG356">
        <v>255.76</v>
      </c>
      <c r="AH356">
        <v>239.63</v>
      </c>
      <c r="AJ356" s="2">
        <v>1</v>
      </c>
      <c r="AN356" t="s">
        <v>373</v>
      </c>
      <c r="AR356" t="s">
        <v>373</v>
      </c>
      <c r="AS356" t="s">
        <v>16</v>
      </c>
      <c r="AT356" t="str">
        <f t="shared" si="5"/>
        <v>Elkhart - 132AL</v>
      </c>
    </row>
    <row r="357" spans="1:46" x14ac:dyDescent="0.25">
      <c r="A357" t="s">
        <v>316</v>
      </c>
      <c r="B357" t="s">
        <v>254</v>
      </c>
      <c r="C357" t="s">
        <v>284</v>
      </c>
      <c r="D357" s="50">
        <v>46023</v>
      </c>
      <c r="E357" s="2">
        <v>0.67900000000000005</v>
      </c>
      <c r="F357" s="2">
        <v>0.76500000000000001</v>
      </c>
      <c r="G357" t="s">
        <v>373</v>
      </c>
      <c r="H357" t="s">
        <v>373</v>
      </c>
      <c r="I357" s="2">
        <v>0</v>
      </c>
      <c r="J357" s="2">
        <v>0</v>
      </c>
      <c r="K357" s="2">
        <v>0</v>
      </c>
      <c r="L357" s="2">
        <v>0</v>
      </c>
      <c r="M357" s="51">
        <v>150</v>
      </c>
      <c r="N357" s="51">
        <v>300</v>
      </c>
      <c r="P357" s="51">
        <v>300</v>
      </c>
      <c r="Q357" s="51">
        <v>227297</v>
      </c>
      <c r="R357" s="51">
        <v>483806</v>
      </c>
      <c r="T357" s="51">
        <v>483806</v>
      </c>
      <c r="U357" s="2">
        <v>1E-3</v>
      </c>
      <c r="V357" s="2">
        <v>1E-3</v>
      </c>
      <c r="W357" t="s">
        <v>373</v>
      </c>
      <c r="X357" t="s">
        <v>373</v>
      </c>
      <c r="AB357" t="s">
        <v>373</v>
      </c>
      <c r="AC357">
        <v>243.75</v>
      </c>
      <c r="AD357">
        <v>242.71</v>
      </c>
      <c r="AF357" s="2">
        <v>1</v>
      </c>
      <c r="AG357">
        <v>217.78</v>
      </c>
      <c r="AH357">
        <v>228.26</v>
      </c>
      <c r="AJ357" s="2">
        <v>1</v>
      </c>
      <c r="AN357" t="s">
        <v>373</v>
      </c>
      <c r="AR357" t="s">
        <v>373</v>
      </c>
      <c r="AS357" t="s">
        <v>16</v>
      </c>
      <c r="AT357" t="str">
        <f t="shared" si="5"/>
        <v>Fort Wayne KOD-0553AL</v>
      </c>
    </row>
    <row r="358" spans="1:46" x14ac:dyDescent="0.25">
      <c r="A358" t="s">
        <v>316</v>
      </c>
      <c r="B358" t="s">
        <v>254</v>
      </c>
      <c r="C358" t="s">
        <v>284</v>
      </c>
      <c r="D358" s="50">
        <v>46054</v>
      </c>
      <c r="E358" s="2">
        <v>0.871</v>
      </c>
      <c r="F358" s="2">
        <v>0.76500000000000001</v>
      </c>
      <c r="G358" t="s">
        <v>373</v>
      </c>
      <c r="H358" t="s">
        <v>373</v>
      </c>
      <c r="I358" s="2">
        <v>0</v>
      </c>
      <c r="J358" s="2">
        <v>0</v>
      </c>
      <c r="K358" s="2">
        <v>0</v>
      </c>
      <c r="L358" s="2">
        <v>0</v>
      </c>
      <c r="M358" s="51">
        <v>150</v>
      </c>
      <c r="N358" s="51">
        <v>300</v>
      </c>
      <c r="P358" s="51">
        <v>300</v>
      </c>
      <c r="Q358" s="51">
        <v>256510</v>
      </c>
      <c r="R358" s="51">
        <v>483806</v>
      </c>
      <c r="T358" s="51">
        <v>483806</v>
      </c>
      <c r="U358" s="2">
        <v>1E-3</v>
      </c>
      <c r="V358" s="2">
        <v>1E-3</v>
      </c>
      <c r="W358" t="s">
        <v>373</v>
      </c>
      <c r="X358" t="s">
        <v>373</v>
      </c>
      <c r="AB358" t="s">
        <v>373</v>
      </c>
      <c r="AC358">
        <v>241.67</v>
      </c>
      <c r="AD358">
        <v>242.71</v>
      </c>
      <c r="AF358" s="2">
        <v>1</v>
      </c>
      <c r="AG358">
        <v>238.74</v>
      </c>
      <c r="AH358">
        <v>228.26</v>
      </c>
      <c r="AJ358" s="2">
        <v>1</v>
      </c>
      <c r="AN358" t="s">
        <v>373</v>
      </c>
      <c r="AR358" t="s">
        <v>373</v>
      </c>
      <c r="AS358" t="s">
        <v>16</v>
      </c>
      <c r="AT358" t="str">
        <f t="shared" si="5"/>
        <v>Fort Wayne KOD-0553AL</v>
      </c>
    </row>
    <row r="359" spans="1:46" x14ac:dyDescent="0.25">
      <c r="A359" t="s">
        <v>316</v>
      </c>
      <c r="B359" t="s">
        <v>254</v>
      </c>
      <c r="C359" t="s">
        <v>285</v>
      </c>
      <c r="D359" s="50">
        <v>46023</v>
      </c>
      <c r="E359" s="2">
        <v>0.88200000000000001</v>
      </c>
      <c r="F359" s="2">
        <v>0.89</v>
      </c>
      <c r="G359" t="s">
        <v>373</v>
      </c>
      <c r="H359" t="s">
        <v>373</v>
      </c>
      <c r="I359" s="2">
        <v>0</v>
      </c>
      <c r="J359" s="2">
        <v>0</v>
      </c>
      <c r="K359" s="2">
        <v>0</v>
      </c>
      <c r="L359" s="2">
        <v>0</v>
      </c>
      <c r="M359" s="51">
        <v>750</v>
      </c>
      <c r="N359" s="51">
        <v>1500</v>
      </c>
      <c r="P359" s="51">
        <v>1500</v>
      </c>
      <c r="Q359" s="51">
        <v>151520</v>
      </c>
      <c r="R359" s="51">
        <v>307678</v>
      </c>
      <c r="T359" s="51">
        <v>307678</v>
      </c>
      <c r="U359" s="2">
        <v>5.0000000000000001E-3</v>
      </c>
      <c r="V359" s="2">
        <v>5.0000000000000001E-3</v>
      </c>
      <c r="W359" t="s">
        <v>373</v>
      </c>
      <c r="X359" t="s">
        <v>373</v>
      </c>
      <c r="AB359" t="s">
        <v>373</v>
      </c>
      <c r="AC359">
        <v>151.22999999999999</v>
      </c>
      <c r="AD359">
        <v>159.66</v>
      </c>
      <c r="AF359" s="2">
        <v>1</v>
      </c>
      <c r="AJ359" t="s">
        <v>373</v>
      </c>
      <c r="AN359" t="s">
        <v>373</v>
      </c>
      <c r="AR359" t="s">
        <v>373</v>
      </c>
      <c r="AS359" t="s">
        <v>16</v>
      </c>
      <c r="AT359" t="str">
        <f t="shared" si="5"/>
        <v>Fort Wayne KSL-0552AL</v>
      </c>
    </row>
    <row r="360" spans="1:46" x14ac:dyDescent="0.25">
      <c r="A360" t="s">
        <v>316</v>
      </c>
      <c r="B360" t="s">
        <v>254</v>
      </c>
      <c r="C360" t="s">
        <v>285</v>
      </c>
      <c r="D360" s="50">
        <v>46054</v>
      </c>
      <c r="E360" s="2">
        <v>0.89800000000000002</v>
      </c>
      <c r="F360" s="2">
        <v>0.89</v>
      </c>
      <c r="G360" t="s">
        <v>373</v>
      </c>
      <c r="H360" t="s">
        <v>373</v>
      </c>
      <c r="I360" s="2">
        <v>0</v>
      </c>
      <c r="J360" s="2">
        <v>0</v>
      </c>
      <c r="K360" s="2">
        <v>0</v>
      </c>
      <c r="L360" s="2">
        <v>0</v>
      </c>
      <c r="M360" s="51">
        <v>750</v>
      </c>
      <c r="N360" s="51">
        <v>1500</v>
      </c>
      <c r="P360" s="51">
        <v>1500</v>
      </c>
      <c r="Q360" s="51">
        <v>156158</v>
      </c>
      <c r="R360" s="51">
        <v>307678</v>
      </c>
      <c r="T360" s="51">
        <v>307678</v>
      </c>
      <c r="U360" s="2">
        <v>5.0000000000000001E-3</v>
      </c>
      <c r="V360" s="2">
        <v>5.0000000000000001E-3</v>
      </c>
      <c r="W360" t="s">
        <v>373</v>
      </c>
      <c r="X360" t="s">
        <v>373</v>
      </c>
      <c r="AB360" t="s">
        <v>373</v>
      </c>
      <c r="AC360">
        <v>168.09</v>
      </c>
      <c r="AD360">
        <v>159.66</v>
      </c>
      <c r="AF360" s="2">
        <v>1</v>
      </c>
      <c r="AJ360" t="s">
        <v>373</v>
      </c>
      <c r="AN360" t="s">
        <v>373</v>
      </c>
      <c r="AR360" t="s">
        <v>373</v>
      </c>
      <c r="AS360" t="s">
        <v>16</v>
      </c>
      <c r="AT360" t="str">
        <f t="shared" si="5"/>
        <v>Fort Wayne KSL-0552AL</v>
      </c>
    </row>
    <row r="361" spans="1:46" x14ac:dyDescent="0.25">
      <c r="A361" t="s">
        <v>316</v>
      </c>
      <c r="B361" t="s">
        <v>254</v>
      </c>
      <c r="C361" t="s">
        <v>117</v>
      </c>
      <c r="D361" s="50">
        <v>46023</v>
      </c>
      <c r="E361" s="2">
        <v>0.99399999999999999</v>
      </c>
      <c r="F361" s="2">
        <v>0.98599999999999999</v>
      </c>
      <c r="G361" t="s">
        <v>373</v>
      </c>
      <c r="H361" t="s">
        <v>373</v>
      </c>
      <c r="I361" s="2">
        <v>0</v>
      </c>
      <c r="J361" s="2">
        <v>0</v>
      </c>
      <c r="K361" s="2">
        <v>0</v>
      </c>
      <c r="L361" s="2">
        <v>0</v>
      </c>
      <c r="M361" s="51">
        <v>16802</v>
      </c>
      <c r="N361" s="51">
        <v>32803</v>
      </c>
      <c r="P361" s="51">
        <v>32803</v>
      </c>
      <c r="Q361" s="51">
        <v>568243</v>
      </c>
      <c r="R361" s="51">
        <v>1069706</v>
      </c>
      <c r="T361" s="51">
        <v>1069706</v>
      </c>
      <c r="U361" s="2">
        <v>0.03</v>
      </c>
      <c r="V361" s="2">
        <v>3.1E-2</v>
      </c>
      <c r="W361" t="s">
        <v>373</v>
      </c>
      <c r="X361" t="s">
        <v>373</v>
      </c>
      <c r="AB361" t="s">
        <v>373</v>
      </c>
      <c r="AC361">
        <v>133.27000000000001</v>
      </c>
      <c r="AD361">
        <v>133.19</v>
      </c>
      <c r="AF361" s="2">
        <v>1</v>
      </c>
      <c r="AG361">
        <v>91.77</v>
      </c>
      <c r="AH361">
        <v>91.88</v>
      </c>
      <c r="AJ361" s="2">
        <v>1</v>
      </c>
      <c r="AN361" t="s">
        <v>373</v>
      </c>
      <c r="AR361" t="s">
        <v>373</v>
      </c>
      <c r="AS361" t="s">
        <v>16</v>
      </c>
      <c r="AT361" t="str">
        <f t="shared" si="5"/>
        <v>Goshen SL - 2184AL</v>
      </c>
    </row>
    <row r="362" spans="1:46" x14ac:dyDescent="0.25">
      <c r="A362" t="s">
        <v>316</v>
      </c>
      <c r="B362" t="s">
        <v>254</v>
      </c>
      <c r="C362" t="s">
        <v>117</v>
      </c>
      <c r="D362" s="50">
        <v>46054</v>
      </c>
      <c r="E362" s="2">
        <v>0.97699999999999998</v>
      </c>
      <c r="F362" s="2">
        <v>0.98599999999999999</v>
      </c>
      <c r="G362" t="s">
        <v>373</v>
      </c>
      <c r="H362" t="s">
        <v>373</v>
      </c>
      <c r="I362" s="2">
        <v>0</v>
      </c>
      <c r="J362" s="2">
        <v>0</v>
      </c>
      <c r="K362" s="2">
        <v>0</v>
      </c>
      <c r="L362" s="2">
        <v>0</v>
      </c>
      <c r="M362" s="51">
        <v>16001</v>
      </c>
      <c r="N362" s="51">
        <v>32803</v>
      </c>
      <c r="P362" s="51">
        <v>32803</v>
      </c>
      <c r="Q362" s="51">
        <v>501463</v>
      </c>
      <c r="R362" s="51">
        <v>1069706</v>
      </c>
      <c r="T362" s="51">
        <v>1069706</v>
      </c>
      <c r="U362" s="2">
        <v>3.2000000000000001E-2</v>
      </c>
      <c r="V362" s="2">
        <v>3.1E-2</v>
      </c>
      <c r="W362" t="s">
        <v>373</v>
      </c>
      <c r="X362" t="s">
        <v>373</v>
      </c>
      <c r="AB362" t="s">
        <v>373</v>
      </c>
      <c r="AC362">
        <v>133.11000000000001</v>
      </c>
      <c r="AD362">
        <v>133.19</v>
      </c>
      <c r="AF362" s="2">
        <v>1</v>
      </c>
      <c r="AG362">
        <v>92</v>
      </c>
      <c r="AH362">
        <v>91.88</v>
      </c>
      <c r="AJ362" s="2">
        <v>1</v>
      </c>
      <c r="AN362" t="s">
        <v>373</v>
      </c>
      <c r="AR362" t="s">
        <v>373</v>
      </c>
      <c r="AS362" t="s">
        <v>16</v>
      </c>
      <c r="AT362" t="str">
        <f t="shared" si="5"/>
        <v>Goshen SL - 2184AL</v>
      </c>
    </row>
    <row r="363" spans="1:46" x14ac:dyDescent="0.25">
      <c r="A363" t="s">
        <v>316</v>
      </c>
      <c r="B363" t="s">
        <v>254</v>
      </c>
      <c r="C363" t="s">
        <v>137</v>
      </c>
      <c r="D363" s="50">
        <v>46023</v>
      </c>
      <c r="E363" s="2">
        <v>0.9</v>
      </c>
      <c r="F363" s="2">
        <v>0.94099999999999995</v>
      </c>
      <c r="G363" t="s">
        <v>373</v>
      </c>
      <c r="H363" t="s">
        <v>373</v>
      </c>
      <c r="I363" s="2">
        <v>0</v>
      </c>
      <c r="J363" s="2">
        <v>0.66700000000000004</v>
      </c>
      <c r="K363" s="2">
        <v>0</v>
      </c>
      <c r="L363" s="2">
        <v>0.66700000000000004</v>
      </c>
      <c r="M363" s="51">
        <v>2664</v>
      </c>
      <c r="N363" s="51">
        <v>7312</v>
      </c>
      <c r="P363" s="51">
        <v>7312</v>
      </c>
      <c r="Q363" s="51">
        <v>217348</v>
      </c>
      <c r="R363" s="51">
        <v>450143</v>
      </c>
      <c r="T363" s="51">
        <v>450143</v>
      </c>
      <c r="U363" s="2">
        <v>1.2E-2</v>
      </c>
      <c r="V363" s="2">
        <v>1.6E-2</v>
      </c>
      <c r="W363" t="s">
        <v>373</v>
      </c>
      <c r="X363" t="s">
        <v>373</v>
      </c>
      <c r="Y363">
        <v>415.27</v>
      </c>
      <c r="Z363">
        <v>404.87</v>
      </c>
      <c r="AB363" s="2">
        <v>1</v>
      </c>
      <c r="AC363">
        <v>204.05</v>
      </c>
      <c r="AD363">
        <v>210.54</v>
      </c>
      <c r="AF363" s="2">
        <v>1</v>
      </c>
      <c r="AG363">
        <v>261.94</v>
      </c>
      <c r="AH363">
        <v>275.97000000000003</v>
      </c>
      <c r="AJ363" s="2">
        <v>1</v>
      </c>
      <c r="AN363" t="s">
        <v>373</v>
      </c>
      <c r="AR363" t="s">
        <v>373</v>
      </c>
      <c r="AS363" t="s">
        <v>16</v>
      </c>
      <c r="AT363" t="str">
        <f t="shared" si="5"/>
        <v>Kendallville - 2185AL</v>
      </c>
    </row>
    <row r="364" spans="1:46" x14ac:dyDescent="0.25">
      <c r="A364" t="s">
        <v>316</v>
      </c>
      <c r="B364" t="s">
        <v>254</v>
      </c>
      <c r="C364" t="s">
        <v>137</v>
      </c>
      <c r="D364" s="50">
        <v>46054</v>
      </c>
      <c r="E364" s="2">
        <v>0.98599999999999999</v>
      </c>
      <c r="F364" s="2">
        <v>0.94099999999999995</v>
      </c>
      <c r="G364" t="s">
        <v>373</v>
      </c>
      <c r="H364" t="s">
        <v>373</v>
      </c>
      <c r="I364" s="2">
        <v>0.66700000000000004</v>
      </c>
      <c r="J364" s="2">
        <v>0.66700000000000004</v>
      </c>
      <c r="K364" s="2">
        <v>0</v>
      </c>
      <c r="L364" s="2">
        <v>0.66700000000000004</v>
      </c>
      <c r="M364" s="51">
        <v>4648</v>
      </c>
      <c r="N364" s="51">
        <v>7312</v>
      </c>
      <c r="P364" s="51">
        <v>7312</v>
      </c>
      <c r="Q364" s="51">
        <v>232795</v>
      </c>
      <c r="R364" s="51">
        <v>450143</v>
      </c>
      <c r="T364" s="51">
        <v>450143</v>
      </c>
      <c r="U364" s="2">
        <v>0.02</v>
      </c>
      <c r="V364" s="2">
        <v>1.6E-2</v>
      </c>
      <c r="W364" t="s">
        <v>373</v>
      </c>
      <c r="X364" t="s">
        <v>373</v>
      </c>
      <c r="Y364">
        <v>394.47</v>
      </c>
      <c r="Z364">
        <v>404.87</v>
      </c>
      <c r="AB364" s="2">
        <v>1</v>
      </c>
      <c r="AC364">
        <v>217.04</v>
      </c>
      <c r="AD364">
        <v>210.54</v>
      </c>
      <c r="AF364" s="2">
        <v>1</v>
      </c>
      <c r="AG364">
        <v>290</v>
      </c>
      <c r="AH364">
        <v>275.97000000000003</v>
      </c>
      <c r="AJ364" s="2">
        <v>1</v>
      </c>
      <c r="AN364" t="s">
        <v>373</v>
      </c>
      <c r="AR364" t="s">
        <v>373</v>
      </c>
      <c r="AS364" t="s">
        <v>16</v>
      </c>
      <c r="AT364" t="str">
        <f t="shared" si="5"/>
        <v>Kendallville - 2185AL</v>
      </c>
    </row>
    <row r="365" spans="1:46" x14ac:dyDescent="0.25">
      <c r="A365" t="s">
        <v>316</v>
      </c>
      <c r="B365" t="s">
        <v>254</v>
      </c>
      <c r="C365" t="s">
        <v>286</v>
      </c>
      <c r="D365" s="50">
        <v>46023</v>
      </c>
      <c r="E365" s="2">
        <v>0.68600000000000005</v>
      </c>
      <c r="F365" s="2">
        <v>0.7</v>
      </c>
      <c r="G365" t="s">
        <v>373</v>
      </c>
      <c r="H365" t="s">
        <v>373</v>
      </c>
      <c r="I365" s="2">
        <v>0</v>
      </c>
      <c r="J365" s="2">
        <v>0</v>
      </c>
      <c r="K365" s="2">
        <v>0</v>
      </c>
      <c r="L365" s="2">
        <v>0</v>
      </c>
      <c r="M365" s="51">
        <v>3725</v>
      </c>
      <c r="N365" s="51">
        <v>6062</v>
      </c>
      <c r="P365" s="51">
        <v>6062</v>
      </c>
      <c r="Q365" s="51">
        <v>579315</v>
      </c>
      <c r="R365" s="51">
        <v>1087212</v>
      </c>
      <c r="T365" s="51">
        <v>1087212</v>
      </c>
      <c r="U365" s="2">
        <v>6.0000000000000001E-3</v>
      </c>
      <c r="V365" s="2">
        <v>6.0000000000000001E-3</v>
      </c>
      <c r="W365" t="s">
        <v>373</v>
      </c>
      <c r="X365" t="s">
        <v>373</v>
      </c>
      <c r="AB365" t="s">
        <v>373</v>
      </c>
      <c r="AC365">
        <v>129.59</v>
      </c>
      <c r="AD365">
        <v>136.72999999999999</v>
      </c>
      <c r="AF365" s="2">
        <v>1</v>
      </c>
      <c r="AG365">
        <v>229.03</v>
      </c>
      <c r="AH365">
        <v>241.3</v>
      </c>
      <c r="AJ365" s="2">
        <v>1</v>
      </c>
      <c r="AN365" t="s">
        <v>373</v>
      </c>
      <c r="AR365" t="s">
        <v>373</v>
      </c>
      <c r="AS365" t="s">
        <v>16</v>
      </c>
      <c r="AT365" t="str">
        <f t="shared" si="5"/>
        <v>Marion KOM-0555AL</v>
      </c>
    </row>
    <row r="366" spans="1:46" x14ac:dyDescent="0.25">
      <c r="A366" t="s">
        <v>316</v>
      </c>
      <c r="B366" t="s">
        <v>254</v>
      </c>
      <c r="C366" t="s">
        <v>286</v>
      </c>
      <c r="D366" s="50">
        <v>46054</v>
      </c>
      <c r="E366" s="2">
        <v>0.71799999999999997</v>
      </c>
      <c r="F366" s="2">
        <v>0.7</v>
      </c>
      <c r="G366" t="s">
        <v>373</v>
      </c>
      <c r="H366" t="s">
        <v>373</v>
      </c>
      <c r="I366" s="2">
        <v>0</v>
      </c>
      <c r="J366" s="2">
        <v>0</v>
      </c>
      <c r="K366" s="2">
        <v>0</v>
      </c>
      <c r="L366" s="2">
        <v>0</v>
      </c>
      <c r="M366" s="51">
        <v>2337</v>
      </c>
      <c r="N366" s="51">
        <v>6062</v>
      </c>
      <c r="P366" s="51">
        <v>6062</v>
      </c>
      <c r="Q366" s="51">
        <v>507897</v>
      </c>
      <c r="R366" s="51">
        <v>1087212</v>
      </c>
      <c r="T366" s="51">
        <v>1087212</v>
      </c>
      <c r="U366" s="2">
        <v>5.0000000000000001E-3</v>
      </c>
      <c r="V366" s="2">
        <v>6.0000000000000001E-3</v>
      </c>
      <c r="W366" t="s">
        <v>373</v>
      </c>
      <c r="X366" t="s">
        <v>373</v>
      </c>
      <c r="AB366" t="s">
        <v>373</v>
      </c>
      <c r="AC366">
        <v>143.88</v>
      </c>
      <c r="AD366">
        <v>136.72999999999999</v>
      </c>
      <c r="AF366" s="2">
        <v>1</v>
      </c>
      <c r="AG366">
        <v>253.57</v>
      </c>
      <c r="AH366">
        <v>241.3</v>
      </c>
      <c r="AJ366" s="2">
        <v>1</v>
      </c>
      <c r="AN366" t="s">
        <v>373</v>
      </c>
      <c r="AR366" t="s">
        <v>373</v>
      </c>
      <c r="AS366" t="s">
        <v>16</v>
      </c>
      <c r="AT366" t="str">
        <f t="shared" si="5"/>
        <v>Marion KOM-0555AL</v>
      </c>
    </row>
    <row r="367" spans="1:46" x14ac:dyDescent="0.25">
      <c r="A367" t="s">
        <v>316</v>
      </c>
      <c r="B367" t="s">
        <v>254</v>
      </c>
      <c r="C367" t="s">
        <v>287</v>
      </c>
      <c r="D367" s="50">
        <v>46023</v>
      </c>
      <c r="E367" s="2">
        <v>0.89500000000000002</v>
      </c>
      <c r="F367" s="2">
        <v>0.90600000000000003</v>
      </c>
      <c r="G367" t="s">
        <v>373</v>
      </c>
      <c r="H367" t="s">
        <v>373</v>
      </c>
      <c r="I367" s="2">
        <v>0</v>
      </c>
      <c r="J367" s="2">
        <v>0.2</v>
      </c>
      <c r="K367" s="2">
        <v>0</v>
      </c>
      <c r="L367" s="2">
        <v>0.2</v>
      </c>
      <c r="M367" s="51">
        <v>1500</v>
      </c>
      <c r="N367" s="51">
        <v>7818</v>
      </c>
      <c r="P367" s="51">
        <v>7818</v>
      </c>
      <c r="Q367" s="51">
        <v>546640</v>
      </c>
      <c r="R367" s="51">
        <v>1101472</v>
      </c>
      <c r="T367" s="51">
        <v>1101472</v>
      </c>
      <c r="U367" s="2">
        <v>3.0000000000000001E-3</v>
      </c>
      <c r="V367" s="2">
        <v>7.0000000000000001E-3</v>
      </c>
      <c r="W367" t="s">
        <v>373</v>
      </c>
      <c r="X367" t="s">
        <v>373</v>
      </c>
      <c r="AB367" t="s">
        <v>373</v>
      </c>
      <c r="AC367">
        <v>166</v>
      </c>
      <c r="AD367">
        <v>174.8</v>
      </c>
      <c r="AF367" s="2">
        <v>1</v>
      </c>
      <c r="AG367">
        <v>249.5</v>
      </c>
      <c r="AH367">
        <v>260.70999999999998</v>
      </c>
      <c r="AJ367" s="2">
        <v>1</v>
      </c>
      <c r="AN367" t="s">
        <v>373</v>
      </c>
      <c r="AR367" t="s">
        <v>373</v>
      </c>
      <c r="AS367" t="s">
        <v>16</v>
      </c>
      <c r="AT367" t="str">
        <f t="shared" si="5"/>
        <v>Perrysburg KSL-0558AL</v>
      </c>
    </row>
    <row r="368" spans="1:46" x14ac:dyDescent="0.25">
      <c r="A368" t="s">
        <v>316</v>
      </c>
      <c r="B368" t="s">
        <v>254</v>
      </c>
      <c r="C368" t="s">
        <v>287</v>
      </c>
      <c r="D368" s="50">
        <v>46054</v>
      </c>
      <c r="E368" s="2">
        <v>0.91900000000000004</v>
      </c>
      <c r="F368" s="2">
        <v>0.90600000000000003</v>
      </c>
      <c r="G368" t="s">
        <v>373</v>
      </c>
      <c r="H368" t="s">
        <v>373</v>
      </c>
      <c r="I368" s="2">
        <v>0.33300000000000002</v>
      </c>
      <c r="J368" s="2">
        <v>0.2</v>
      </c>
      <c r="K368" s="2">
        <v>0</v>
      </c>
      <c r="L368" s="2">
        <v>0.2</v>
      </c>
      <c r="M368" s="51">
        <v>6318</v>
      </c>
      <c r="N368" s="51">
        <v>7818</v>
      </c>
      <c r="P368" s="51">
        <v>7818</v>
      </c>
      <c r="Q368" s="51">
        <v>554833</v>
      </c>
      <c r="R368" s="51">
        <v>1101472</v>
      </c>
      <c r="T368" s="51">
        <v>1101472</v>
      </c>
      <c r="U368" s="2">
        <v>1.0999999999999999E-2</v>
      </c>
      <c r="V368" s="2">
        <v>7.0000000000000001E-3</v>
      </c>
      <c r="W368" t="s">
        <v>373</v>
      </c>
      <c r="X368" t="s">
        <v>373</v>
      </c>
      <c r="AB368" t="s">
        <v>373</v>
      </c>
      <c r="AC368">
        <v>183.6</v>
      </c>
      <c r="AD368">
        <v>174.8</v>
      </c>
      <c r="AF368" s="2">
        <v>1</v>
      </c>
      <c r="AG368">
        <v>271.93</v>
      </c>
      <c r="AH368">
        <v>260.70999999999998</v>
      </c>
      <c r="AJ368" s="2">
        <v>1</v>
      </c>
      <c r="AN368" t="s">
        <v>373</v>
      </c>
      <c r="AR368" t="s">
        <v>373</v>
      </c>
      <c r="AS368" t="s">
        <v>16</v>
      </c>
      <c r="AT368" t="str">
        <f t="shared" si="5"/>
        <v>Perrysburg KSL-0558AL</v>
      </c>
    </row>
    <row r="369" spans="1:46" x14ac:dyDescent="0.25">
      <c r="A369" t="s">
        <v>316</v>
      </c>
      <c r="B369" t="s">
        <v>254</v>
      </c>
      <c r="C369" t="s">
        <v>288</v>
      </c>
      <c r="D369" s="50">
        <v>46023</v>
      </c>
      <c r="E369" s="2">
        <v>0.79700000000000004</v>
      </c>
      <c r="F369" s="2">
        <v>0.81899999999999995</v>
      </c>
      <c r="G369" t="s">
        <v>373</v>
      </c>
      <c r="H369" t="s">
        <v>373</v>
      </c>
      <c r="I369" s="2">
        <v>0.14299999999999999</v>
      </c>
      <c r="J369" s="2">
        <v>9.0999999999999998E-2</v>
      </c>
      <c r="K369" s="2">
        <v>0</v>
      </c>
      <c r="L369" s="2">
        <v>9.0999999999999998E-2</v>
      </c>
      <c r="M369" s="51">
        <v>2150</v>
      </c>
      <c r="N369" s="51">
        <v>7358</v>
      </c>
      <c r="P369" s="51">
        <v>7358</v>
      </c>
      <c r="Q369" s="51">
        <v>884154</v>
      </c>
      <c r="R369" s="51">
        <v>1805721</v>
      </c>
      <c r="T369" s="51">
        <v>1805721</v>
      </c>
      <c r="U369" s="2">
        <v>2E-3</v>
      </c>
      <c r="V369" s="2">
        <v>4.0000000000000001E-3</v>
      </c>
      <c r="W369" t="s">
        <v>373</v>
      </c>
      <c r="X369" t="s">
        <v>373</v>
      </c>
      <c r="AB369" t="s">
        <v>373</v>
      </c>
      <c r="AC369">
        <v>201.68</v>
      </c>
      <c r="AD369">
        <v>215.15</v>
      </c>
      <c r="AF369" s="2">
        <v>1</v>
      </c>
      <c r="AG369">
        <v>242.76</v>
      </c>
      <c r="AH369">
        <v>255.74</v>
      </c>
      <c r="AJ369" s="2">
        <v>1</v>
      </c>
      <c r="AN369" t="s">
        <v>373</v>
      </c>
      <c r="AR369" t="s">
        <v>373</v>
      </c>
      <c r="AS369" t="s">
        <v>16</v>
      </c>
      <c r="AT369" t="str">
        <f t="shared" si="5"/>
        <v>Sylvania KSL-0560AL</v>
      </c>
    </row>
    <row r="370" spans="1:46" x14ac:dyDescent="0.25">
      <c r="A370" t="s">
        <v>316</v>
      </c>
      <c r="B370" t="s">
        <v>254</v>
      </c>
      <c r="C370" t="s">
        <v>288</v>
      </c>
      <c r="D370" s="50">
        <v>46054</v>
      </c>
      <c r="E370" s="2">
        <v>0.84499999999999997</v>
      </c>
      <c r="F370" s="2">
        <v>0.81899999999999995</v>
      </c>
      <c r="G370" t="s">
        <v>373</v>
      </c>
      <c r="H370" t="s">
        <v>373</v>
      </c>
      <c r="I370" s="2">
        <v>0</v>
      </c>
      <c r="J370" s="2">
        <v>9.0999999999999998E-2</v>
      </c>
      <c r="K370" s="2">
        <v>0</v>
      </c>
      <c r="L370" s="2">
        <v>9.0999999999999998E-2</v>
      </c>
      <c r="M370" s="51">
        <v>5208</v>
      </c>
      <c r="N370" s="51">
        <v>7358</v>
      </c>
      <c r="P370" s="51">
        <v>7358</v>
      </c>
      <c r="Q370" s="51">
        <v>921567</v>
      </c>
      <c r="R370" s="51">
        <v>1805721</v>
      </c>
      <c r="T370" s="51">
        <v>1805721</v>
      </c>
      <c r="U370" s="2">
        <v>6.0000000000000001E-3</v>
      </c>
      <c r="V370" s="2">
        <v>4.0000000000000001E-3</v>
      </c>
      <c r="W370" t="s">
        <v>373</v>
      </c>
      <c r="X370" t="s">
        <v>373</v>
      </c>
      <c r="AB370" t="s">
        <v>373</v>
      </c>
      <c r="AC370">
        <v>228.61</v>
      </c>
      <c r="AD370">
        <v>215.15</v>
      </c>
      <c r="AF370" s="2">
        <v>1</v>
      </c>
      <c r="AG370">
        <v>268.72000000000003</v>
      </c>
      <c r="AH370">
        <v>255.74</v>
      </c>
      <c r="AJ370" s="2">
        <v>1</v>
      </c>
      <c r="AN370" t="s">
        <v>373</v>
      </c>
      <c r="AR370" t="s">
        <v>373</v>
      </c>
      <c r="AS370" t="s">
        <v>16</v>
      </c>
      <c r="AT370" t="str">
        <f t="shared" si="5"/>
        <v>Sylvania KSL-0560AL</v>
      </c>
    </row>
    <row r="371" spans="1:46" x14ac:dyDescent="0.25">
      <c r="A371" t="s">
        <v>316</v>
      </c>
      <c r="B371" t="s">
        <v>254</v>
      </c>
      <c r="C371" t="s">
        <v>289</v>
      </c>
      <c r="D371" s="50">
        <v>46023</v>
      </c>
      <c r="E371" s="2">
        <v>0.82</v>
      </c>
      <c r="F371" s="2">
        <v>0.81399999999999995</v>
      </c>
      <c r="G371" t="s">
        <v>373</v>
      </c>
      <c r="H371" t="s">
        <v>373</v>
      </c>
      <c r="I371" s="2">
        <v>0</v>
      </c>
      <c r="J371" s="2">
        <v>0</v>
      </c>
      <c r="K371" s="2">
        <v>0</v>
      </c>
      <c r="L371" s="2">
        <v>0</v>
      </c>
      <c r="M371" s="51">
        <v>2964</v>
      </c>
      <c r="N371" s="51">
        <v>5869</v>
      </c>
      <c r="P371" s="51">
        <v>5869</v>
      </c>
      <c r="Q371" s="51">
        <v>219318</v>
      </c>
      <c r="R371" s="51">
        <v>440031</v>
      </c>
      <c r="T371" s="51">
        <v>440031</v>
      </c>
      <c r="U371" s="2">
        <v>1.4E-2</v>
      </c>
      <c r="V371" s="2">
        <v>1.2999999999999999E-2</v>
      </c>
      <c r="W371" t="s">
        <v>373</v>
      </c>
      <c r="X371" t="s">
        <v>373</v>
      </c>
      <c r="AB371" t="s">
        <v>373</v>
      </c>
      <c r="AC371">
        <v>149.80000000000001</v>
      </c>
      <c r="AD371">
        <v>158.04</v>
      </c>
      <c r="AF371" s="2">
        <v>1</v>
      </c>
      <c r="AJ371" t="s">
        <v>373</v>
      </c>
      <c r="AN371" t="s">
        <v>373</v>
      </c>
      <c r="AR371" t="s">
        <v>373</v>
      </c>
      <c r="AS371" t="s">
        <v>16</v>
      </c>
      <c r="AT371" t="str">
        <f t="shared" si="5"/>
        <v>Vermilion KSL-0562AL</v>
      </c>
    </row>
    <row r="372" spans="1:46" x14ac:dyDescent="0.25">
      <c r="A372" t="s">
        <v>316</v>
      </c>
      <c r="B372" t="s">
        <v>254</v>
      </c>
      <c r="C372" t="s">
        <v>289</v>
      </c>
      <c r="D372" s="50">
        <v>46054</v>
      </c>
      <c r="E372" s="2">
        <v>0.80700000000000005</v>
      </c>
      <c r="F372" s="2">
        <v>0.81399999999999995</v>
      </c>
      <c r="G372" t="s">
        <v>373</v>
      </c>
      <c r="H372" t="s">
        <v>373</v>
      </c>
      <c r="I372" s="2">
        <v>0</v>
      </c>
      <c r="J372" s="2">
        <v>0</v>
      </c>
      <c r="K372" s="2">
        <v>0</v>
      </c>
      <c r="L372" s="2">
        <v>0</v>
      </c>
      <c r="M372" s="51">
        <v>2905</v>
      </c>
      <c r="N372" s="51">
        <v>5869</v>
      </c>
      <c r="P372" s="51">
        <v>5869</v>
      </c>
      <c r="Q372" s="51">
        <v>220714</v>
      </c>
      <c r="R372" s="51">
        <v>440031</v>
      </c>
      <c r="T372" s="51">
        <v>440031</v>
      </c>
      <c r="U372" s="2">
        <v>1.2999999999999999E-2</v>
      </c>
      <c r="V372" s="2">
        <v>1.2999999999999999E-2</v>
      </c>
      <c r="W372" t="s">
        <v>373</v>
      </c>
      <c r="X372" t="s">
        <v>373</v>
      </c>
      <c r="AB372" t="s">
        <v>373</v>
      </c>
      <c r="AC372">
        <v>166.28</v>
      </c>
      <c r="AD372">
        <v>158.04</v>
      </c>
      <c r="AF372" s="2">
        <v>1</v>
      </c>
      <c r="AJ372" t="s">
        <v>373</v>
      </c>
      <c r="AN372" t="s">
        <v>373</v>
      </c>
      <c r="AR372" t="s">
        <v>373</v>
      </c>
      <c r="AS372" t="s">
        <v>16</v>
      </c>
      <c r="AT372" t="str">
        <f t="shared" si="5"/>
        <v>Vermilion KSL-0562AL</v>
      </c>
    </row>
    <row r="373" spans="1:46" x14ac:dyDescent="0.25">
      <c r="A373" t="s">
        <v>316</v>
      </c>
      <c r="B373" t="s">
        <v>255</v>
      </c>
      <c r="C373" t="s">
        <v>42</v>
      </c>
      <c r="D373" s="50">
        <v>46023</v>
      </c>
      <c r="E373" s="2">
        <v>0.96299999999999997</v>
      </c>
      <c r="F373" s="2">
        <v>0.96799999999999997</v>
      </c>
      <c r="G373" t="s">
        <v>373</v>
      </c>
      <c r="H373" t="s">
        <v>373</v>
      </c>
      <c r="I373" s="2">
        <v>0.5</v>
      </c>
      <c r="J373" s="2">
        <v>0.25</v>
      </c>
      <c r="K373" s="2">
        <v>0</v>
      </c>
      <c r="L373" s="2">
        <v>0.25</v>
      </c>
      <c r="M373" s="51">
        <v>-481</v>
      </c>
      <c r="N373" s="51">
        <v>-3689</v>
      </c>
      <c r="P373" s="51">
        <v>-3689</v>
      </c>
      <c r="Q373" s="51">
        <v>282117</v>
      </c>
      <c r="R373" s="51">
        <v>559711</v>
      </c>
      <c r="T373" s="51">
        <v>559711</v>
      </c>
      <c r="U373" s="2">
        <v>-2E-3</v>
      </c>
      <c r="V373" s="2">
        <v>-7.0000000000000001E-3</v>
      </c>
      <c r="W373" t="s">
        <v>373</v>
      </c>
      <c r="X373" t="s">
        <v>373</v>
      </c>
      <c r="Y373">
        <v>444.85</v>
      </c>
      <c r="Z373">
        <v>444.68</v>
      </c>
      <c r="AB373" s="2">
        <v>1</v>
      </c>
      <c r="AC373">
        <v>233.75</v>
      </c>
      <c r="AD373">
        <v>244.69</v>
      </c>
      <c r="AF373" s="2">
        <v>1</v>
      </c>
      <c r="AG373">
        <v>255.57</v>
      </c>
      <c r="AH373">
        <v>276.73</v>
      </c>
      <c r="AJ373" s="2">
        <v>1</v>
      </c>
      <c r="AN373" t="s">
        <v>373</v>
      </c>
      <c r="AO373">
        <v>75.3</v>
      </c>
      <c r="AP373">
        <v>79.12</v>
      </c>
      <c r="AR373" s="2">
        <v>1</v>
      </c>
      <c r="AS373" t="s">
        <v>16</v>
      </c>
      <c r="AT373" t="str">
        <f t="shared" si="5"/>
        <v>Bellevue - 414AL</v>
      </c>
    </row>
    <row r="374" spans="1:46" x14ac:dyDescent="0.25">
      <c r="A374" t="s">
        <v>316</v>
      </c>
      <c r="B374" t="s">
        <v>255</v>
      </c>
      <c r="C374" t="s">
        <v>42</v>
      </c>
      <c r="D374" s="50">
        <v>46054</v>
      </c>
      <c r="E374" s="2">
        <v>0.97299999999999998</v>
      </c>
      <c r="F374" s="2">
        <v>0.96799999999999997</v>
      </c>
      <c r="G374" t="s">
        <v>373</v>
      </c>
      <c r="H374" t="s">
        <v>373</v>
      </c>
      <c r="I374" s="2">
        <v>0</v>
      </c>
      <c r="J374" s="2">
        <v>0.25</v>
      </c>
      <c r="K374" s="2">
        <v>0</v>
      </c>
      <c r="L374" s="2">
        <v>0.25</v>
      </c>
      <c r="M374" s="51">
        <v>-3208</v>
      </c>
      <c r="N374" s="51">
        <v>-3689</v>
      </c>
      <c r="P374" s="51">
        <v>-3689</v>
      </c>
      <c r="Q374" s="51">
        <v>277594</v>
      </c>
      <c r="R374" s="51">
        <v>559711</v>
      </c>
      <c r="T374" s="51">
        <v>559711</v>
      </c>
      <c r="U374" s="2">
        <v>-1.2E-2</v>
      </c>
      <c r="V374" s="2">
        <v>-7.0000000000000001E-3</v>
      </c>
      <c r="W374" t="s">
        <v>373</v>
      </c>
      <c r="X374" t="s">
        <v>373</v>
      </c>
      <c r="Y374">
        <v>444.52</v>
      </c>
      <c r="Z374">
        <v>444.68</v>
      </c>
      <c r="AB374" s="2">
        <v>1</v>
      </c>
      <c r="AC374">
        <v>255.64</v>
      </c>
      <c r="AD374">
        <v>244.69</v>
      </c>
      <c r="AF374" s="2">
        <v>1</v>
      </c>
      <c r="AG374">
        <v>297.89</v>
      </c>
      <c r="AH374">
        <v>276.73</v>
      </c>
      <c r="AJ374" s="2">
        <v>1</v>
      </c>
      <c r="AN374" t="s">
        <v>373</v>
      </c>
      <c r="AO374">
        <v>82.94</v>
      </c>
      <c r="AP374">
        <v>79.12</v>
      </c>
      <c r="AR374" s="2">
        <v>1</v>
      </c>
      <c r="AS374" t="s">
        <v>16</v>
      </c>
      <c r="AT374" t="str">
        <f t="shared" si="5"/>
        <v>Bellevue - 414AL</v>
      </c>
    </row>
    <row r="375" spans="1:46" x14ac:dyDescent="0.25">
      <c r="A375" t="s">
        <v>316</v>
      </c>
      <c r="B375" t="s">
        <v>255</v>
      </c>
      <c r="C375" t="s">
        <v>57</v>
      </c>
      <c r="D375" s="50">
        <v>46023</v>
      </c>
      <c r="E375" s="2">
        <v>0.91600000000000004</v>
      </c>
      <c r="F375" s="2">
        <v>0.94499999999999995</v>
      </c>
      <c r="G375" t="s">
        <v>373</v>
      </c>
      <c r="H375" t="s">
        <v>373</v>
      </c>
      <c r="I375" s="2">
        <v>0</v>
      </c>
      <c r="J375" s="2">
        <v>0</v>
      </c>
      <c r="K375" s="2">
        <v>0</v>
      </c>
      <c r="L375" s="2">
        <v>0</v>
      </c>
      <c r="M375" s="51">
        <v>2788</v>
      </c>
      <c r="N375" s="51">
        <v>6533</v>
      </c>
      <c r="P375" s="51">
        <v>6533</v>
      </c>
      <c r="Q375" s="51">
        <v>230465</v>
      </c>
      <c r="R375" s="51">
        <v>474320</v>
      </c>
      <c r="T375" s="51">
        <v>474320</v>
      </c>
      <c r="U375" s="2">
        <v>1.2E-2</v>
      </c>
      <c r="V375" s="2">
        <v>1.4E-2</v>
      </c>
      <c r="W375" t="s">
        <v>373</v>
      </c>
      <c r="X375" t="s">
        <v>373</v>
      </c>
      <c r="Y375">
        <v>417.36</v>
      </c>
      <c r="Z375">
        <v>424.33</v>
      </c>
      <c r="AB375" s="2">
        <v>1</v>
      </c>
      <c r="AC375">
        <v>185.98</v>
      </c>
      <c r="AD375">
        <v>196.26</v>
      </c>
      <c r="AF375" s="2">
        <v>1</v>
      </c>
      <c r="AG375">
        <v>219.73</v>
      </c>
      <c r="AH375">
        <v>228.86</v>
      </c>
      <c r="AJ375" s="2">
        <v>1</v>
      </c>
      <c r="AK375">
        <v>115.94</v>
      </c>
      <c r="AL375">
        <v>122.12</v>
      </c>
      <c r="AN375" s="2">
        <v>1</v>
      </c>
      <c r="AR375" t="s">
        <v>373</v>
      </c>
      <c r="AS375" t="s">
        <v>16</v>
      </c>
      <c r="AT375" t="str">
        <f t="shared" si="5"/>
        <v>Bowling Green - 443AL</v>
      </c>
    </row>
    <row r="376" spans="1:46" x14ac:dyDescent="0.25">
      <c r="A376" t="s">
        <v>316</v>
      </c>
      <c r="B376" t="s">
        <v>255</v>
      </c>
      <c r="C376" t="s">
        <v>57</v>
      </c>
      <c r="D376" s="50">
        <v>46054</v>
      </c>
      <c r="E376" s="2">
        <v>0.97699999999999998</v>
      </c>
      <c r="F376" s="2">
        <v>0.94499999999999995</v>
      </c>
      <c r="G376" t="s">
        <v>373</v>
      </c>
      <c r="H376" t="s">
        <v>373</v>
      </c>
      <c r="I376" s="2">
        <v>0</v>
      </c>
      <c r="J376" s="2">
        <v>0</v>
      </c>
      <c r="K376" s="2">
        <v>0</v>
      </c>
      <c r="L376" s="2">
        <v>0</v>
      </c>
      <c r="M376" s="51">
        <v>3745</v>
      </c>
      <c r="N376" s="51">
        <v>6533</v>
      </c>
      <c r="P376" s="51">
        <v>6533</v>
      </c>
      <c r="Q376" s="51">
        <v>243856</v>
      </c>
      <c r="R376" s="51">
        <v>474320</v>
      </c>
      <c r="T376" s="51">
        <v>474320</v>
      </c>
      <c r="U376" s="2">
        <v>1.4999999999999999E-2</v>
      </c>
      <c r="V376" s="2">
        <v>1.4E-2</v>
      </c>
      <c r="W376" t="s">
        <v>373</v>
      </c>
      <c r="X376" t="s">
        <v>373</v>
      </c>
      <c r="Y376">
        <v>431.3</v>
      </c>
      <c r="Z376">
        <v>424.33</v>
      </c>
      <c r="AB376" s="2">
        <v>1</v>
      </c>
      <c r="AC376">
        <v>206.54</v>
      </c>
      <c r="AD376">
        <v>196.26</v>
      </c>
      <c r="AF376" s="2">
        <v>1</v>
      </c>
      <c r="AG376">
        <v>237.98</v>
      </c>
      <c r="AH376">
        <v>228.86</v>
      </c>
      <c r="AJ376" s="2">
        <v>1</v>
      </c>
      <c r="AK376">
        <v>128.30000000000001</v>
      </c>
      <c r="AL376">
        <v>122.12</v>
      </c>
      <c r="AN376" s="2">
        <v>1</v>
      </c>
      <c r="AR376" t="s">
        <v>373</v>
      </c>
      <c r="AS376" t="s">
        <v>16</v>
      </c>
      <c r="AT376" t="str">
        <f t="shared" si="5"/>
        <v>Bowling Green - 443AL</v>
      </c>
    </row>
    <row r="377" spans="1:46" x14ac:dyDescent="0.25">
      <c r="A377" t="s">
        <v>316</v>
      </c>
      <c r="B377" t="s">
        <v>255</v>
      </c>
      <c r="C377" t="s">
        <v>104</v>
      </c>
      <c r="D377" s="50">
        <v>46023</v>
      </c>
      <c r="E377" s="2">
        <v>0.84699999999999998</v>
      </c>
      <c r="F377" s="2">
        <v>0.879</v>
      </c>
      <c r="G377" t="s">
        <v>373</v>
      </c>
      <c r="H377" t="s">
        <v>373</v>
      </c>
      <c r="I377" s="2">
        <v>0.14299999999999999</v>
      </c>
      <c r="J377" s="2">
        <v>0.14299999999999999</v>
      </c>
      <c r="K377" s="2">
        <v>0</v>
      </c>
      <c r="L377" s="2">
        <v>0.14299999999999999</v>
      </c>
      <c r="M377" s="51">
        <v>99</v>
      </c>
      <c r="N377" s="51">
        <v>1345</v>
      </c>
      <c r="P377" s="51">
        <v>1345</v>
      </c>
      <c r="Q377" s="51">
        <v>361346</v>
      </c>
      <c r="R377" s="51">
        <v>747981</v>
      </c>
      <c r="T377" s="51">
        <v>747981</v>
      </c>
      <c r="U377" s="2">
        <v>0</v>
      </c>
      <c r="V377" s="2">
        <v>2E-3</v>
      </c>
      <c r="W377" t="s">
        <v>373</v>
      </c>
      <c r="X377" t="s">
        <v>373</v>
      </c>
      <c r="Y377">
        <v>438.83</v>
      </c>
      <c r="Z377">
        <v>439.92</v>
      </c>
      <c r="AB377" s="2">
        <v>1</v>
      </c>
      <c r="AC377">
        <v>155.91999999999999</v>
      </c>
      <c r="AD377">
        <v>161.66999999999999</v>
      </c>
      <c r="AF377" s="2">
        <v>1</v>
      </c>
      <c r="AG377">
        <v>245.84</v>
      </c>
      <c r="AH377">
        <v>256.69</v>
      </c>
      <c r="AJ377" s="2">
        <v>1</v>
      </c>
      <c r="AN377" t="s">
        <v>373</v>
      </c>
      <c r="AR377" t="s">
        <v>373</v>
      </c>
      <c r="AS377" t="s">
        <v>16</v>
      </c>
      <c r="AT377" t="str">
        <f t="shared" si="5"/>
        <v>Findlay - 408AL</v>
      </c>
    </row>
    <row r="378" spans="1:46" x14ac:dyDescent="0.25">
      <c r="A378" t="s">
        <v>316</v>
      </c>
      <c r="B378" t="s">
        <v>255</v>
      </c>
      <c r="C378" t="s">
        <v>104</v>
      </c>
      <c r="D378" s="50">
        <v>46054</v>
      </c>
      <c r="E378" s="2">
        <v>0.91400000000000003</v>
      </c>
      <c r="F378" s="2">
        <v>0.879</v>
      </c>
      <c r="G378" t="s">
        <v>373</v>
      </c>
      <c r="H378" t="s">
        <v>373</v>
      </c>
      <c r="I378" s="2">
        <v>0</v>
      </c>
      <c r="J378" s="2">
        <v>0.14299999999999999</v>
      </c>
      <c r="K378" s="2">
        <v>0</v>
      </c>
      <c r="L378" s="2">
        <v>0.14299999999999999</v>
      </c>
      <c r="M378" s="51">
        <v>1246</v>
      </c>
      <c r="N378" s="51">
        <v>1345</v>
      </c>
      <c r="P378" s="51">
        <v>1345</v>
      </c>
      <c r="Q378" s="51">
        <v>386636</v>
      </c>
      <c r="R378" s="51">
        <v>747981</v>
      </c>
      <c r="T378" s="51">
        <v>747981</v>
      </c>
      <c r="U378" s="2">
        <v>3.0000000000000001E-3</v>
      </c>
      <c r="V378" s="2">
        <v>2E-3</v>
      </c>
      <c r="W378" t="s">
        <v>373</v>
      </c>
      <c r="X378" t="s">
        <v>373</v>
      </c>
      <c r="Y378">
        <v>441.01</v>
      </c>
      <c r="Z378">
        <v>439.92</v>
      </c>
      <c r="AB378" s="2">
        <v>1</v>
      </c>
      <c r="AC378">
        <v>167.42</v>
      </c>
      <c r="AD378">
        <v>161.66999999999999</v>
      </c>
      <c r="AF378" s="2">
        <v>1</v>
      </c>
      <c r="AG378">
        <v>267.54000000000002</v>
      </c>
      <c r="AH378">
        <v>256.69</v>
      </c>
      <c r="AJ378" s="2">
        <v>1</v>
      </c>
      <c r="AN378" t="s">
        <v>373</v>
      </c>
      <c r="AR378" t="s">
        <v>373</v>
      </c>
      <c r="AS378" t="s">
        <v>16</v>
      </c>
      <c r="AT378" t="str">
        <f t="shared" si="5"/>
        <v>Findlay - 408AL</v>
      </c>
    </row>
    <row r="379" spans="1:46" x14ac:dyDescent="0.25">
      <c r="A379" t="s">
        <v>316</v>
      </c>
      <c r="B379" t="s">
        <v>255</v>
      </c>
      <c r="C379" t="s">
        <v>109</v>
      </c>
      <c r="D379" s="50">
        <v>46023</v>
      </c>
      <c r="E379" s="2">
        <v>1</v>
      </c>
      <c r="F379" s="2">
        <v>1</v>
      </c>
      <c r="G379" t="s">
        <v>373</v>
      </c>
      <c r="H379" t="s">
        <v>373</v>
      </c>
      <c r="I379" s="2">
        <v>0</v>
      </c>
      <c r="J379" s="2">
        <v>0</v>
      </c>
      <c r="K379" s="2">
        <v>0</v>
      </c>
      <c r="L379" s="2">
        <v>0</v>
      </c>
      <c r="M379" s="51">
        <v>0</v>
      </c>
      <c r="N379" s="51">
        <v>0</v>
      </c>
      <c r="P379" s="51">
        <v>0</v>
      </c>
      <c r="Q379" s="51">
        <v>207899</v>
      </c>
      <c r="R379" s="51">
        <v>420511</v>
      </c>
      <c r="T379" s="51">
        <v>420511</v>
      </c>
      <c r="U379" s="2">
        <v>0</v>
      </c>
      <c r="V379" s="2">
        <v>0</v>
      </c>
      <c r="W379" t="s">
        <v>373</v>
      </c>
      <c r="X379" t="s">
        <v>373</v>
      </c>
      <c r="Y379">
        <v>431.52</v>
      </c>
      <c r="Z379">
        <v>431.33</v>
      </c>
      <c r="AB379" s="2">
        <v>1</v>
      </c>
      <c r="AC379">
        <v>169.42</v>
      </c>
      <c r="AD379">
        <v>179.94</v>
      </c>
      <c r="AF379" s="2">
        <v>1</v>
      </c>
      <c r="AG379">
        <v>228.94</v>
      </c>
      <c r="AH379">
        <v>241.21</v>
      </c>
      <c r="AJ379" s="2">
        <v>1</v>
      </c>
      <c r="AN379" t="s">
        <v>373</v>
      </c>
      <c r="AR379" t="s">
        <v>373</v>
      </c>
      <c r="AS379" t="s">
        <v>16</v>
      </c>
      <c r="AT379" t="str">
        <f t="shared" si="5"/>
        <v>Fremont - 403AL</v>
      </c>
    </row>
    <row r="380" spans="1:46" x14ac:dyDescent="0.25">
      <c r="A380" t="s">
        <v>316</v>
      </c>
      <c r="B380" t="s">
        <v>255</v>
      </c>
      <c r="C380" t="s">
        <v>109</v>
      </c>
      <c r="D380" s="50">
        <v>46054</v>
      </c>
      <c r="E380" s="2">
        <v>1</v>
      </c>
      <c r="F380" s="2">
        <v>1</v>
      </c>
      <c r="G380" t="s">
        <v>373</v>
      </c>
      <c r="H380" t="s">
        <v>373</v>
      </c>
      <c r="I380" s="2">
        <v>0</v>
      </c>
      <c r="J380" s="2">
        <v>0</v>
      </c>
      <c r="K380" s="2">
        <v>0</v>
      </c>
      <c r="L380" s="2">
        <v>0</v>
      </c>
      <c r="M380" s="51">
        <v>0</v>
      </c>
      <c r="N380" s="51">
        <v>0</v>
      </c>
      <c r="P380" s="51">
        <v>0</v>
      </c>
      <c r="Q380" s="51">
        <v>212612</v>
      </c>
      <c r="R380" s="51">
        <v>420511</v>
      </c>
      <c r="T380" s="51">
        <v>420511</v>
      </c>
      <c r="U380" s="2">
        <v>0</v>
      </c>
      <c r="V380" s="2">
        <v>0</v>
      </c>
      <c r="W380" t="s">
        <v>373</v>
      </c>
      <c r="X380" t="s">
        <v>373</v>
      </c>
      <c r="Y380">
        <v>431.14</v>
      </c>
      <c r="Z380">
        <v>431.33</v>
      </c>
      <c r="AB380" s="2">
        <v>1</v>
      </c>
      <c r="AC380">
        <v>190.47</v>
      </c>
      <c r="AD380">
        <v>179.94</v>
      </c>
      <c r="AF380" s="2">
        <v>1</v>
      </c>
      <c r="AG380">
        <v>253.47</v>
      </c>
      <c r="AH380">
        <v>241.21</v>
      </c>
      <c r="AJ380" s="2">
        <v>1</v>
      </c>
      <c r="AN380" t="s">
        <v>373</v>
      </c>
      <c r="AR380" t="s">
        <v>373</v>
      </c>
      <c r="AS380" t="s">
        <v>16</v>
      </c>
      <c r="AT380" t="str">
        <f t="shared" si="5"/>
        <v>Fremont - 403AL</v>
      </c>
    </row>
    <row r="381" spans="1:46" x14ac:dyDescent="0.25">
      <c r="A381" t="s">
        <v>316</v>
      </c>
      <c r="B381" t="s">
        <v>255</v>
      </c>
      <c r="C381" t="s">
        <v>114</v>
      </c>
      <c r="D381" s="50">
        <v>46023</v>
      </c>
      <c r="E381" s="2">
        <v>0.88600000000000001</v>
      </c>
      <c r="F381" s="2">
        <v>0.89</v>
      </c>
      <c r="G381" t="s">
        <v>373</v>
      </c>
      <c r="H381" t="s">
        <v>373</v>
      </c>
      <c r="I381" s="2">
        <v>0</v>
      </c>
      <c r="J381" s="2">
        <v>0</v>
      </c>
      <c r="K381" s="2">
        <v>0</v>
      </c>
      <c r="L381" s="2">
        <v>0</v>
      </c>
      <c r="M381" s="51">
        <v>0</v>
      </c>
      <c r="N381" s="51">
        <v>0</v>
      </c>
      <c r="P381" s="51">
        <v>0</v>
      </c>
      <c r="Q381" s="51">
        <v>278017</v>
      </c>
      <c r="R381" s="51">
        <v>558572</v>
      </c>
      <c r="T381" s="51">
        <v>558572</v>
      </c>
      <c r="U381" s="2">
        <v>0</v>
      </c>
      <c r="V381" s="2">
        <v>0</v>
      </c>
      <c r="W381" t="s">
        <v>373</v>
      </c>
      <c r="X381" t="s">
        <v>373</v>
      </c>
      <c r="Y381">
        <v>450.67</v>
      </c>
      <c r="Z381">
        <v>453.04</v>
      </c>
      <c r="AB381" s="2">
        <v>1</v>
      </c>
      <c r="AC381">
        <v>155.87</v>
      </c>
      <c r="AD381">
        <v>163.77000000000001</v>
      </c>
      <c r="AF381" s="2">
        <v>1</v>
      </c>
      <c r="AG381">
        <v>202.99</v>
      </c>
      <c r="AH381">
        <v>211.93</v>
      </c>
      <c r="AJ381" s="2">
        <v>1</v>
      </c>
      <c r="AN381" t="s">
        <v>373</v>
      </c>
      <c r="AR381" t="s">
        <v>373</v>
      </c>
      <c r="AS381" t="s">
        <v>16</v>
      </c>
      <c r="AT381" t="str">
        <f t="shared" si="5"/>
        <v>Genoa - 411AL</v>
      </c>
    </row>
    <row r="382" spans="1:46" x14ac:dyDescent="0.25">
      <c r="A382" t="s">
        <v>316</v>
      </c>
      <c r="B382" t="s">
        <v>255</v>
      </c>
      <c r="C382" t="s">
        <v>114</v>
      </c>
      <c r="D382" s="50">
        <v>46054</v>
      </c>
      <c r="E382" s="2">
        <v>0.89400000000000002</v>
      </c>
      <c r="F382" s="2">
        <v>0.89</v>
      </c>
      <c r="G382" t="s">
        <v>373</v>
      </c>
      <c r="H382" t="s">
        <v>373</v>
      </c>
      <c r="I382" s="2">
        <v>0</v>
      </c>
      <c r="J382" s="2">
        <v>0</v>
      </c>
      <c r="K382" s="2">
        <v>0</v>
      </c>
      <c r="L382" s="2">
        <v>0</v>
      </c>
      <c r="M382" s="51">
        <v>0</v>
      </c>
      <c r="N382" s="51">
        <v>0</v>
      </c>
      <c r="P382" s="51">
        <v>0</v>
      </c>
      <c r="Q382" s="51">
        <v>280555</v>
      </c>
      <c r="R382" s="51">
        <v>558572</v>
      </c>
      <c r="T382" s="51">
        <v>558572</v>
      </c>
      <c r="U382" s="2">
        <v>0</v>
      </c>
      <c r="V382" s="2">
        <v>0</v>
      </c>
      <c r="W382" t="s">
        <v>373</v>
      </c>
      <c r="X382" t="s">
        <v>373</v>
      </c>
      <c r="Y382">
        <v>455.4</v>
      </c>
      <c r="Z382">
        <v>453.04</v>
      </c>
      <c r="AB382" s="2">
        <v>1</v>
      </c>
      <c r="AC382">
        <v>171.66</v>
      </c>
      <c r="AD382">
        <v>163.77000000000001</v>
      </c>
      <c r="AF382" s="2">
        <v>1</v>
      </c>
      <c r="AG382">
        <v>220.88</v>
      </c>
      <c r="AH382">
        <v>211.93</v>
      </c>
      <c r="AJ382" s="2">
        <v>1</v>
      </c>
      <c r="AN382" t="s">
        <v>373</v>
      </c>
      <c r="AR382" t="s">
        <v>373</v>
      </c>
      <c r="AS382" t="s">
        <v>16</v>
      </c>
      <c r="AT382" t="str">
        <f t="shared" si="5"/>
        <v>Genoa - 411AL</v>
      </c>
    </row>
    <row r="383" spans="1:46" x14ac:dyDescent="0.25">
      <c r="A383" t="s">
        <v>316</v>
      </c>
      <c r="B383" t="s">
        <v>255</v>
      </c>
      <c r="C383" t="s">
        <v>136</v>
      </c>
      <c r="D383" s="50">
        <v>46023</v>
      </c>
      <c r="E383" s="2">
        <v>0.9</v>
      </c>
      <c r="F383" s="2">
        <v>0.89100000000000001</v>
      </c>
      <c r="G383" t="s">
        <v>373</v>
      </c>
      <c r="H383" t="s">
        <v>373</v>
      </c>
      <c r="I383" s="2">
        <v>0</v>
      </c>
      <c r="J383" s="2">
        <v>0</v>
      </c>
      <c r="K383" s="2">
        <v>0</v>
      </c>
      <c r="L383" s="2">
        <v>0</v>
      </c>
      <c r="M383" s="51">
        <v>0</v>
      </c>
      <c r="N383" s="51">
        <v>0</v>
      </c>
      <c r="P383" s="51">
        <v>0</v>
      </c>
      <c r="Q383" s="51">
        <v>111550</v>
      </c>
      <c r="R383" s="51">
        <v>223059</v>
      </c>
      <c r="T383" s="51">
        <v>223059</v>
      </c>
      <c r="U383" s="2">
        <v>0</v>
      </c>
      <c r="V383" s="2">
        <v>0</v>
      </c>
      <c r="W383" t="s">
        <v>373</v>
      </c>
      <c r="X383" t="s">
        <v>373</v>
      </c>
      <c r="Y383">
        <v>438.34</v>
      </c>
      <c r="Z383">
        <v>427.08</v>
      </c>
      <c r="AB383" s="2">
        <v>1</v>
      </c>
      <c r="AC383">
        <v>199.4</v>
      </c>
      <c r="AD383">
        <v>207.3</v>
      </c>
      <c r="AF383" s="2">
        <v>1</v>
      </c>
      <c r="AG383">
        <v>315.47000000000003</v>
      </c>
      <c r="AH383">
        <v>335.47</v>
      </c>
      <c r="AJ383" s="2">
        <v>1</v>
      </c>
      <c r="AN383" t="s">
        <v>373</v>
      </c>
      <c r="AR383" t="s">
        <v>373</v>
      </c>
      <c r="AS383" t="s">
        <v>16</v>
      </c>
      <c r="AT383" t="str">
        <f t="shared" si="5"/>
        <v>Kalida - 406AL</v>
      </c>
    </row>
    <row r="384" spans="1:46" x14ac:dyDescent="0.25">
      <c r="A384" t="s">
        <v>316</v>
      </c>
      <c r="B384" t="s">
        <v>255</v>
      </c>
      <c r="C384" t="s">
        <v>136</v>
      </c>
      <c r="D384" s="50">
        <v>46054</v>
      </c>
      <c r="E384" s="2">
        <v>0.88100000000000001</v>
      </c>
      <c r="F384" s="2">
        <v>0.89100000000000001</v>
      </c>
      <c r="G384" t="s">
        <v>373</v>
      </c>
      <c r="H384" t="s">
        <v>373</v>
      </c>
      <c r="I384" s="2">
        <v>0</v>
      </c>
      <c r="J384" s="2">
        <v>0</v>
      </c>
      <c r="K384" s="2">
        <v>0</v>
      </c>
      <c r="L384" s="2">
        <v>0</v>
      </c>
      <c r="M384" s="51">
        <v>0</v>
      </c>
      <c r="N384" s="51">
        <v>0</v>
      </c>
      <c r="P384" s="51">
        <v>0</v>
      </c>
      <c r="Q384" s="51">
        <v>111508</v>
      </c>
      <c r="R384" s="51">
        <v>223059</v>
      </c>
      <c r="T384" s="51">
        <v>223059</v>
      </c>
      <c r="U384" s="2">
        <v>0</v>
      </c>
      <c r="V384" s="2">
        <v>0</v>
      </c>
      <c r="W384" t="s">
        <v>373</v>
      </c>
      <c r="X384" t="s">
        <v>373</v>
      </c>
      <c r="Y384">
        <v>415.82</v>
      </c>
      <c r="Z384">
        <v>427.08</v>
      </c>
      <c r="AB384" s="2">
        <v>1</v>
      </c>
      <c r="AC384">
        <v>215.2</v>
      </c>
      <c r="AD384">
        <v>207.3</v>
      </c>
      <c r="AF384" s="2">
        <v>1</v>
      </c>
      <c r="AG384">
        <v>355.47</v>
      </c>
      <c r="AH384">
        <v>335.47</v>
      </c>
      <c r="AJ384" s="2">
        <v>1</v>
      </c>
      <c r="AN384" t="s">
        <v>373</v>
      </c>
      <c r="AR384" t="s">
        <v>373</v>
      </c>
      <c r="AS384" t="s">
        <v>16</v>
      </c>
      <c r="AT384" t="str">
        <f t="shared" si="5"/>
        <v>Kalida - 406AL</v>
      </c>
    </row>
    <row r="385" spans="1:46" x14ac:dyDescent="0.25">
      <c r="A385" t="s">
        <v>316</v>
      </c>
      <c r="B385" t="s">
        <v>255</v>
      </c>
      <c r="C385" t="s">
        <v>152</v>
      </c>
      <c r="D385" s="50">
        <v>46023</v>
      </c>
      <c r="E385" s="2">
        <v>0.90900000000000003</v>
      </c>
      <c r="F385" s="2">
        <v>0.88700000000000001</v>
      </c>
      <c r="G385" t="s">
        <v>373</v>
      </c>
      <c r="H385" t="s">
        <v>373</v>
      </c>
      <c r="I385" s="2">
        <v>0</v>
      </c>
      <c r="J385" s="2">
        <v>0</v>
      </c>
      <c r="K385" s="2">
        <v>0</v>
      </c>
      <c r="L385" s="2">
        <v>0</v>
      </c>
      <c r="M385" s="51">
        <v>-2104</v>
      </c>
      <c r="N385" s="51">
        <v>-3887</v>
      </c>
      <c r="P385" s="51">
        <v>-3887</v>
      </c>
      <c r="Q385" s="51">
        <v>81745</v>
      </c>
      <c r="R385" s="51">
        <v>157873</v>
      </c>
      <c r="T385" s="51">
        <v>157873</v>
      </c>
      <c r="U385" s="2">
        <v>-2.5999999999999999E-2</v>
      </c>
      <c r="V385" s="2">
        <v>-2.5000000000000001E-2</v>
      </c>
      <c r="W385" t="s">
        <v>373</v>
      </c>
      <c r="X385" t="s">
        <v>373</v>
      </c>
      <c r="Y385">
        <v>385.37</v>
      </c>
      <c r="Z385">
        <v>375.33</v>
      </c>
      <c r="AB385" s="2">
        <v>1</v>
      </c>
      <c r="AC385">
        <v>176.66</v>
      </c>
      <c r="AD385">
        <v>185.16</v>
      </c>
      <c r="AF385" s="2">
        <v>1</v>
      </c>
      <c r="AJ385" t="s">
        <v>373</v>
      </c>
      <c r="AN385" t="s">
        <v>373</v>
      </c>
      <c r="AO385">
        <v>48.68</v>
      </c>
      <c r="AP385">
        <v>51.08</v>
      </c>
      <c r="AR385" s="2">
        <v>1</v>
      </c>
      <c r="AS385" t="s">
        <v>16</v>
      </c>
      <c r="AT385" t="str">
        <f t="shared" si="5"/>
        <v>Leipsic - 409AL</v>
      </c>
    </row>
    <row r="386" spans="1:46" x14ac:dyDescent="0.25">
      <c r="A386" t="s">
        <v>316</v>
      </c>
      <c r="B386" t="s">
        <v>255</v>
      </c>
      <c r="C386" t="s">
        <v>152</v>
      </c>
      <c r="D386" s="50">
        <v>46054</v>
      </c>
      <c r="E386" s="2">
        <v>0.86299999999999999</v>
      </c>
      <c r="F386" s="2">
        <v>0.88700000000000001</v>
      </c>
      <c r="G386" t="s">
        <v>373</v>
      </c>
      <c r="H386" t="s">
        <v>373</v>
      </c>
      <c r="I386" s="2">
        <v>0</v>
      </c>
      <c r="J386" s="2">
        <v>0</v>
      </c>
      <c r="K386" s="2">
        <v>0</v>
      </c>
      <c r="L386" s="2">
        <v>0</v>
      </c>
      <c r="M386" s="51">
        <v>-1784</v>
      </c>
      <c r="N386" s="51">
        <v>-3887</v>
      </c>
      <c r="P386" s="51">
        <v>-3887</v>
      </c>
      <c r="Q386" s="51">
        <v>76129</v>
      </c>
      <c r="R386" s="51">
        <v>157873</v>
      </c>
      <c r="T386" s="51">
        <v>157873</v>
      </c>
      <c r="U386" s="2">
        <v>-2.3E-2</v>
      </c>
      <c r="V386" s="2">
        <v>-2.5000000000000001E-2</v>
      </c>
      <c r="W386" t="s">
        <v>373</v>
      </c>
      <c r="X386" t="s">
        <v>373</v>
      </c>
      <c r="Y386">
        <v>365.29</v>
      </c>
      <c r="Z386">
        <v>375.33</v>
      </c>
      <c r="AB386" s="2">
        <v>1</v>
      </c>
      <c r="AC386">
        <v>193.66</v>
      </c>
      <c r="AD386">
        <v>185.16</v>
      </c>
      <c r="AF386" s="2">
        <v>1</v>
      </c>
      <c r="AJ386" t="s">
        <v>373</v>
      </c>
      <c r="AN386" t="s">
        <v>373</v>
      </c>
      <c r="AO386">
        <v>53.48</v>
      </c>
      <c r="AP386">
        <v>51.08</v>
      </c>
      <c r="AR386" s="2">
        <v>1</v>
      </c>
      <c r="AS386" t="s">
        <v>16</v>
      </c>
      <c r="AT386" t="str">
        <f t="shared" si="5"/>
        <v>Leipsic - 409AL</v>
      </c>
    </row>
    <row r="387" spans="1:46" x14ac:dyDescent="0.25">
      <c r="A387" t="s">
        <v>316</v>
      </c>
      <c r="B387" t="s">
        <v>255</v>
      </c>
      <c r="C387" t="s">
        <v>185</v>
      </c>
      <c r="D387" s="50">
        <v>46023</v>
      </c>
      <c r="E387" s="2">
        <v>0.92500000000000004</v>
      </c>
      <c r="F387" s="2">
        <v>0.92400000000000004</v>
      </c>
      <c r="G387" t="s">
        <v>373</v>
      </c>
      <c r="H387" t="s">
        <v>373</v>
      </c>
      <c r="I387" s="2">
        <v>0</v>
      </c>
      <c r="J387" s="2">
        <v>0</v>
      </c>
      <c r="K387" s="2">
        <v>0</v>
      </c>
      <c r="L387" s="2">
        <v>0</v>
      </c>
      <c r="M387" s="51">
        <v>2899</v>
      </c>
      <c r="N387" s="51">
        <v>4739</v>
      </c>
      <c r="P387" s="51">
        <v>4739</v>
      </c>
      <c r="Q387" s="51">
        <v>441180</v>
      </c>
      <c r="R387" s="51">
        <v>871115</v>
      </c>
      <c r="T387" s="51">
        <v>871115</v>
      </c>
      <c r="U387" s="2">
        <v>7.0000000000000001E-3</v>
      </c>
      <c r="V387" s="2">
        <v>5.0000000000000001E-3</v>
      </c>
      <c r="W387" t="s">
        <v>373</v>
      </c>
      <c r="X387" t="s">
        <v>373</v>
      </c>
      <c r="Y387">
        <v>504.3</v>
      </c>
      <c r="Z387">
        <v>503.29</v>
      </c>
      <c r="AB387" s="2">
        <v>1</v>
      </c>
      <c r="AC387">
        <v>176.66</v>
      </c>
      <c r="AD387">
        <v>186.12</v>
      </c>
      <c r="AF387" s="2">
        <v>1</v>
      </c>
      <c r="AG387">
        <v>243.31</v>
      </c>
      <c r="AH387">
        <v>257.02999999999997</v>
      </c>
      <c r="AJ387" s="2">
        <v>1</v>
      </c>
      <c r="AN387" t="s">
        <v>373</v>
      </c>
      <c r="AO387">
        <v>102.14</v>
      </c>
      <c r="AP387">
        <v>107.47</v>
      </c>
      <c r="AR387" s="2">
        <v>1</v>
      </c>
      <c r="AS387" t="s">
        <v>16</v>
      </c>
      <c r="AT387" t="str">
        <f t="shared" ref="AT387:AT450" si="6">C387&amp;AS387</f>
        <v>Monclova - 2422AL</v>
      </c>
    </row>
    <row r="388" spans="1:46" x14ac:dyDescent="0.25">
      <c r="A388" t="s">
        <v>316</v>
      </c>
      <c r="B388" t="s">
        <v>255</v>
      </c>
      <c r="C388" t="s">
        <v>185</v>
      </c>
      <c r="D388" s="50">
        <v>46054</v>
      </c>
      <c r="E388" s="2">
        <v>0.92200000000000004</v>
      </c>
      <c r="F388" s="2">
        <v>0.92400000000000004</v>
      </c>
      <c r="G388" t="s">
        <v>373</v>
      </c>
      <c r="H388" t="s">
        <v>373</v>
      </c>
      <c r="I388" s="2">
        <v>0</v>
      </c>
      <c r="J388" s="2">
        <v>0</v>
      </c>
      <c r="K388" s="2">
        <v>0</v>
      </c>
      <c r="L388" s="2">
        <v>0</v>
      </c>
      <c r="M388" s="51">
        <v>1840</v>
      </c>
      <c r="N388" s="51">
        <v>4739</v>
      </c>
      <c r="P388" s="51">
        <v>4739</v>
      </c>
      <c r="Q388" s="51">
        <v>429935</v>
      </c>
      <c r="R388" s="51">
        <v>871115</v>
      </c>
      <c r="T388" s="51">
        <v>871115</v>
      </c>
      <c r="U388" s="2">
        <v>4.0000000000000001E-3</v>
      </c>
      <c r="V388" s="2">
        <v>5.0000000000000001E-3</v>
      </c>
      <c r="W388" t="s">
        <v>373</v>
      </c>
      <c r="X388" t="s">
        <v>373</v>
      </c>
      <c r="Y388">
        <v>502.28</v>
      </c>
      <c r="Z388">
        <v>503.29</v>
      </c>
      <c r="AB388" s="2">
        <v>1</v>
      </c>
      <c r="AC388">
        <v>195.59</v>
      </c>
      <c r="AD388">
        <v>186.12</v>
      </c>
      <c r="AF388" s="2">
        <v>1</v>
      </c>
      <c r="AG388">
        <v>270.76</v>
      </c>
      <c r="AH388">
        <v>257.02999999999997</v>
      </c>
      <c r="AJ388" s="2">
        <v>1</v>
      </c>
      <c r="AN388" t="s">
        <v>373</v>
      </c>
      <c r="AO388">
        <v>112.79</v>
      </c>
      <c r="AP388">
        <v>107.47</v>
      </c>
      <c r="AR388" s="2">
        <v>1</v>
      </c>
      <c r="AS388" t="s">
        <v>16</v>
      </c>
      <c r="AT388" t="str">
        <f t="shared" si="6"/>
        <v>Monclova - 2422AL</v>
      </c>
    </row>
    <row r="389" spans="1:46" x14ac:dyDescent="0.25">
      <c r="A389" t="s">
        <v>316</v>
      </c>
      <c r="B389" t="s">
        <v>255</v>
      </c>
      <c r="C389" t="s">
        <v>202</v>
      </c>
      <c r="D389" s="50">
        <v>46023</v>
      </c>
      <c r="E389" s="2">
        <v>0.85</v>
      </c>
      <c r="F389" s="2">
        <v>0.86099999999999999</v>
      </c>
      <c r="G389" t="s">
        <v>373</v>
      </c>
      <c r="H389" t="s">
        <v>373</v>
      </c>
      <c r="I389" s="2">
        <v>0</v>
      </c>
      <c r="J389" s="2">
        <v>0</v>
      </c>
      <c r="K389" s="2">
        <v>0</v>
      </c>
      <c r="L389" s="2">
        <v>0</v>
      </c>
      <c r="M389" s="51">
        <v>0</v>
      </c>
      <c r="N389" s="51">
        <v>0</v>
      </c>
      <c r="P389" s="51">
        <v>0</v>
      </c>
      <c r="Q389" s="51">
        <v>23113</v>
      </c>
      <c r="R389" s="51">
        <v>42966</v>
      </c>
      <c r="T389" s="51">
        <v>42966</v>
      </c>
      <c r="U389" s="2">
        <v>0</v>
      </c>
      <c r="V389" s="2">
        <v>0</v>
      </c>
      <c r="W389" t="s">
        <v>373</v>
      </c>
      <c r="X389" t="s">
        <v>373</v>
      </c>
      <c r="Y389">
        <v>343.11</v>
      </c>
      <c r="Z389">
        <v>351.86</v>
      </c>
      <c r="AB389" s="2">
        <v>1</v>
      </c>
      <c r="AC389">
        <v>172.93</v>
      </c>
      <c r="AD389">
        <v>183.17</v>
      </c>
      <c r="AF389" s="2">
        <v>1</v>
      </c>
      <c r="AJ389" t="s">
        <v>373</v>
      </c>
      <c r="AN389" t="s">
        <v>373</v>
      </c>
      <c r="AR389" t="s">
        <v>373</v>
      </c>
      <c r="AS389" t="s">
        <v>16</v>
      </c>
      <c r="AT389" t="str">
        <f t="shared" si="6"/>
        <v>North Baltimore - 415AL</v>
      </c>
    </row>
    <row r="390" spans="1:46" x14ac:dyDescent="0.25">
      <c r="A390" t="s">
        <v>316</v>
      </c>
      <c r="B390" t="s">
        <v>255</v>
      </c>
      <c r="C390" t="s">
        <v>202</v>
      </c>
      <c r="D390" s="50">
        <v>46054</v>
      </c>
      <c r="E390" s="2">
        <v>0.873</v>
      </c>
      <c r="F390" s="2">
        <v>0.86099999999999999</v>
      </c>
      <c r="G390" t="s">
        <v>373</v>
      </c>
      <c r="H390" t="s">
        <v>373</v>
      </c>
      <c r="I390" s="2">
        <v>0</v>
      </c>
      <c r="J390" s="2">
        <v>0</v>
      </c>
      <c r="K390" s="2">
        <v>0</v>
      </c>
      <c r="L390" s="2">
        <v>0</v>
      </c>
      <c r="M390" s="51">
        <v>0</v>
      </c>
      <c r="N390" s="51">
        <v>0</v>
      </c>
      <c r="P390" s="51">
        <v>0</v>
      </c>
      <c r="Q390" s="51">
        <v>19853</v>
      </c>
      <c r="R390" s="51">
        <v>42966</v>
      </c>
      <c r="T390" s="51">
        <v>42966</v>
      </c>
      <c r="U390" s="2">
        <v>0</v>
      </c>
      <c r="V390" s="2">
        <v>0</v>
      </c>
      <c r="W390" t="s">
        <v>373</v>
      </c>
      <c r="X390" t="s">
        <v>373</v>
      </c>
      <c r="Y390">
        <v>360.61</v>
      </c>
      <c r="Z390">
        <v>351.86</v>
      </c>
      <c r="AB390" s="2">
        <v>1</v>
      </c>
      <c r="AC390">
        <v>193.41</v>
      </c>
      <c r="AD390">
        <v>183.17</v>
      </c>
      <c r="AF390" s="2">
        <v>1</v>
      </c>
      <c r="AJ390" t="s">
        <v>373</v>
      </c>
      <c r="AN390" t="s">
        <v>373</v>
      </c>
      <c r="AR390" t="s">
        <v>373</v>
      </c>
      <c r="AS390" t="s">
        <v>16</v>
      </c>
      <c r="AT390" t="str">
        <f t="shared" si="6"/>
        <v>North Baltimore - 415AL</v>
      </c>
    </row>
    <row r="391" spans="1:46" x14ac:dyDescent="0.25">
      <c r="A391" t="s">
        <v>316</v>
      </c>
      <c r="B391" t="s">
        <v>255</v>
      </c>
      <c r="C391" t="s">
        <v>205</v>
      </c>
      <c r="D391" s="50">
        <v>46023</v>
      </c>
      <c r="E391" s="2">
        <v>0.997</v>
      </c>
      <c r="F391" s="2">
        <v>0.98599999999999999</v>
      </c>
      <c r="G391" t="s">
        <v>373</v>
      </c>
      <c r="H391" t="s">
        <v>373</v>
      </c>
      <c r="I391" s="2">
        <v>0</v>
      </c>
      <c r="J391" s="2">
        <v>0</v>
      </c>
      <c r="K391" s="2">
        <v>0</v>
      </c>
      <c r="L391" s="2">
        <v>0</v>
      </c>
      <c r="M391" s="51">
        <v>322</v>
      </c>
      <c r="N391" s="51">
        <v>322</v>
      </c>
      <c r="P391" s="51">
        <v>322</v>
      </c>
      <c r="Q391" s="51">
        <v>174453</v>
      </c>
      <c r="R391" s="51">
        <v>345128</v>
      </c>
      <c r="T391" s="51">
        <v>345128</v>
      </c>
      <c r="U391" s="2">
        <v>2E-3</v>
      </c>
      <c r="V391" s="2">
        <v>1E-3</v>
      </c>
      <c r="W391" t="s">
        <v>373</v>
      </c>
      <c r="X391" t="s">
        <v>373</v>
      </c>
      <c r="Y391">
        <v>413.4</v>
      </c>
      <c r="Z391">
        <v>421.44</v>
      </c>
      <c r="AB391" s="2">
        <v>1</v>
      </c>
      <c r="AC391">
        <v>213.75</v>
      </c>
      <c r="AD391">
        <v>224.88</v>
      </c>
      <c r="AF391" s="2">
        <v>1</v>
      </c>
      <c r="AJ391" t="s">
        <v>373</v>
      </c>
      <c r="AN391" t="s">
        <v>373</v>
      </c>
      <c r="AP391">
        <v>176.82</v>
      </c>
      <c r="AR391" s="2">
        <v>1</v>
      </c>
      <c r="AS391" t="s">
        <v>16</v>
      </c>
      <c r="AT391" t="str">
        <f t="shared" si="6"/>
        <v>Ottawa MO - 430AL</v>
      </c>
    </row>
    <row r="392" spans="1:46" x14ac:dyDescent="0.25">
      <c r="A392" t="s">
        <v>316</v>
      </c>
      <c r="B392" t="s">
        <v>255</v>
      </c>
      <c r="C392" t="s">
        <v>205</v>
      </c>
      <c r="D392" s="50">
        <v>46054</v>
      </c>
      <c r="E392" s="2">
        <v>0.97399999999999998</v>
      </c>
      <c r="F392" s="2">
        <v>0.98599999999999999</v>
      </c>
      <c r="G392" t="s">
        <v>373</v>
      </c>
      <c r="H392" t="s">
        <v>373</v>
      </c>
      <c r="I392" s="2">
        <v>0</v>
      </c>
      <c r="J392" s="2">
        <v>0</v>
      </c>
      <c r="K392" s="2">
        <v>0</v>
      </c>
      <c r="L392" s="2">
        <v>0</v>
      </c>
      <c r="M392" s="51">
        <v>0</v>
      </c>
      <c r="N392" s="51">
        <v>322</v>
      </c>
      <c r="P392" s="51">
        <v>322</v>
      </c>
      <c r="Q392" s="51">
        <v>170675</v>
      </c>
      <c r="R392" s="51">
        <v>345128</v>
      </c>
      <c r="T392" s="51">
        <v>345128</v>
      </c>
      <c r="U392" s="2">
        <v>0</v>
      </c>
      <c r="V392" s="2">
        <v>1E-3</v>
      </c>
      <c r="W392" t="s">
        <v>373</v>
      </c>
      <c r="X392" t="s">
        <v>373</v>
      </c>
      <c r="Y392">
        <v>429.47</v>
      </c>
      <c r="Z392">
        <v>421.44</v>
      </c>
      <c r="AB392" s="2">
        <v>1</v>
      </c>
      <c r="AC392">
        <v>236.01</v>
      </c>
      <c r="AD392">
        <v>224.88</v>
      </c>
      <c r="AF392" s="2">
        <v>1</v>
      </c>
      <c r="AJ392" t="s">
        <v>373</v>
      </c>
      <c r="AN392" t="s">
        <v>373</v>
      </c>
      <c r="AO392">
        <v>176.82</v>
      </c>
      <c r="AP392">
        <v>176.82</v>
      </c>
      <c r="AR392" s="2">
        <v>1</v>
      </c>
      <c r="AS392" t="s">
        <v>16</v>
      </c>
      <c r="AT392" t="str">
        <f t="shared" si="6"/>
        <v>Ottawa MO - 430AL</v>
      </c>
    </row>
    <row r="393" spans="1:46" x14ac:dyDescent="0.25">
      <c r="A393" t="s">
        <v>316</v>
      </c>
      <c r="B393" t="s">
        <v>255</v>
      </c>
      <c r="C393" t="s">
        <v>226</v>
      </c>
      <c r="D393" s="50">
        <v>46023</v>
      </c>
      <c r="E393" s="2">
        <v>0.95699999999999996</v>
      </c>
      <c r="F393" s="2">
        <v>0.95399999999999996</v>
      </c>
      <c r="G393" t="s">
        <v>373</v>
      </c>
      <c r="H393" t="s">
        <v>373</v>
      </c>
      <c r="I393" s="2">
        <v>0</v>
      </c>
      <c r="J393" s="2">
        <v>0.14299999999999999</v>
      </c>
      <c r="K393" s="2">
        <v>0</v>
      </c>
      <c r="L393" s="2">
        <v>0.14299999999999999</v>
      </c>
      <c r="M393" s="51">
        <v>600</v>
      </c>
      <c r="N393" s="51">
        <v>1250</v>
      </c>
      <c r="P393" s="51">
        <v>1250</v>
      </c>
      <c r="Q393" s="51">
        <v>212031</v>
      </c>
      <c r="R393" s="51">
        <v>420350</v>
      </c>
      <c r="T393" s="51">
        <v>420350</v>
      </c>
      <c r="U393" s="2">
        <v>3.0000000000000001E-3</v>
      </c>
      <c r="V393" s="2">
        <v>3.0000000000000001E-3</v>
      </c>
      <c r="W393" t="s">
        <v>373</v>
      </c>
      <c r="X393" t="s">
        <v>373</v>
      </c>
      <c r="Y393">
        <v>498.94</v>
      </c>
      <c r="Z393">
        <v>495.66</v>
      </c>
      <c r="AB393" s="2">
        <v>1</v>
      </c>
      <c r="AC393">
        <v>191.76</v>
      </c>
      <c r="AD393">
        <v>202.19</v>
      </c>
      <c r="AF393" s="2">
        <v>1</v>
      </c>
      <c r="AJ393" t="s">
        <v>373</v>
      </c>
      <c r="AN393" t="s">
        <v>373</v>
      </c>
      <c r="AO393">
        <v>115.71</v>
      </c>
      <c r="AP393">
        <v>122.15</v>
      </c>
      <c r="AR393" s="2">
        <v>1</v>
      </c>
      <c r="AS393" t="s">
        <v>16</v>
      </c>
      <c r="AT393" t="str">
        <f t="shared" si="6"/>
        <v>Sylvania - 2427AL</v>
      </c>
    </row>
    <row r="394" spans="1:46" x14ac:dyDescent="0.25">
      <c r="A394" t="s">
        <v>316</v>
      </c>
      <c r="B394" t="s">
        <v>255</v>
      </c>
      <c r="C394" t="s">
        <v>226</v>
      </c>
      <c r="D394" s="50">
        <v>46054</v>
      </c>
      <c r="E394" s="2">
        <v>0.95099999999999996</v>
      </c>
      <c r="F394" s="2">
        <v>0.95399999999999996</v>
      </c>
      <c r="G394" t="s">
        <v>373</v>
      </c>
      <c r="H394" t="s">
        <v>373</v>
      </c>
      <c r="I394" s="2">
        <v>0.5</v>
      </c>
      <c r="J394" s="2">
        <v>0.14299999999999999</v>
      </c>
      <c r="K394" s="2">
        <v>0</v>
      </c>
      <c r="L394" s="2">
        <v>0.14299999999999999</v>
      </c>
      <c r="M394" s="51">
        <v>650</v>
      </c>
      <c r="N394" s="51">
        <v>1250</v>
      </c>
      <c r="P394" s="51">
        <v>1250</v>
      </c>
      <c r="Q394" s="51">
        <v>208319</v>
      </c>
      <c r="R394" s="51">
        <v>420350</v>
      </c>
      <c r="T394" s="51">
        <v>420350</v>
      </c>
      <c r="U394" s="2">
        <v>3.0000000000000001E-3</v>
      </c>
      <c r="V394" s="2">
        <v>3.0000000000000001E-3</v>
      </c>
      <c r="W394" t="s">
        <v>373</v>
      </c>
      <c r="X394" t="s">
        <v>373</v>
      </c>
      <c r="Y394">
        <v>492.39</v>
      </c>
      <c r="Z394">
        <v>495.66</v>
      </c>
      <c r="AB394" s="2">
        <v>1</v>
      </c>
      <c r="AC394">
        <v>212.61</v>
      </c>
      <c r="AD394">
        <v>202.19</v>
      </c>
      <c r="AF394" s="2">
        <v>1</v>
      </c>
      <c r="AJ394" t="s">
        <v>373</v>
      </c>
      <c r="AN394" t="s">
        <v>373</v>
      </c>
      <c r="AO394">
        <v>128.6</v>
      </c>
      <c r="AP394">
        <v>122.15</v>
      </c>
      <c r="AR394" s="2">
        <v>1</v>
      </c>
      <c r="AS394" t="s">
        <v>16</v>
      </c>
      <c r="AT394" t="str">
        <f t="shared" si="6"/>
        <v>Sylvania - 2427AL</v>
      </c>
    </row>
    <row r="395" spans="1:46" x14ac:dyDescent="0.25">
      <c r="A395" t="s">
        <v>316</v>
      </c>
      <c r="B395" t="s">
        <v>255</v>
      </c>
      <c r="C395" t="s">
        <v>231</v>
      </c>
      <c r="D395" s="50">
        <v>46023</v>
      </c>
      <c r="E395" s="2">
        <v>0.55800000000000005</v>
      </c>
      <c r="F395" s="2">
        <v>0.54900000000000004</v>
      </c>
      <c r="G395" t="s">
        <v>373</v>
      </c>
      <c r="H395" t="s">
        <v>373</v>
      </c>
      <c r="I395" s="2">
        <v>0</v>
      </c>
      <c r="J395" s="2">
        <v>0</v>
      </c>
      <c r="K395" s="2">
        <v>0</v>
      </c>
      <c r="L395" s="2">
        <v>0</v>
      </c>
      <c r="M395" s="51">
        <v>0</v>
      </c>
      <c r="N395" s="51">
        <v>0</v>
      </c>
      <c r="P395" s="51">
        <v>0</v>
      </c>
      <c r="Q395" s="51">
        <v>214151</v>
      </c>
      <c r="R395" s="51">
        <v>432535</v>
      </c>
      <c r="T395" s="51">
        <v>432535</v>
      </c>
      <c r="U395" s="2">
        <v>0</v>
      </c>
      <c r="V395" s="2">
        <v>0</v>
      </c>
      <c r="W395" t="s">
        <v>373</v>
      </c>
      <c r="X395" t="s">
        <v>373</v>
      </c>
      <c r="Y395">
        <v>400.96</v>
      </c>
      <c r="Z395">
        <v>402.39</v>
      </c>
      <c r="AB395" s="2">
        <v>1</v>
      </c>
      <c r="AC395">
        <v>207.69</v>
      </c>
      <c r="AD395">
        <v>218.82</v>
      </c>
      <c r="AF395" s="2">
        <v>1</v>
      </c>
      <c r="AJ395" t="s">
        <v>373</v>
      </c>
      <c r="AN395" t="s">
        <v>373</v>
      </c>
      <c r="AR395" t="s">
        <v>373</v>
      </c>
      <c r="AS395" t="s">
        <v>16</v>
      </c>
      <c r="AT395" t="str">
        <f t="shared" si="6"/>
        <v>Tiffin - 435AL</v>
      </c>
    </row>
    <row r="396" spans="1:46" x14ac:dyDescent="0.25">
      <c r="A396" t="s">
        <v>316</v>
      </c>
      <c r="B396" t="s">
        <v>255</v>
      </c>
      <c r="C396" t="s">
        <v>231</v>
      </c>
      <c r="D396" s="50">
        <v>46054</v>
      </c>
      <c r="E396" s="2">
        <v>0.53900000000000003</v>
      </c>
      <c r="F396" s="2">
        <v>0.54900000000000004</v>
      </c>
      <c r="G396" t="s">
        <v>373</v>
      </c>
      <c r="H396" t="s">
        <v>373</v>
      </c>
      <c r="I396" s="2">
        <v>0</v>
      </c>
      <c r="J396" s="2">
        <v>0</v>
      </c>
      <c r="K396" s="2">
        <v>0</v>
      </c>
      <c r="L396" s="2">
        <v>0</v>
      </c>
      <c r="M396" s="51">
        <v>0</v>
      </c>
      <c r="N396" s="51">
        <v>0</v>
      </c>
      <c r="P396" s="51">
        <v>0</v>
      </c>
      <c r="Q396" s="51">
        <v>218384</v>
      </c>
      <c r="R396" s="51">
        <v>432535</v>
      </c>
      <c r="T396" s="51">
        <v>432535</v>
      </c>
      <c r="U396" s="2">
        <v>0</v>
      </c>
      <c r="V396" s="2">
        <v>0</v>
      </c>
      <c r="W396" t="s">
        <v>373</v>
      </c>
      <c r="X396" t="s">
        <v>373</v>
      </c>
      <c r="Y396">
        <v>403.82</v>
      </c>
      <c r="Z396">
        <v>402.39</v>
      </c>
      <c r="AB396" s="2">
        <v>1</v>
      </c>
      <c r="AC396">
        <v>229.94</v>
      </c>
      <c r="AD396">
        <v>218.82</v>
      </c>
      <c r="AF396" s="2">
        <v>1</v>
      </c>
      <c r="AJ396" t="s">
        <v>373</v>
      </c>
      <c r="AN396" t="s">
        <v>373</v>
      </c>
      <c r="AR396" t="s">
        <v>373</v>
      </c>
      <c r="AS396" t="s">
        <v>16</v>
      </c>
      <c r="AT396" t="str">
        <f t="shared" si="6"/>
        <v>Tiffin - 435AL</v>
      </c>
    </row>
    <row r="397" spans="1:46" x14ac:dyDescent="0.25">
      <c r="A397" t="s">
        <v>316</v>
      </c>
      <c r="B397" t="s">
        <v>255</v>
      </c>
      <c r="C397" t="s">
        <v>248</v>
      </c>
      <c r="D397" s="50">
        <v>46023</v>
      </c>
      <c r="E397" s="2">
        <v>0.99399999999999999</v>
      </c>
      <c r="F397" s="2">
        <v>0.99099999999999999</v>
      </c>
      <c r="G397" t="s">
        <v>373</v>
      </c>
      <c r="H397" t="s">
        <v>373</v>
      </c>
      <c r="I397" s="2">
        <v>0</v>
      </c>
      <c r="J397" s="2">
        <v>0</v>
      </c>
      <c r="K397" s="2">
        <v>0</v>
      </c>
      <c r="L397" s="2">
        <v>0</v>
      </c>
      <c r="M397" s="51">
        <v>0</v>
      </c>
      <c r="N397" s="51">
        <v>0</v>
      </c>
      <c r="P397" s="51">
        <v>0</v>
      </c>
      <c r="Q397" s="51">
        <v>228057</v>
      </c>
      <c r="R397" s="51">
        <v>452861</v>
      </c>
      <c r="T397" s="51">
        <v>452861</v>
      </c>
      <c r="U397" s="2">
        <v>0</v>
      </c>
      <c r="V397" s="2">
        <v>0</v>
      </c>
      <c r="W397" t="s">
        <v>373</v>
      </c>
      <c r="X397" t="s">
        <v>373</v>
      </c>
      <c r="Y397">
        <v>400.7</v>
      </c>
      <c r="Z397">
        <v>404.52</v>
      </c>
      <c r="AB397" s="2">
        <v>1</v>
      </c>
      <c r="AC397">
        <v>202.12</v>
      </c>
      <c r="AD397">
        <v>212.9</v>
      </c>
      <c r="AF397" s="2">
        <v>1</v>
      </c>
      <c r="AG397">
        <v>234.04</v>
      </c>
      <c r="AH397">
        <v>246</v>
      </c>
      <c r="AJ397" s="2">
        <v>1</v>
      </c>
      <c r="AN397" t="s">
        <v>373</v>
      </c>
      <c r="AO397">
        <v>88.31</v>
      </c>
      <c r="AP397">
        <v>93.04</v>
      </c>
      <c r="AR397" s="2">
        <v>1</v>
      </c>
      <c r="AS397" t="s">
        <v>16</v>
      </c>
      <c r="AT397" t="str">
        <f t="shared" si="6"/>
        <v>Willard - 2424AL</v>
      </c>
    </row>
    <row r="398" spans="1:46" x14ac:dyDescent="0.25">
      <c r="A398" t="s">
        <v>316</v>
      </c>
      <c r="B398" t="s">
        <v>255</v>
      </c>
      <c r="C398" t="s">
        <v>248</v>
      </c>
      <c r="D398" s="50">
        <v>46054</v>
      </c>
      <c r="E398" s="2">
        <v>0.98699999999999999</v>
      </c>
      <c r="F398" s="2">
        <v>0.99099999999999999</v>
      </c>
      <c r="G398" t="s">
        <v>373</v>
      </c>
      <c r="H398" t="s">
        <v>373</v>
      </c>
      <c r="I398" s="2">
        <v>0</v>
      </c>
      <c r="J398" s="2">
        <v>0</v>
      </c>
      <c r="K398" s="2">
        <v>0</v>
      </c>
      <c r="L398" s="2">
        <v>0</v>
      </c>
      <c r="M398" s="51">
        <v>0</v>
      </c>
      <c r="N398" s="51">
        <v>0</v>
      </c>
      <c r="P398" s="51">
        <v>0</v>
      </c>
      <c r="Q398" s="51">
        <v>224804</v>
      </c>
      <c r="R398" s="51">
        <v>452861</v>
      </c>
      <c r="T398" s="51">
        <v>452861</v>
      </c>
      <c r="U398" s="2">
        <v>0</v>
      </c>
      <c r="V398" s="2">
        <v>0</v>
      </c>
      <c r="W398" t="s">
        <v>373</v>
      </c>
      <c r="X398" t="s">
        <v>373</v>
      </c>
      <c r="Y398">
        <v>408.33</v>
      </c>
      <c r="Z398">
        <v>404.52</v>
      </c>
      <c r="AB398" s="2">
        <v>1</v>
      </c>
      <c r="AC398">
        <v>223.69</v>
      </c>
      <c r="AD398">
        <v>212.9</v>
      </c>
      <c r="AF398" s="2">
        <v>1</v>
      </c>
      <c r="AG398">
        <v>257.95999999999998</v>
      </c>
      <c r="AH398">
        <v>246</v>
      </c>
      <c r="AJ398" s="2">
        <v>1</v>
      </c>
      <c r="AN398" t="s">
        <v>373</v>
      </c>
      <c r="AO398">
        <v>97.77</v>
      </c>
      <c r="AP398">
        <v>93.04</v>
      </c>
      <c r="AR398" s="2">
        <v>1</v>
      </c>
      <c r="AS398" t="s">
        <v>16</v>
      </c>
      <c r="AT398" t="str">
        <f t="shared" si="6"/>
        <v>Willard - 2424AL</v>
      </c>
    </row>
    <row r="399" spans="1:46" x14ac:dyDescent="0.25">
      <c r="A399" t="s">
        <v>316</v>
      </c>
      <c r="B399" t="s">
        <v>256</v>
      </c>
      <c r="C399" t="s">
        <v>165</v>
      </c>
      <c r="D399" s="50">
        <v>46023</v>
      </c>
      <c r="E399" s="2">
        <v>0.874</v>
      </c>
      <c r="F399" s="2">
        <v>0.86399999999999999</v>
      </c>
      <c r="G399" t="s">
        <v>373</v>
      </c>
      <c r="H399" t="s">
        <v>373</v>
      </c>
      <c r="I399" s="2">
        <v>0</v>
      </c>
      <c r="J399" s="2">
        <v>0</v>
      </c>
      <c r="K399" s="2">
        <v>0</v>
      </c>
      <c r="L399" s="2">
        <v>0</v>
      </c>
      <c r="M399" s="51">
        <v>14675</v>
      </c>
      <c r="N399" s="51">
        <v>27111</v>
      </c>
      <c r="P399" s="51">
        <v>27111</v>
      </c>
      <c r="Q399" s="51">
        <v>117052</v>
      </c>
      <c r="R399" s="51">
        <v>229552</v>
      </c>
      <c r="T399" s="51">
        <v>229552</v>
      </c>
      <c r="U399" s="2">
        <v>0.125</v>
      </c>
      <c r="V399" s="2">
        <v>0.11799999999999999</v>
      </c>
      <c r="W399" t="s">
        <v>373</v>
      </c>
      <c r="X399" t="s">
        <v>373</v>
      </c>
      <c r="Y399">
        <v>430.02</v>
      </c>
      <c r="Z399">
        <v>423.06</v>
      </c>
      <c r="AB399" s="2">
        <v>1</v>
      </c>
      <c r="AC399">
        <v>166.49</v>
      </c>
      <c r="AD399">
        <v>173.04</v>
      </c>
      <c r="AF399" s="2">
        <v>1</v>
      </c>
      <c r="AJ399" t="s">
        <v>373</v>
      </c>
      <c r="AN399" t="s">
        <v>373</v>
      </c>
      <c r="AR399" t="s">
        <v>373</v>
      </c>
      <c r="AS399" t="s">
        <v>16</v>
      </c>
      <c r="AT399" t="str">
        <f t="shared" si="6"/>
        <v>Logansport - 130AL</v>
      </c>
    </row>
    <row r="400" spans="1:46" x14ac:dyDescent="0.25">
      <c r="A400" t="s">
        <v>316</v>
      </c>
      <c r="B400" t="s">
        <v>256</v>
      </c>
      <c r="C400" t="s">
        <v>165</v>
      </c>
      <c r="D400" s="50">
        <v>46054</v>
      </c>
      <c r="E400" s="2">
        <v>0.85399999999999998</v>
      </c>
      <c r="F400" s="2">
        <v>0.86399999999999999</v>
      </c>
      <c r="G400" t="s">
        <v>373</v>
      </c>
      <c r="H400" t="s">
        <v>373</v>
      </c>
      <c r="I400" s="2">
        <v>0</v>
      </c>
      <c r="J400" s="2">
        <v>0</v>
      </c>
      <c r="K400" s="2">
        <v>0</v>
      </c>
      <c r="L400" s="2">
        <v>0</v>
      </c>
      <c r="M400" s="51">
        <v>12436</v>
      </c>
      <c r="N400" s="51">
        <v>27111</v>
      </c>
      <c r="P400" s="51">
        <v>27111</v>
      </c>
      <c r="Q400" s="51">
        <v>112500</v>
      </c>
      <c r="R400" s="51">
        <v>229552</v>
      </c>
      <c r="T400" s="51">
        <v>229552</v>
      </c>
      <c r="U400" s="2">
        <v>0.111</v>
      </c>
      <c r="V400" s="2">
        <v>0.11799999999999999</v>
      </c>
      <c r="W400" t="s">
        <v>373</v>
      </c>
      <c r="X400" t="s">
        <v>373</v>
      </c>
      <c r="Y400">
        <v>416.1</v>
      </c>
      <c r="Z400">
        <v>423.06</v>
      </c>
      <c r="AB400" s="2">
        <v>1</v>
      </c>
      <c r="AC400">
        <v>179.58</v>
      </c>
      <c r="AD400">
        <v>173.04</v>
      </c>
      <c r="AF400" s="2">
        <v>1</v>
      </c>
      <c r="AJ400" t="s">
        <v>373</v>
      </c>
      <c r="AN400" t="s">
        <v>373</v>
      </c>
      <c r="AR400" t="s">
        <v>373</v>
      </c>
      <c r="AS400" t="s">
        <v>16</v>
      </c>
      <c r="AT400" t="str">
        <f t="shared" si="6"/>
        <v>Logansport - 130AL</v>
      </c>
    </row>
    <row r="401" spans="1:46" x14ac:dyDescent="0.25">
      <c r="A401" t="s">
        <v>316</v>
      </c>
      <c r="B401" t="s">
        <v>256</v>
      </c>
      <c r="C401" t="s">
        <v>186</v>
      </c>
      <c r="D401" s="50">
        <v>46023</v>
      </c>
      <c r="E401" s="2">
        <v>0.91200000000000003</v>
      </c>
      <c r="F401" s="2">
        <v>0.9</v>
      </c>
      <c r="G401" t="s">
        <v>373</v>
      </c>
      <c r="H401" t="s">
        <v>373</v>
      </c>
      <c r="I401" s="2">
        <v>0.5</v>
      </c>
      <c r="J401" s="2">
        <v>0.5</v>
      </c>
      <c r="K401" s="2">
        <v>0</v>
      </c>
      <c r="L401" s="2">
        <v>0.5</v>
      </c>
      <c r="M401" s="51">
        <v>12155</v>
      </c>
      <c r="N401" s="51">
        <v>25074</v>
      </c>
      <c r="P401" s="51">
        <v>25074</v>
      </c>
      <c r="Q401" s="51">
        <v>442429</v>
      </c>
      <c r="R401" s="51">
        <v>862226</v>
      </c>
      <c r="T401" s="51">
        <v>862226</v>
      </c>
      <c r="U401" s="2">
        <v>2.7E-2</v>
      </c>
      <c r="V401" s="2">
        <v>2.9000000000000001E-2</v>
      </c>
      <c r="W401" t="s">
        <v>373</v>
      </c>
      <c r="X401" t="s">
        <v>373</v>
      </c>
      <c r="Y401">
        <v>385</v>
      </c>
      <c r="Z401">
        <v>384.74</v>
      </c>
      <c r="AB401" s="2">
        <v>1</v>
      </c>
      <c r="AC401">
        <v>196.57</v>
      </c>
      <c r="AD401">
        <v>204.06</v>
      </c>
      <c r="AF401" s="2">
        <v>1</v>
      </c>
      <c r="AG401">
        <v>233.06</v>
      </c>
      <c r="AH401">
        <v>245.93</v>
      </c>
      <c r="AJ401" s="2">
        <v>1</v>
      </c>
      <c r="AN401" t="s">
        <v>373</v>
      </c>
      <c r="AR401" t="s">
        <v>373</v>
      </c>
      <c r="AS401" t="s">
        <v>16</v>
      </c>
      <c r="AT401" t="str">
        <f t="shared" si="6"/>
        <v>Monticello - 140AL</v>
      </c>
    </row>
    <row r="402" spans="1:46" x14ac:dyDescent="0.25">
      <c r="A402" t="s">
        <v>316</v>
      </c>
      <c r="B402" t="s">
        <v>256</v>
      </c>
      <c r="C402" t="s">
        <v>186</v>
      </c>
      <c r="D402" s="50">
        <v>46054</v>
      </c>
      <c r="E402" s="2">
        <v>0.88800000000000001</v>
      </c>
      <c r="F402" s="2">
        <v>0.9</v>
      </c>
      <c r="G402" t="s">
        <v>373</v>
      </c>
      <c r="H402" t="s">
        <v>373</v>
      </c>
      <c r="I402" s="2">
        <v>0.5</v>
      </c>
      <c r="J402" s="2">
        <v>0.5</v>
      </c>
      <c r="K402" s="2">
        <v>0</v>
      </c>
      <c r="L402" s="2">
        <v>0.5</v>
      </c>
      <c r="M402" s="51">
        <v>12919</v>
      </c>
      <c r="N402" s="51">
        <v>25074</v>
      </c>
      <c r="P402" s="51">
        <v>25074</v>
      </c>
      <c r="Q402" s="51">
        <v>419797</v>
      </c>
      <c r="R402" s="51">
        <v>862226</v>
      </c>
      <c r="T402" s="51">
        <v>862226</v>
      </c>
      <c r="U402" s="2">
        <v>3.1E-2</v>
      </c>
      <c r="V402" s="2">
        <v>2.9000000000000001E-2</v>
      </c>
      <c r="W402" t="s">
        <v>373</v>
      </c>
      <c r="X402" t="s">
        <v>373</v>
      </c>
      <c r="Y402">
        <v>384.48</v>
      </c>
      <c r="Z402">
        <v>384.74</v>
      </c>
      <c r="AB402" s="2">
        <v>1</v>
      </c>
      <c r="AC402">
        <v>211.56</v>
      </c>
      <c r="AD402">
        <v>204.06</v>
      </c>
      <c r="AF402" s="2">
        <v>1</v>
      </c>
      <c r="AG402">
        <v>258.79000000000002</v>
      </c>
      <c r="AH402">
        <v>245.93</v>
      </c>
      <c r="AJ402" s="2">
        <v>1</v>
      </c>
      <c r="AN402" t="s">
        <v>373</v>
      </c>
      <c r="AR402" t="s">
        <v>373</v>
      </c>
      <c r="AS402" t="s">
        <v>16</v>
      </c>
      <c r="AT402" t="str">
        <f t="shared" si="6"/>
        <v>Monticello - 140AL</v>
      </c>
    </row>
    <row r="403" spans="1:46" x14ac:dyDescent="0.25">
      <c r="A403" t="s">
        <v>316</v>
      </c>
      <c r="B403" t="s">
        <v>256</v>
      </c>
      <c r="C403" t="s">
        <v>208</v>
      </c>
      <c r="D403" s="50">
        <v>46023</v>
      </c>
      <c r="E403" s="2">
        <v>0.91600000000000004</v>
      </c>
      <c r="F403" s="2">
        <v>0.90600000000000003</v>
      </c>
      <c r="G403" t="s">
        <v>373</v>
      </c>
      <c r="H403" t="s">
        <v>373</v>
      </c>
      <c r="I403" s="2">
        <v>0</v>
      </c>
      <c r="J403" s="2">
        <v>0</v>
      </c>
      <c r="K403" s="2">
        <v>0</v>
      </c>
      <c r="L403" s="2">
        <v>0</v>
      </c>
      <c r="M403" s="51">
        <v>15983</v>
      </c>
      <c r="N403" s="51">
        <v>35030</v>
      </c>
      <c r="P403" s="51">
        <v>35030</v>
      </c>
      <c r="Q403" s="51">
        <v>243019</v>
      </c>
      <c r="R403" s="51">
        <v>480307</v>
      </c>
      <c r="T403" s="51">
        <v>480307</v>
      </c>
      <c r="U403" s="2">
        <v>6.6000000000000003E-2</v>
      </c>
      <c r="V403" s="2">
        <v>7.2999999999999995E-2</v>
      </c>
      <c r="W403" t="s">
        <v>373</v>
      </c>
      <c r="X403" t="s">
        <v>373</v>
      </c>
      <c r="Y403">
        <v>401.66</v>
      </c>
      <c r="Z403">
        <v>405.69</v>
      </c>
      <c r="AB403" s="2">
        <v>1</v>
      </c>
      <c r="AC403">
        <v>163.92</v>
      </c>
      <c r="AD403">
        <v>171.87</v>
      </c>
      <c r="AF403" s="2">
        <v>1</v>
      </c>
      <c r="AJ403" t="s">
        <v>373</v>
      </c>
      <c r="AN403" t="s">
        <v>373</v>
      </c>
      <c r="AO403">
        <v>103.3</v>
      </c>
      <c r="AP403">
        <v>108.83</v>
      </c>
      <c r="AR403" s="2">
        <v>1</v>
      </c>
      <c r="AS403" t="s">
        <v>16</v>
      </c>
      <c r="AT403" t="str">
        <f t="shared" si="6"/>
        <v>Peru - 2144AL</v>
      </c>
    </row>
    <row r="404" spans="1:46" x14ac:dyDescent="0.25">
      <c r="A404" t="s">
        <v>316</v>
      </c>
      <c r="B404" t="s">
        <v>256</v>
      </c>
      <c r="C404" t="s">
        <v>208</v>
      </c>
      <c r="D404" s="50">
        <v>46054</v>
      </c>
      <c r="E404" s="2">
        <v>0.89600000000000002</v>
      </c>
      <c r="F404" s="2">
        <v>0.90600000000000003</v>
      </c>
      <c r="G404" t="s">
        <v>373</v>
      </c>
      <c r="H404" t="s">
        <v>373</v>
      </c>
      <c r="I404" s="2">
        <v>0</v>
      </c>
      <c r="J404" s="2">
        <v>0</v>
      </c>
      <c r="K404" s="2">
        <v>0</v>
      </c>
      <c r="L404" s="2">
        <v>0</v>
      </c>
      <c r="M404" s="51">
        <v>19047</v>
      </c>
      <c r="N404" s="51">
        <v>35030</v>
      </c>
      <c r="P404" s="51">
        <v>35030</v>
      </c>
      <c r="Q404" s="51">
        <v>237288</v>
      </c>
      <c r="R404" s="51">
        <v>480307</v>
      </c>
      <c r="T404" s="51">
        <v>480307</v>
      </c>
      <c r="U404" s="2">
        <v>0.08</v>
      </c>
      <c r="V404" s="2">
        <v>7.2999999999999995E-2</v>
      </c>
      <c r="W404" t="s">
        <v>373</v>
      </c>
      <c r="X404" t="s">
        <v>373</v>
      </c>
      <c r="Y404">
        <v>409.72</v>
      </c>
      <c r="Z404">
        <v>405.69</v>
      </c>
      <c r="AB404" s="2">
        <v>1</v>
      </c>
      <c r="AC404">
        <v>179.81</v>
      </c>
      <c r="AD404">
        <v>171.87</v>
      </c>
      <c r="AF404" s="2">
        <v>1</v>
      </c>
      <c r="AJ404" t="s">
        <v>373</v>
      </c>
      <c r="AN404" t="s">
        <v>373</v>
      </c>
      <c r="AO404">
        <v>114.36</v>
      </c>
      <c r="AP404">
        <v>108.83</v>
      </c>
      <c r="AR404" s="2">
        <v>1</v>
      </c>
      <c r="AS404" t="s">
        <v>16</v>
      </c>
      <c r="AT404" t="str">
        <f t="shared" si="6"/>
        <v>Peru - 2144AL</v>
      </c>
    </row>
    <row r="405" spans="1:46" x14ac:dyDescent="0.25">
      <c r="A405" t="s">
        <v>316</v>
      </c>
      <c r="B405" t="s">
        <v>256</v>
      </c>
      <c r="C405" t="s">
        <v>221</v>
      </c>
      <c r="D405" s="50">
        <v>46023</v>
      </c>
      <c r="E405" s="2">
        <v>0.96499999999999997</v>
      </c>
      <c r="F405" s="2">
        <v>0.96699999999999997</v>
      </c>
      <c r="G405" t="s">
        <v>373</v>
      </c>
      <c r="H405" t="s">
        <v>373</v>
      </c>
      <c r="I405" s="2">
        <v>0</v>
      </c>
      <c r="J405" s="2">
        <v>0</v>
      </c>
      <c r="K405" s="2">
        <v>0</v>
      </c>
      <c r="L405" s="2">
        <v>0</v>
      </c>
      <c r="M405" s="51">
        <v>9393</v>
      </c>
      <c r="N405" s="51">
        <v>23074</v>
      </c>
      <c r="P405" s="51">
        <v>23074</v>
      </c>
      <c r="Q405" s="51">
        <v>279953</v>
      </c>
      <c r="R405" s="51">
        <v>559571</v>
      </c>
      <c r="T405" s="51">
        <v>559571</v>
      </c>
      <c r="U405" s="2">
        <v>3.4000000000000002E-2</v>
      </c>
      <c r="V405" s="2">
        <v>4.1000000000000002E-2</v>
      </c>
      <c r="W405" t="s">
        <v>373</v>
      </c>
      <c r="X405" t="s">
        <v>373</v>
      </c>
      <c r="Y405">
        <v>346.68</v>
      </c>
      <c r="Z405">
        <v>385.31</v>
      </c>
      <c r="AB405" s="2">
        <v>1</v>
      </c>
      <c r="AC405">
        <v>183.24</v>
      </c>
      <c r="AD405">
        <v>190.1</v>
      </c>
      <c r="AF405" s="2">
        <v>1</v>
      </c>
      <c r="AG405">
        <v>241.91</v>
      </c>
      <c r="AH405">
        <v>254.52</v>
      </c>
      <c r="AJ405" s="2">
        <v>1</v>
      </c>
      <c r="AN405" t="s">
        <v>373</v>
      </c>
      <c r="AR405" t="s">
        <v>373</v>
      </c>
      <c r="AS405" t="s">
        <v>16</v>
      </c>
      <c r="AT405" t="str">
        <f t="shared" si="6"/>
        <v>South Bend - 5169AL</v>
      </c>
    </row>
    <row r="406" spans="1:46" x14ac:dyDescent="0.25">
      <c r="A406" t="s">
        <v>316</v>
      </c>
      <c r="B406" t="s">
        <v>256</v>
      </c>
      <c r="C406" t="s">
        <v>221</v>
      </c>
      <c r="D406" s="50">
        <v>46054</v>
      </c>
      <c r="E406" s="2">
        <v>0.96799999999999997</v>
      </c>
      <c r="F406" s="2">
        <v>0.96699999999999997</v>
      </c>
      <c r="G406" t="s">
        <v>373</v>
      </c>
      <c r="H406" t="s">
        <v>373</v>
      </c>
      <c r="I406" s="2">
        <v>0</v>
      </c>
      <c r="J406" s="2">
        <v>0</v>
      </c>
      <c r="K406" s="2">
        <v>0</v>
      </c>
      <c r="L406" s="2">
        <v>0</v>
      </c>
      <c r="M406" s="51">
        <v>13681</v>
      </c>
      <c r="N406" s="51">
        <v>23074</v>
      </c>
      <c r="P406" s="51">
        <v>23074</v>
      </c>
      <c r="Q406" s="51">
        <v>279618</v>
      </c>
      <c r="R406" s="51">
        <v>559571</v>
      </c>
      <c r="T406" s="51">
        <v>559571</v>
      </c>
      <c r="U406" s="2">
        <v>4.9000000000000002E-2</v>
      </c>
      <c r="V406" s="2">
        <v>4.1000000000000002E-2</v>
      </c>
      <c r="W406" t="s">
        <v>373</v>
      </c>
      <c r="X406" t="s">
        <v>373</v>
      </c>
      <c r="Y406">
        <v>423.95</v>
      </c>
      <c r="Z406">
        <v>385.31</v>
      </c>
      <c r="AB406" s="2">
        <v>1</v>
      </c>
      <c r="AC406">
        <v>196.96</v>
      </c>
      <c r="AD406">
        <v>190.1</v>
      </c>
      <c r="AF406" s="2">
        <v>1</v>
      </c>
      <c r="AG406">
        <v>267.12</v>
      </c>
      <c r="AH406">
        <v>254.52</v>
      </c>
      <c r="AJ406" s="2">
        <v>1</v>
      </c>
      <c r="AN406" t="s">
        <v>373</v>
      </c>
      <c r="AR406" t="s">
        <v>373</v>
      </c>
      <c r="AS406" t="s">
        <v>16</v>
      </c>
      <c r="AT406" t="str">
        <f t="shared" si="6"/>
        <v>South Bend - 5169AL</v>
      </c>
    </row>
    <row r="407" spans="1:46" x14ac:dyDescent="0.25">
      <c r="A407" t="s">
        <v>316</v>
      </c>
      <c r="B407" t="s">
        <v>256</v>
      </c>
      <c r="C407" t="s">
        <v>237</v>
      </c>
      <c r="D407" s="50">
        <v>46023</v>
      </c>
      <c r="E407" s="2">
        <v>0.89</v>
      </c>
      <c r="F407" s="2">
        <v>0.89</v>
      </c>
      <c r="G407" t="s">
        <v>373</v>
      </c>
      <c r="H407" t="s">
        <v>373</v>
      </c>
      <c r="I407" s="2">
        <v>0</v>
      </c>
      <c r="J407" s="2">
        <v>0</v>
      </c>
      <c r="K407" s="2">
        <v>0</v>
      </c>
      <c r="L407" s="2">
        <v>0</v>
      </c>
      <c r="M407" s="51">
        <v>4755</v>
      </c>
      <c r="N407" s="51">
        <v>8927</v>
      </c>
      <c r="P407" s="51">
        <v>8927</v>
      </c>
      <c r="Q407" s="51">
        <v>257420</v>
      </c>
      <c r="R407" s="51">
        <v>515220</v>
      </c>
      <c r="T407" s="51">
        <v>515220</v>
      </c>
      <c r="U407" s="2">
        <v>1.7999999999999999E-2</v>
      </c>
      <c r="V407" s="2">
        <v>1.7000000000000001E-2</v>
      </c>
      <c r="W407" t="s">
        <v>373</v>
      </c>
      <c r="X407" t="s">
        <v>373</v>
      </c>
      <c r="Y407">
        <v>365.36</v>
      </c>
      <c r="Z407">
        <v>358.21</v>
      </c>
      <c r="AB407" s="2">
        <v>1</v>
      </c>
      <c r="AC407">
        <v>183.73</v>
      </c>
      <c r="AD407">
        <v>193.92</v>
      </c>
      <c r="AF407" s="2">
        <v>1</v>
      </c>
      <c r="AG407">
        <v>209.1</v>
      </c>
      <c r="AH407">
        <v>220.22</v>
      </c>
      <c r="AJ407" s="2">
        <v>1</v>
      </c>
      <c r="AN407" t="s">
        <v>373</v>
      </c>
      <c r="AR407" t="s">
        <v>373</v>
      </c>
      <c r="AS407" t="s">
        <v>16</v>
      </c>
      <c r="AT407" t="str">
        <f t="shared" si="6"/>
        <v>Wabash - 5170AL</v>
      </c>
    </row>
    <row r="408" spans="1:46" x14ac:dyDescent="0.25">
      <c r="A408" t="s">
        <v>316</v>
      </c>
      <c r="B408" t="s">
        <v>256</v>
      </c>
      <c r="C408" t="s">
        <v>237</v>
      </c>
      <c r="D408" s="50">
        <v>46054</v>
      </c>
      <c r="E408" s="2">
        <v>0.88900000000000001</v>
      </c>
      <c r="F408" s="2">
        <v>0.89</v>
      </c>
      <c r="G408" t="s">
        <v>373</v>
      </c>
      <c r="H408" t="s">
        <v>373</v>
      </c>
      <c r="I408" s="2">
        <v>0</v>
      </c>
      <c r="J408" s="2">
        <v>0</v>
      </c>
      <c r="K408" s="2">
        <v>0</v>
      </c>
      <c r="L408" s="2">
        <v>0</v>
      </c>
      <c r="M408" s="51">
        <v>4172</v>
      </c>
      <c r="N408" s="51">
        <v>8927</v>
      </c>
      <c r="P408" s="51">
        <v>8927</v>
      </c>
      <c r="Q408" s="51">
        <v>257800</v>
      </c>
      <c r="R408" s="51">
        <v>515220</v>
      </c>
      <c r="T408" s="51">
        <v>515220</v>
      </c>
      <c r="U408" s="2">
        <v>1.6E-2</v>
      </c>
      <c r="V408" s="2">
        <v>1.7000000000000001E-2</v>
      </c>
      <c r="W408" t="s">
        <v>373</v>
      </c>
      <c r="X408" t="s">
        <v>373</v>
      </c>
      <c r="Y408">
        <v>351.06</v>
      </c>
      <c r="Z408">
        <v>358.21</v>
      </c>
      <c r="AB408" s="2">
        <v>1</v>
      </c>
      <c r="AC408">
        <v>204.11</v>
      </c>
      <c r="AD408">
        <v>193.92</v>
      </c>
      <c r="AF408" s="2">
        <v>1</v>
      </c>
      <c r="AG408">
        <v>231.34</v>
      </c>
      <c r="AH408">
        <v>220.22</v>
      </c>
      <c r="AJ408" s="2">
        <v>1</v>
      </c>
      <c r="AN408" t="s">
        <v>373</v>
      </c>
      <c r="AR408" t="s">
        <v>373</v>
      </c>
      <c r="AS408" t="s">
        <v>16</v>
      </c>
      <c r="AT408" t="str">
        <f t="shared" si="6"/>
        <v>Wabash - 5170AL</v>
      </c>
    </row>
    <row r="409" spans="1:46" x14ac:dyDescent="0.25">
      <c r="A409" t="s">
        <v>316</v>
      </c>
      <c r="B409" t="s">
        <v>256</v>
      </c>
      <c r="C409" t="s">
        <v>240</v>
      </c>
      <c r="D409" s="50">
        <v>46023</v>
      </c>
      <c r="E409" s="2">
        <v>0.96099999999999997</v>
      </c>
      <c r="F409" s="2">
        <v>0.95799999999999996</v>
      </c>
      <c r="G409" t="s">
        <v>373</v>
      </c>
      <c r="H409" t="s">
        <v>373</v>
      </c>
      <c r="I409" s="2">
        <v>0</v>
      </c>
      <c r="J409" s="2">
        <v>0.5</v>
      </c>
      <c r="K409" s="2">
        <v>0</v>
      </c>
      <c r="L409" s="2">
        <v>0.5</v>
      </c>
      <c r="M409" s="51">
        <v>5260</v>
      </c>
      <c r="N409" s="51">
        <v>10239</v>
      </c>
      <c r="P409" s="51">
        <v>10239</v>
      </c>
      <c r="Q409" s="51">
        <v>266659</v>
      </c>
      <c r="R409" s="51">
        <v>521723</v>
      </c>
      <c r="T409" s="51">
        <v>521723</v>
      </c>
      <c r="U409" s="2">
        <v>0.02</v>
      </c>
      <c r="V409" s="2">
        <v>0.02</v>
      </c>
      <c r="W409" t="s">
        <v>373</v>
      </c>
      <c r="X409" t="s">
        <v>373</v>
      </c>
      <c r="Y409">
        <v>444.3</v>
      </c>
      <c r="Z409">
        <v>441.55</v>
      </c>
      <c r="AB409" s="2">
        <v>1</v>
      </c>
      <c r="AC409">
        <v>116.17</v>
      </c>
      <c r="AD409">
        <v>168.69</v>
      </c>
      <c r="AF409" s="2">
        <v>1</v>
      </c>
      <c r="AG409">
        <v>257.54000000000002</v>
      </c>
      <c r="AH409">
        <v>277.54000000000002</v>
      </c>
      <c r="AJ409" s="2">
        <v>1</v>
      </c>
      <c r="AN409" t="s">
        <v>373</v>
      </c>
      <c r="AR409" t="s">
        <v>373</v>
      </c>
      <c r="AS409" t="s">
        <v>16</v>
      </c>
      <c r="AT409" t="str">
        <f t="shared" si="6"/>
        <v>Warsaw - 302AL</v>
      </c>
    </row>
    <row r="410" spans="1:46" x14ac:dyDescent="0.25">
      <c r="A410" t="s">
        <v>316</v>
      </c>
      <c r="B410" t="s">
        <v>256</v>
      </c>
      <c r="C410" t="s">
        <v>240</v>
      </c>
      <c r="D410" s="50">
        <v>46054</v>
      </c>
      <c r="E410" s="2">
        <v>0.95399999999999996</v>
      </c>
      <c r="F410" s="2">
        <v>0.95799999999999996</v>
      </c>
      <c r="G410" t="s">
        <v>373</v>
      </c>
      <c r="H410" t="s">
        <v>373</v>
      </c>
      <c r="I410" s="2">
        <v>1</v>
      </c>
      <c r="J410" s="2">
        <v>0.5</v>
      </c>
      <c r="K410" s="2">
        <v>0</v>
      </c>
      <c r="L410" s="2">
        <v>0.5</v>
      </c>
      <c r="M410" s="51">
        <v>4979</v>
      </c>
      <c r="N410" s="51">
        <v>10239</v>
      </c>
      <c r="P410" s="51">
        <v>10239</v>
      </c>
      <c r="Q410" s="51">
        <v>255064</v>
      </c>
      <c r="R410" s="51">
        <v>521723</v>
      </c>
      <c r="T410" s="51">
        <v>521723</v>
      </c>
      <c r="U410" s="2">
        <v>0.02</v>
      </c>
      <c r="V410" s="2">
        <v>0.02</v>
      </c>
      <c r="W410" t="s">
        <v>373</v>
      </c>
      <c r="X410" t="s">
        <v>373</v>
      </c>
      <c r="Y410">
        <v>438.8</v>
      </c>
      <c r="Z410">
        <v>441.55</v>
      </c>
      <c r="AB410" s="2">
        <v>1</v>
      </c>
      <c r="AC410">
        <v>221.2</v>
      </c>
      <c r="AD410">
        <v>168.69</v>
      </c>
      <c r="AF410" s="2">
        <v>1</v>
      </c>
      <c r="AG410">
        <v>297.55</v>
      </c>
      <c r="AH410">
        <v>277.54000000000002</v>
      </c>
      <c r="AJ410" s="2">
        <v>1</v>
      </c>
      <c r="AN410" t="s">
        <v>373</v>
      </c>
      <c r="AR410" t="s">
        <v>373</v>
      </c>
      <c r="AS410" t="s">
        <v>16</v>
      </c>
      <c r="AT410" t="str">
        <f t="shared" si="6"/>
        <v>Warsaw - 302AL</v>
      </c>
    </row>
    <row r="411" spans="1:46" x14ac:dyDescent="0.25">
      <c r="A411" t="s">
        <v>316</v>
      </c>
      <c r="B411" t="s">
        <v>257</v>
      </c>
      <c r="C411" t="s">
        <v>28</v>
      </c>
      <c r="D411" s="50">
        <v>46023</v>
      </c>
      <c r="E411" s="2">
        <v>0.871</v>
      </c>
      <c r="F411" s="2">
        <v>0.86499999999999999</v>
      </c>
      <c r="G411" t="s">
        <v>373</v>
      </c>
      <c r="H411" t="s">
        <v>373</v>
      </c>
      <c r="I411" s="2">
        <v>0</v>
      </c>
      <c r="J411" s="2">
        <v>0</v>
      </c>
      <c r="K411" s="2">
        <v>0</v>
      </c>
      <c r="L411" s="2">
        <v>0</v>
      </c>
      <c r="M411" s="51">
        <v>0</v>
      </c>
      <c r="N411" s="51">
        <v>0</v>
      </c>
      <c r="P411" s="51">
        <v>0</v>
      </c>
      <c r="Q411" s="51">
        <v>378844</v>
      </c>
      <c r="R411" s="51">
        <v>750822</v>
      </c>
      <c r="T411" s="51">
        <v>750822</v>
      </c>
      <c r="U411" s="2">
        <v>0</v>
      </c>
      <c r="V411" s="2">
        <v>0</v>
      </c>
      <c r="W411" t="s">
        <v>373</v>
      </c>
      <c r="X411" t="s">
        <v>373</v>
      </c>
      <c r="AB411" t="s">
        <v>373</v>
      </c>
      <c r="AC411">
        <v>144.57</v>
      </c>
      <c r="AD411">
        <v>150.29</v>
      </c>
      <c r="AF411" s="2">
        <v>1</v>
      </c>
      <c r="AG411">
        <v>228.78</v>
      </c>
      <c r="AH411">
        <v>244.88</v>
      </c>
      <c r="AJ411" s="2">
        <v>1</v>
      </c>
      <c r="AN411" t="s">
        <v>373</v>
      </c>
      <c r="AR411" t="s">
        <v>373</v>
      </c>
      <c r="AS411" t="s">
        <v>16</v>
      </c>
      <c r="AT411" t="str">
        <f t="shared" si="6"/>
        <v>Bardstown - 233AL</v>
      </c>
    </row>
    <row r="412" spans="1:46" x14ac:dyDescent="0.25">
      <c r="A412" t="s">
        <v>316</v>
      </c>
      <c r="B412" t="s">
        <v>257</v>
      </c>
      <c r="C412" t="s">
        <v>28</v>
      </c>
      <c r="D412" s="50">
        <v>46054</v>
      </c>
      <c r="E412" s="2">
        <v>0.86</v>
      </c>
      <c r="F412" s="2">
        <v>0.86499999999999999</v>
      </c>
      <c r="G412" t="s">
        <v>373</v>
      </c>
      <c r="H412" t="s">
        <v>373</v>
      </c>
      <c r="I412" s="2">
        <v>0</v>
      </c>
      <c r="J412" s="2">
        <v>0</v>
      </c>
      <c r="K412" s="2">
        <v>0</v>
      </c>
      <c r="L412" s="2">
        <v>0</v>
      </c>
      <c r="M412" s="51">
        <v>0</v>
      </c>
      <c r="N412" s="51">
        <v>0</v>
      </c>
      <c r="P412" s="51">
        <v>0</v>
      </c>
      <c r="Q412" s="51">
        <v>371978</v>
      </c>
      <c r="R412" s="51">
        <v>750822</v>
      </c>
      <c r="T412" s="51">
        <v>750822</v>
      </c>
      <c r="U412" s="2">
        <v>0</v>
      </c>
      <c r="V412" s="2">
        <v>0</v>
      </c>
      <c r="W412" t="s">
        <v>373</v>
      </c>
      <c r="X412" t="s">
        <v>373</v>
      </c>
      <c r="AB412" t="s">
        <v>373</v>
      </c>
      <c r="AC412">
        <v>156</v>
      </c>
      <c r="AD412">
        <v>150.29</v>
      </c>
      <c r="AF412" s="2">
        <v>1</v>
      </c>
      <c r="AG412">
        <v>260.99</v>
      </c>
      <c r="AH412">
        <v>244.88</v>
      </c>
      <c r="AJ412" s="2">
        <v>1</v>
      </c>
      <c r="AN412" t="s">
        <v>373</v>
      </c>
      <c r="AR412" t="s">
        <v>373</v>
      </c>
      <c r="AS412" t="s">
        <v>16</v>
      </c>
      <c r="AT412" t="str">
        <f t="shared" si="6"/>
        <v>Bardstown - 233AL</v>
      </c>
    </row>
    <row r="413" spans="1:46" x14ac:dyDescent="0.25">
      <c r="A413" t="s">
        <v>316</v>
      </c>
      <c r="B413" t="s">
        <v>257</v>
      </c>
      <c r="C413" t="s">
        <v>84</v>
      </c>
      <c r="D413" s="50">
        <v>46023</v>
      </c>
      <c r="E413" s="2">
        <v>0.95099999999999996</v>
      </c>
      <c r="F413" s="2">
        <v>0.96199999999999997</v>
      </c>
      <c r="G413" t="s">
        <v>373</v>
      </c>
      <c r="H413" t="s">
        <v>373</v>
      </c>
      <c r="I413" s="2">
        <v>0</v>
      </c>
      <c r="J413" s="2">
        <v>0</v>
      </c>
      <c r="K413" s="2">
        <v>0</v>
      </c>
      <c r="L413" s="2">
        <v>0</v>
      </c>
      <c r="M413" s="51">
        <v>4252</v>
      </c>
      <c r="N413" s="51">
        <v>8505</v>
      </c>
      <c r="P413" s="51">
        <v>8505</v>
      </c>
      <c r="Q413" s="51">
        <v>193655</v>
      </c>
      <c r="R413" s="51">
        <v>389025</v>
      </c>
      <c r="T413" s="51">
        <v>389025</v>
      </c>
      <c r="U413" s="2">
        <v>2.1999999999999999E-2</v>
      </c>
      <c r="V413" s="2">
        <v>2.1999999999999999E-2</v>
      </c>
      <c r="W413" t="s">
        <v>373</v>
      </c>
      <c r="X413" t="s">
        <v>373</v>
      </c>
      <c r="Y413">
        <v>389.53</v>
      </c>
      <c r="Z413">
        <v>391.86</v>
      </c>
      <c r="AB413" s="2">
        <v>1</v>
      </c>
      <c r="AC413">
        <v>172.87</v>
      </c>
      <c r="AD413">
        <v>180.83</v>
      </c>
      <c r="AF413" s="2">
        <v>1</v>
      </c>
      <c r="AJ413" t="s">
        <v>373</v>
      </c>
      <c r="AK413">
        <v>85.45</v>
      </c>
      <c r="AL413">
        <v>90.03</v>
      </c>
      <c r="AN413" s="2">
        <v>1</v>
      </c>
      <c r="AR413" t="s">
        <v>373</v>
      </c>
      <c r="AS413" t="s">
        <v>16</v>
      </c>
      <c r="AT413" t="str">
        <f t="shared" si="6"/>
        <v>Cynthiana - 114AL</v>
      </c>
    </row>
    <row r="414" spans="1:46" x14ac:dyDescent="0.25">
      <c r="A414" t="s">
        <v>316</v>
      </c>
      <c r="B414" t="s">
        <v>257</v>
      </c>
      <c r="C414" t="s">
        <v>84</v>
      </c>
      <c r="D414" s="50">
        <v>46054</v>
      </c>
      <c r="E414" s="2">
        <v>0.97399999999999998</v>
      </c>
      <c r="F414" s="2">
        <v>0.96199999999999997</v>
      </c>
      <c r="G414" t="s">
        <v>373</v>
      </c>
      <c r="H414" t="s">
        <v>373</v>
      </c>
      <c r="I414" s="2">
        <v>0</v>
      </c>
      <c r="J414" s="2">
        <v>0</v>
      </c>
      <c r="K414" s="2">
        <v>0</v>
      </c>
      <c r="L414" s="2">
        <v>0</v>
      </c>
      <c r="M414" s="51">
        <v>4252</v>
      </c>
      <c r="N414" s="51">
        <v>8505</v>
      </c>
      <c r="P414" s="51">
        <v>8505</v>
      </c>
      <c r="Q414" s="51">
        <v>195369</v>
      </c>
      <c r="R414" s="51">
        <v>389025</v>
      </c>
      <c r="T414" s="51">
        <v>389025</v>
      </c>
      <c r="U414" s="2">
        <v>2.1999999999999999E-2</v>
      </c>
      <c r="V414" s="2">
        <v>2.1999999999999999E-2</v>
      </c>
      <c r="W414" t="s">
        <v>373</v>
      </c>
      <c r="X414" t="s">
        <v>373</v>
      </c>
      <c r="Y414">
        <v>394.2</v>
      </c>
      <c r="Z414">
        <v>391.86</v>
      </c>
      <c r="AB414" s="2">
        <v>1</v>
      </c>
      <c r="AC414">
        <v>188.8</v>
      </c>
      <c r="AD414">
        <v>180.83</v>
      </c>
      <c r="AF414" s="2">
        <v>1</v>
      </c>
      <c r="AJ414" t="s">
        <v>373</v>
      </c>
      <c r="AK414">
        <v>94.61</v>
      </c>
      <c r="AL414">
        <v>90.03</v>
      </c>
      <c r="AN414" s="2">
        <v>1</v>
      </c>
      <c r="AR414" t="s">
        <v>373</v>
      </c>
      <c r="AS414" t="s">
        <v>16</v>
      </c>
      <c r="AT414" t="str">
        <f t="shared" si="6"/>
        <v>Cynthiana - 114AL</v>
      </c>
    </row>
    <row r="415" spans="1:46" x14ac:dyDescent="0.25">
      <c r="A415" t="s">
        <v>316</v>
      </c>
      <c r="B415" t="s">
        <v>257</v>
      </c>
      <c r="C415" t="s">
        <v>85</v>
      </c>
      <c r="D415" s="50">
        <v>46023</v>
      </c>
      <c r="E415" s="2">
        <v>0.77</v>
      </c>
      <c r="F415" s="2">
        <v>0.76400000000000001</v>
      </c>
      <c r="G415" t="s">
        <v>373</v>
      </c>
      <c r="H415" t="s">
        <v>373</v>
      </c>
      <c r="I415" s="2">
        <v>0</v>
      </c>
      <c r="J415" s="2">
        <v>0</v>
      </c>
      <c r="K415" s="2">
        <v>0</v>
      </c>
      <c r="L415" s="2">
        <v>0</v>
      </c>
      <c r="M415" s="51">
        <v>1420</v>
      </c>
      <c r="N415" s="51">
        <v>2780</v>
      </c>
      <c r="P415" s="51">
        <v>2780</v>
      </c>
      <c r="Q415" s="51">
        <v>353006</v>
      </c>
      <c r="R415" s="51">
        <v>699376</v>
      </c>
      <c r="T415" s="51">
        <v>699376</v>
      </c>
      <c r="U415" s="2">
        <v>4.0000000000000001E-3</v>
      </c>
      <c r="V415" s="2">
        <v>4.0000000000000001E-3</v>
      </c>
      <c r="W415" t="s">
        <v>373</v>
      </c>
      <c r="X415" t="s">
        <v>373</v>
      </c>
      <c r="AB415" t="s">
        <v>373</v>
      </c>
      <c r="AC415">
        <v>171.53</v>
      </c>
      <c r="AD415">
        <v>181.16</v>
      </c>
      <c r="AF415" s="2">
        <v>1</v>
      </c>
      <c r="AG415">
        <v>199.25</v>
      </c>
      <c r="AH415">
        <v>221.23</v>
      </c>
      <c r="AJ415" s="2">
        <v>1</v>
      </c>
      <c r="AN415" t="s">
        <v>373</v>
      </c>
      <c r="AR415" t="s">
        <v>373</v>
      </c>
      <c r="AS415" t="s">
        <v>16</v>
      </c>
      <c r="AT415" t="str">
        <f t="shared" si="6"/>
        <v>Danville - 231AL</v>
      </c>
    </row>
    <row r="416" spans="1:46" x14ac:dyDescent="0.25">
      <c r="A416" t="s">
        <v>316</v>
      </c>
      <c r="B416" t="s">
        <v>257</v>
      </c>
      <c r="C416" t="s">
        <v>85</v>
      </c>
      <c r="D416" s="50">
        <v>46054</v>
      </c>
      <c r="E416" s="2">
        <v>0.75700000000000001</v>
      </c>
      <c r="F416" s="2">
        <v>0.76400000000000001</v>
      </c>
      <c r="G416" t="s">
        <v>373</v>
      </c>
      <c r="H416" t="s">
        <v>373</v>
      </c>
      <c r="I416" s="2">
        <v>0</v>
      </c>
      <c r="J416" s="2">
        <v>0</v>
      </c>
      <c r="K416" s="2">
        <v>0</v>
      </c>
      <c r="L416" s="2">
        <v>0</v>
      </c>
      <c r="M416" s="51">
        <v>1360</v>
      </c>
      <c r="N416" s="51">
        <v>2780</v>
      </c>
      <c r="P416" s="51">
        <v>2780</v>
      </c>
      <c r="Q416" s="51">
        <v>346370</v>
      </c>
      <c r="R416" s="51">
        <v>699376</v>
      </c>
      <c r="T416" s="51">
        <v>699376</v>
      </c>
      <c r="U416" s="2">
        <v>4.0000000000000001E-3</v>
      </c>
      <c r="V416" s="2">
        <v>4.0000000000000001E-3</v>
      </c>
      <c r="W416" t="s">
        <v>373</v>
      </c>
      <c r="X416" t="s">
        <v>373</v>
      </c>
      <c r="AB416" t="s">
        <v>373</v>
      </c>
      <c r="AC416">
        <v>190.79</v>
      </c>
      <c r="AD416">
        <v>181.16</v>
      </c>
      <c r="AF416" s="2">
        <v>1</v>
      </c>
      <c r="AG416">
        <v>243.21</v>
      </c>
      <c r="AH416">
        <v>221.23</v>
      </c>
      <c r="AJ416" s="2">
        <v>1</v>
      </c>
      <c r="AN416" t="s">
        <v>373</v>
      </c>
      <c r="AR416" t="s">
        <v>373</v>
      </c>
      <c r="AS416" t="s">
        <v>16</v>
      </c>
      <c r="AT416" t="str">
        <f t="shared" si="6"/>
        <v>Danville - 231AL</v>
      </c>
    </row>
    <row r="417" spans="1:46" x14ac:dyDescent="0.25">
      <c r="A417" t="s">
        <v>316</v>
      </c>
      <c r="B417" t="s">
        <v>257</v>
      </c>
      <c r="C417" t="s">
        <v>128</v>
      </c>
      <c r="D417" s="50">
        <v>46023</v>
      </c>
      <c r="E417" s="2">
        <v>0.92300000000000004</v>
      </c>
      <c r="F417" s="2">
        <v>0.94899999999999995</v>
      </c>
      <c r="G417" t="s">
        <v>373</v>
      </c>
      <c r="H417" t="s">
        <v>373</v>
      </c>
      <c r="I417" s="2">
        <v>0</v>
      </c>
      <c r="J417" s="2">
        <v>0.25</v>
      </c>
      <c r="K417" s="2">
        <v>0</v>
      </c>
      <c r="L417" s="2">
        <v>0.25</v>
      </c>
      <c r="M417" s="51">
        <v>1360</v>
      </c>
      <c r="N417" s="51">
        <v>5448</v>
      </c>
      <c r="P417" s="51">
        <v>5448</v>
      </c>
      <c r="Q417" s="51">
        <v>154713</v>
      </c>
      <c r="R417" s="51">
        <v>318382</v>
      </c>
      <c r="T417" s="51">
        <v>318382</v>
      </c>
      <c r="U417" s="2">
        <v>8.9999999999999993E-3</v>
      </c>
      <c r="V417" s="2">
        <v>1.7000000000000001E-2</v>
      </c>
      <c r="W417" t="s">
        <v>373</v>
      </c>
      <c r="X417" t="s">
        <v>373</v>
      </c>
      <c r="Y417">
        <v>416.84</v>
      </c>
      <c r="Z417">
        <v>418.64</v>
      </c>
      <c r="AB417" s="2">
        <v>1</v>
      </c>
      <c r="AC417">
        <v>178.57</v>
      </c>
      <c r="AD417">
        <v>185.98</v>
      </c>
      <c r="AF417" s="2">
        <v>1</v>
      </c>
      <c r="AJ417" t="s">
        <v>373</v>
      </c>
      <c r="AK417">
        <v>113.13</v>
      </c>
      <c r="AL417">
        <v>123.21</v>
      </c>
      <c r="AN417" s="2">
        <v>1</v>
      </c>
      <c r="AP417">
        <v>113.73</v>
      </c>
      <c r="AR417" s="2">
        <v>1</v>
      </c>
      <c r="AS417" t="s">
        <v>16</v>
      </c>
      <c r="AT417" t="str">
        <f t="shared" si="6"/>
        <v>Harrodsburg - 2187AL</v>
      </c>
    </row>
    <row r="418" spans="1:46" x14ac:dyDescent="0.25">
      <c r="A418" t="s">
        <v>316</v>
      </c>
      <c r="B418" t="s">
        <v>257</v>
      </c>
      <c r="C418" t="s">
        <v>128</v>
      </c>
      <c r="D418" s="50">
        <v>46054</v>
      </c>
      <c r="E418" s="2">
        <v>0.97699999999999998</v>
      </c>
      <c r="F418" s="2">
        <v>0.94899999999999995</v>
      </c>
      <c r="G418" t="s">
        <v>373</v>
      </c>
      <c r="H418" t="s">
        <v>373</v>
      </c>
      <c r="I418" s="2">
        <v>0.25</v>
      </c>
      <c r="J418" s="2">
        <v>0.25</v>
      </c>
      <c r="K418" s="2">
        <v>0</v>
      </c>
      <c r="L418" s="2">
        <v>0.25</v>
      </c>
      <c r="M418" s="51">
        <v>4088</v>
      </c>
      <c r="N418" s="51">
        <v>5448</v>
      </c>
      <c r="P418" s="51">
        <v>5448</v>
      </c>
      <c r="Q418" s="51">
        <v>163670</v>
      </c>
      <c r="R418" s="51">
        <v>318382</v>
      </c>
      <c r="T418" s="51">
        <v>318382</v>
      </c>
      <c r="U418" s="2">
        <v>2.5000000000000001E-2</v>
      </c>
      <c r="V418" s="2">
        <v>1.7000000000000001E-2</v>
      </c>
      <c r="W418" t="s">
        <v>373</v>
      </c>
      <c r="X418" t="s">
        <v>373</v>
      </c>
      <c r="Y418">
        <v>420.43</v>
      </c>
      <c r="Z418">
        <v>418.64</v>
      </c>
      <c r="AB418" s="2">
        <v>1</v>
      </c>
      <c r="AC418">
        <v>193.39</v>
      </c>
      <c r="AD418">
        <v>185.98</v>
      </c>
      <c r="AF418" s="2">
        <v>1</v>
      </c>
      <c r="AJ418" t="s">
        <v>373</v>
      </c>
      <c r="AK418">
        <v>133.30000000000001</v>
      </c>
      <c r="AL418">
        <v>123.21</v>
      </c>
      <c r="AN418" s="2">
        <v>1</v>
      </c>
      <c r="AO418">
        <v>113.73</v>
      </c>
      <c r="AP418">
        <v>113.73</v>
      </c>
      <c r="AR418" s="2">
        <v>1</v>
      </c>
      <c r="AS418" t="s">
        <v>16</v>
      </c>
      <c r="AT418" t="str">
        <f t="shared" si="6"/>
        <v>Harrodsburg - 2187AL</v>
      </c>
    </row>
    <row r="419" spans="1:46" x14ac:dyDescent="0.25">
      <c r="A419" t="s">
        <v>316</v>
      </c>
      <c r="B419" t="s">
        <v>257</v>
      </c>
      <c r="C419" t="s">
        <v>142</v>
      </c>
      <c r="D419" s="50">
        <v>46023</v>
      </c>
      <c r="E419" s="2">
        <v>0.97499999999999998</v>
      </c>
      <c r="F419" s="2">
        <v>0.96899999999999997</v>
      </c>
      <c r="G419" t="s">
        <v>373</v>
      </c>
      <c r="H419" t="s">
        <v>373</v>
      </c>
      <c r="I419" s="2">
        <v>0</v>
      </c>
      <c r="J419" s="2">
        <v>0</v>
      </c>
      <c r="K419" s="2">
        <v>0</v>
      </c>
      <c r="L419" s="2">
        <v>0</v>
      </c>
      <c r="M419" s="51">
        <v>0</v>
      </c>
      <c r="N419" s="51">
        <v>0</v>
      </c>
      <c r="P419" s="51">
        <v>0</v>
      </c>
      <c r="Q419" s="51">
        <v>258187</v>
      </c>
      <c r="R419" s="51">
        <v>509124</v>
      </c>
      <c r="T419" s="51">
        <v>509124</v>
      </c>
      <c r="U419" s="2">
        <v>0</v>
      </c>
      <c r="V419" s="2">
        <v>0</v>
      </c>
      <c r="W419" t="s">
        <v>373</v>
      </c>
      <c r="X419" t="s">
        <v>373</v>
      </c>
      <c r="Y419">
        <v>474.79</v>
      </c>
      <c r="Z419">
        <v>472.18</v>
      </c>
      <c r="AB419" s="2">
        <v>1</v>
      </c>
      <c r="AC419">
        <v>211.21</v>
      </c>
      <c r="AD419">
        <v>221.94</v>
      </c>
      <c r="AF419" s="2">
        <v>1</v>
      </c>
      <c r="AG419">
        <v>251.41</v>
      </c>
      <c r="AH419">
        <v>263.36</v>
      </c>
      <c r="AJ419" s="2">
        <v>1</v>
      </c>
      <c r="AK419">
        <v>125.27</v>
      </c>
      <c r="AL419">
        <v>130.1</v>
      </c>
      <c r="AN419" s="2">
        <v>1</v>
      </c>
      <c r="AR419" t="s">
        <v>373</v>
      </c>
      <c r="AS419" t="s">
        <v>16</v>
      </c>
      <c r="AT419" t="str">
        <f t="shared" si="6"/>
        <v>La Grange - 177AL</v>
      </c>
    </row>
    <row r="420" spans="1:46" x14ac:dyDescent="0.25">
      <c r="A420" t="s">
        <v>316</v>
      </c>
      <c r="B420" t="s">
        <v>257</v>
      </c>
      <c r="C420" t="s">
        <v>142</v>
      </c>
      <c r="D420" s="50">
        <v>46054</v>
      </c>
      <c r="E420" s="2">
        <v>0.96099999999999997</v>
      </c>
      <c r="F420" s="2">
        <v>0.96899999999999997</v>
      </c>
      <c r="G420" t="s">
        <v>373</v>
      </c>
      <c r="H420" t="s">
        <v>373</v>
      </c>
      <c r="I420" s="2">
        <v>0</v>
      </c>
      <c r="J420" s="2">
        <v>0</v>
      </c>
      <c r="K420" s="2">
        <v>0</v>
      </c>
      <c r="L420" s="2">
        <v>0</v>
      </c>
      <c r="M420" s="51">
        <v>0</v>
      </c>
      <c r="N420" s="51">
        <v>0</v>
      </c>
      <c r="P420" s="51">
        <v>0</v>
      </c>
      <c r="Q420" s="51">
        <v>250936</v>
      </c>
      <c r="R420" s="51">
        <v>509124</v>
      </c>
      <c r="T420" s="51">
        <v>509124</v>
      </c>
      <c r="U420" s="2">
        <v>0</v>
      </c>
      <c r="V420" s="2">
        <v>0</v>
      </c>
      <c r="W420" t="s">
        <v>373</v>
      </c>
      <c r="X420" t="s">
        <v>373</v>
      </c>
      <c r="Y420">
        <v>469.57</v>
      </c>
      <c r="Z420">
        <v>472.18</v>
      </c>
      <c r="AB420" s="2">
        <v>1</v>
      </c>
      <c r="AC420">
        <v>232.68</v>
      </c>
      <c r="AD420">
        <v>221.94</v>
      </c>
      <c r="AF420" s="2">
        <v>1</v>
      </c>
      <c r="AG420">
        <v>275.32</v>
      </c>
      <c r="AH420">
        <v>263.36</v>
      </c>
      <c r="AJ420" s="2">
        <v>1</v>
      </c>
      <c r="AK420">
        <v>134.91999999999999</v>
      </c>
      <c r="AL420">
        <v>130.1</v>
      </c>
      <c r="AN420" s="2">
        <v>1</v>
      </c>
      <c r="AR420" t="s">
        <v>373</v>
      </c>
      <c r="AS420" t="s">
        <v>16</v>
      </c>
      <c r="AT420" t="str">
        <f t="shared" si="6"/>
        <v>La Grange - 177AL</v>
      </c>
    </row>
    <row r="421" spans="1:46" x14ac:dyDescent="0.25">
      <c r="A421" t="s">
        <v>316</v>
      </c>
      <c r="B421" t="s">
        <v>257</v>
      </c>
      <c r="C421" t="s">
        <v>156</v>
      </c>
      <c r="D421" s="50">
        <v>46023</v>
      </c>
      <c r="E421" s="2">
        <v>0.90900000000000003</v>
      </c>
      <c r="F421" s="2">
        <v>0.90400000000000003</v>
      </c>
      <c r="G421" t="s">
        <v>373</v>
      </c>
      <c r="H421" t="s">
        <v>373</v>
      </c>
      <c r="I421" s="2">
        <v>0</v>
      </c>
      <c r="J421" s="2">
        <v>0</v>
      </c>
      <c r="K421" s="2">
        <v>0</v>
      </c>
      <c r="L421" s="2">
        <v>0</v>
      </c>
      <c r="M421" s="51">
        <v>0</v>
      </c>
      <c r="N421" s="51">
        <v>0</v>
      </c>
      <c r="P421" s="51">
        <v>0</v>
      </c>
      <c r="Q421" s="51">
        <v>180456</v>
      </c>
      <c r="R421" s="51">
        <v>357379</v>
      </c>
      <c r="T421" s="51">
        <v>357379</v>
      </c>
      <c r="U421" s="2">
        <v>0</v>
      </c>
      <c r="V421" s="2">
        <v>0</v>
      </c>
      <c r="W421" t="s">
        <v>373</v>
      </c>
      <c r="X421" t="s">
        <v>373</v>
      </c>
      <c r="Y421">
        <v>410.28</v>
      </c>
      <c r="Z421">
        <v>418.33</v>
      </c>
      <c r="AB421" s="2">
        <v>1</v>
      </c>
      <c r="AC421">
        <v>188.85</v>
      </c>
      <c r="AD421">
        <v>198.73</v>
      </c>
      <c r="AF421" s="2">
        <v>1</v>
      </c>
      <c r="AG421">
        <v>249.6</v>
      </c>
      <c r="AH421">
        <v>263.33</v>
      </c>
      <c r="AJ421" s="2">
        <v>1</v>
      </c>
      <c r="AK421">
        <v>115.55</v>
      </c>
      <c r="AL421">
        <v>121.74</v>
      </c>
      <c r="AN421" s="2">
        <v>1</v>
      </c>
      <c r="AR421" t="s">
        <v>373</v>
      </c>
      <c r="AS421" t="s">
        <v>16</v>
      </c>
      <c r="AT421" t="str">
        <f t="shared" si="6"/>
        <v>Lexington WC - 2148AL</v>
      </c>
    </row>
    <row r="422" spans="1:46" x14ac:dyDescent="0.25">
      <c r="A422" t="s">
        <v>316</v>
      </c>
      <c r="B422" t="s">
        <v>257</v>
      </c>
      <c r="C422" t="s">
        <v>156</v>
      </c>
      <c r="D422" s="50">
        <v>46054</v>
      </c>
      <c r="E422" s="2">
        <v>0.89800000000000002</v>
      </c>
      <c r="F422" s="2">
        <v>0.90400000000000003</v>
      </c>
      <c r="G422" t="s">
        <v>373</v>
      </c>
      <c r="H422" t="s">
        <v>373</v>
      </c>
      <c r="I422" s="2">
        <v>0</v>
      </c>
      <c r="J422" s="2">
        <v>0</v>
      </c>
      <c r="K422" s="2">
        <v>0</v>
      </c>
      <c r="L422" s="2">
        <v>0</v>
      </c>
      <c r="M422" s="51">
        <v>0</v>
      </c>
      <c r="N422" s="51">
        <v>0</v>
      </c>
      <c r="P422" s="51">
        <v>0</v>
      </c>
      <c r="Q422" s="51">
        <v>176923</v>
      </c>
      <c r="R422" s="51">
        <v>357379</v>
      </c>
      <c r="T422" s="51">
        <v>357379</v>
      </c>
      <c r="U422" s="2">
        <v>0</v>
      </c>
      <c r="V422" s="2">
        <v>0</v>
      </c>
      <c r="W422" t="s">
        <v>373</v>
      </c>
      <c r="X422" t="s">
        <v>373</v>
      </c>
      <c r="Y422">
        <v>426.38</v>
      </c>
      <c r="Z422">
        <v>418.33</v>
      </c>
      <c r="AB422" s="2">
        <v>1</v>
      </c>
      <c r="AC422">
        <v>208.61</v>
      </c>
      <c r="AD422">
        <v>198.73</v>
      </c>
      <c r="AF422" s="2">
        <v>1</v>
      </c>
      <c r="AG422">
        <v>277.06</v>
      </c>
      <c r="AH422">
        <v>263.33</v>
      </c>
      <c r="AJ422" s="2">
        <v>1</v>
      </c>
      <c r="AK422">
        <v>127.93</v>
      </c>
      <c r="AL422">
        <v>121.74</v>
      </c>
      <c r="AN422" s="2">
        <v>1</v>
      </c>
      <c r="AR422" t="s">
        <v>373</v>
      </c>
      <c r="AS422" t="s">
        <v>16</v>
      </c>
      <c r="AT422" t="str">
        <f t="shared" si="6"/>
        <v>Lexington WC - 2148AL</v>
      </c>
    </row>
    <row r="423" spans="1:46" x14ac:dyDescent="0.25">
      <c r="A423" t="s">
        <v>316</v>
      </c>
      <c r="B423" t="s">
        <v>257</v>
      </c>
      <c r="C423" t="s">
        <v>157</v>
      </c>
      <c r="D423" s="50">
        <v>46023</v>
      </c>
      <c r="E423" s="2">
        <v>0.92600000000000005</v>
      </c>
      <c r="F423" s="2">
        <v>0.93</v>
      </c>
      <c r="G423" t="s">
        <v>373</v>
      </c>
      <c r="H423" t="s">
        <v>373</v>
      </c>
      <c r="I423" s="2">
        <v>0</v>
      </c>
      <c r="J423" s="2">
        <v>0.2</v>
      </c>
      <c r="K423" s="2">
        <v>0</v>
      </c>
      <c r="L423" s="2">
        <v>0.2</v>
      </c>
      <c r="M423" s="51">
        <v>0</v>
      </c>
      <c r="N423" s="51">
        <v>0</v>
      </c>
      <c r="P423" s="51">
        <v>0</v>
      </c>
      <c r="Q423" s="51">
        <v>151369</v>
      </c>
      <c r="R423" s="51">
        <v>296506</v>
      </c>
      <c r="T423" s="51">
        <v>296506</v>
      </c>
      <c r="U423" s="2">
        <v>0</v>
      </c>
      <c r="V423" s="2">
        <v>0</v>
      </c>
      <c r="W423" t="s">
        <v>373</v>
      </c>
      <c r="X423" t="s">
        <v>373</v>
      </c>
      <c r="Y423">
        <v>453.81</v>
      </c>
      <c r="Z423">
        <v>455.52</v>
      </c>
      <c r="AB423" s="2">
        <v>1</v>
      </c>
      <c r="AC423">
        <v>204.98</v>
      </c>
      <c r="AD423">
        <v>213.5</v>
      </c>
      <c r="AF423" s="2">
        <v>1</v>
      </c>
      <c r="AJ423" t="s">
        <v>373</v>
      </c>
      <c r="AN423" t="s">
        <v>373</v>
      </c>
      <c r="AR423" t="s">
        <v>373</v>
      </c>
      <c r="AS423" t="s">
        <v>16</v>
      </c>
      <c r="AT423" t="str">
        <f t="shared" si="6"/>
        <v>Lexington WF - 2147AL</v>
      </c>
    </row>
    <row r="424" spans="1:46" x14ac:dyDescent="0.25">
      <c r="A424" t="s">
        <v>316</v>
      </c>
      <c r="B424" t="s">
        <v>257</v>
      </c>
      <c r="C424" t="s">
        <v>157</v>
      </c>
      <c r="D424" s="50">
        <v>46054</v>
      </c>
      <c r="E424" s="2">
        <v>0.93500000000000005</v>
      </c>
      <c r="F424" s="2">
        <v>0.93</v>
      </c>
      <c r="G424" t="s">
        <v>373</v>
      </c>
      <c r="H424" t="s">
        <v>373</v>
      </c>
      <c r="I424" s="2">
        <v>0.25</v>
      </c>
      <c r="J424" s="2">
        <v>0.2</v>
      </c>
      <c r="K424" s="2">
        <v>0</v>
      </c>
      <c r="L424" s="2">
        <v>0.2</v>
      </c>
      <c r="M424" s="51">
        <v>0</v>
      </c>
      <c r="N424" s="51">
        <v>0</v>
      </c>
      <c r="P424" s="51">
        <v>0</v>
      </c>
      <c r="Q424" s="51">
        <v>145137</v>
      </c>
      <c r="R424" s="51">
        <v>296506</v>
      </c>
      <c r="T424" s="51">
        <v>296506</v>
      </c>
      <c r="U424" s="2">
        <v>0</v>
      </c>
      <c r="V424" s="2">
        <v>0</v>
      </c>
      <c r="W424" t="s">
        <v>373</v>
      </c>
      <c r="X424" t="s">
        <v>373</v>
      </c>
      <c r="Y424">
        <v>457.23</v>
      </c>
      <c r="Z424">
        <v>455.52</v>
      </c>
      <c r="AB424" s="2">
        <v>1</v>
      </c>
      <c r="AC424">
        <v>222.02</v>
      </c>
      <c r="AD424">
        <v>213.5</v>
      </c>
      <c r="AF424" s="2">
        <v>1</v>
      </c>
      <c r="AJ424" t="s">
        <v>373</v>
      </c>
      <c r="AN424" t="s">
        <v>373</v>
      </c>
      <c r="AR424" t="s">
        <v>373</v>
      </c>
      <c r="AS424" t="s">
        <v>16</v>
      </c>
      <c r="AT424" t="str">
        <f t="shared" si="6"/>
        <v>Lexington WF - 2147AL</v>
      </c>
    </row>
    <row r="425" spans="1:46" x14ac:dyDescent="0.25">
      <c r="A425" t="s">
        <v>316</v>
      </c>
      <c r="B425" t="s">
        <v>257</v>
      </c>
      <c r="C425" t="s">
        <v>159</v>
      </c>
      <c r="D425" s="50">
        <v>46023</v>
      </c>
      <c r="E425" s="2">
        <v>0.81399999999999995</v>
      </c>
      <c r="F425" s="2">
        <v>0.85299999999999998</v>
      </c>
      <c r="G425" t="s">
        <v>373</v>
      </c>
      <c r="H425" t="s">
        <v>373</v>
      </c>
      <c r="I425" s="2">
        <v>0</v>
      </c>
      <c r="J425" s="2">
        <v>0</v>
      </c>
      <c r="K425" s="2">
        <v>0</v>
      </c>
      <c r="L425" s="2">
        <v>0</v>
      </c>
      <c r="M425" s="51">
        <v>0</v>
      </c>
      <c r="N425" s="51">
        <v>500</v>
      </c>
      <c r="P425" s="51">
        <v>500</v>
      </c>
      <c r="Q425" s="51">
        <v>303113</v>
      </c>
      <c r="R425" s="51">
        <v>623032</v>
      </c>
      <c r="T425" s="51">
        <v>623032</v>
      </c>
      <c r="U425" s="2">
        <v>0</v>
      </c>
      <c r="V425" s="2">
        <v>1E-3</v>
      </c>
      <c r="W425" t="s">
        <v>373</v>
      </c>
      <c r="X425" t="s">
        <v>373</v>
      </c>
      <c r="Y425">
        <v>472.67</v>
      </c>
      <c r="Z425">
        <v>471.61</v>
      </c>
      <c r="AB425" s="2">
        <v>1</v>
      </c>
      <c r="AC425">
        <v>171.52</v>
      </c>
      <c r="AD425">
        <v>176.17</v>
      </c>
      <c r="AF425" s="2">
        <v>1</v>
      </c>
      <c r="AG425">
        <v>242.4</v>
      </c>
      <c r="AH425">
        <v>255.51</v>
      </c>
      <c r="AJ425" s="2">
        <v>1</v>
      </c>
      <c r="AN425" t="s">
        <v>373</v>
      </c>
      <c r="AR425" t="s">
        <v>373</v>
      </c>
      <c r="AS425" t="s">
        <v>16</v>
      </c>
      <c r="AT425" t="str">
        <f t="shared" si="6"/>
        <v>Lexington WH - 2146AL</v>
      </c>
    </row>
    <row r="426" spans="1:46" x14ac:dyDescent="0.25">
      <c r="A426" t="s">
        <v>316</v>
      </c>
      <c r="B426" t="s">
        <v>257</v>
      </c>
      <c r="C426" t="s">
        <v>159</v>
      </c>
      <c r="D426" s="50">
        <v>46054</v>
      </c>
      <c r="E426" s="2">
        <v>0.89500000000000002</v>
      </c>
      <c r="F426" s="2">
        <v>0.85299999999999998</v>
      </c>
      <c r="G426" t="s">
        <v>373</v>
      </c>
      <c r="H426" t="s">
        <v>373</v>
      </c>
      <c r="I426" s="2">
        <v>0</v>
      </c>
      <c r="J426" s="2">
        <v>0</v>
      </c>
      <c r="K426" s="2">
        <v>0</v>
      </c>
      <c r="L426" s="2">
        <v>0</v>
      </c>
      <c r="M426" s="51">
        <v>500</v>
      </c>
      <c r="N426" s="51">
        <v>500</v>
      </c>
      <c r="P426" s="51">
        <v>500</v>
      </c>
      <c r="Q426" s="51">
        <v>319919</v>
      </c>
      <c r="R426" s="51">
        <v>623032</v>
      </c>
      <c r="T426" s="51">
        <v>623032</v>
      </c>
      <c r="U426" s="2">
        <v>2E-3</v>
      </c>
      <c r="V426" s="2">
        <v>1E-3</v>
      </c>
      <c r="W426" t="s">
        <v>373</v>
      </c>
      <c r="X426" t="s">
        <v>373</v>
      </c>
      <c r="Y426">
        <v>470.55</v>
      </c>
      <c r="Z426">
        <v>471.61</v>
      </c>
      <c r="AB426" s="2">
        <v>1</v>
      </c>
      <c r="AC426">
        <v>180.82</v>
      </c>
      <c r="AD426">
        <v>176.17</v>
      </c>
      <c r="AF426" s="2">
        <v>1</v>
      </c>
      <c r="AG426">
        <v>268.61</v>
      </c>
      <c r="AH426">
        <v>255.51</v>
      </c>
      <c r="AJ426" s="2">
        <v>1</v>
      </c>
      <c r="AN426" t="s">
        <v>373</v>
      </c>
      <c r="AR426" t="s">
        <v>373</v>
      </c>
      <c r="AS426" t="s">
        <v>16</v>
      </c>
      <c r="AT426" t="str">
        <f t="shared" si="6"/>
        <v>Lexington WH - 2146AL</v>
      </c>
    </row>
    <row r="427" spans="1:46" x14ac:dyDescent="0.25">
      <c r="A427" t="s">
        <v>316</v>
      </c>
      <c r="B427" t="s">
        <v>257</v>
      </c>
      <c r="C427" t="s">
        <v>189</v>
      </c>
      <c r="D427" s="50">
        <v>46023</v>
      </c>
      <c r="E427" s="2">
        <v>0.89</v>
      </c>
      <c r="F427" s="2">
        <v>0.91300000000000003</v>
      </c>
      <c r="G427" t="s">
        <v>373</v>
      </c>
      <c r="H427" t="s">
        <v>373</v>
      </c>
      <c r="I427" s="2">
        <v>0</v>
      </c>
      <c r="J427" s="2">
        <v>0</v>
      </c>
      <c r="K427" s="2">
        <v>0</v>
      </c>
      <c r="L427" s="2">
        <v>0</v>
      </c>
      <c r="M427" s="51">
        <v>0</v>
      </c>
      <c r="N427" s="51">
        <v>0</v>
      </c>
      <c r="P427" s="51">
        <v>0</v>
      </c>
      <c r="Q427" s="51">
        <v>200338</v>
      </c>
      <c r="R427" s="51">
        <v>412664</v>
      </c>
      <c r="T427" s="51">
        <v>412664</v>
      </c>
      <c r="U427" s="2">
        <v>0</v>
      </c>
      <c r="V427" s="2">
        <v>0</v>
      </c>
      <c r="W427" t="s">
        <v>373</v>
      </c>
      <c r="X427" t="s">
        <v>373</v>
      </c>
      <c r="Y427">
        <v>498.52</v>
      </c>
      <c r="Z427">
        <v>501.28</v>
      </c>
      <c r="AB427" s="2">
        <v>1</v>
      </c>
      <c r="AC427">
        <v>178.78</v>
      </c>
      <c r="AD427">
        <v>188.84</v>
      </c>
      <c r="AF427" s="2">
        <v>1</v>
      </c>
      <c r="AG427">
        <v>228.31</v>
      </c>
      <c r="AH427">
        <v>240.97</v>
      </c>
      <c r="AJ427" s="2">
        <v>1</v>
      </c>
      <c r="AN427" t="s">
        <v>373</v>
      </c>
      <c r="AR427" t="s">
        <v>373</v>
      </c>
      <c r="AS427" t="s">
        <v>16</v>
      </c>
      <c r="AT427" t="str">
        <f t="shared" si="6"/>
        <v>Mount Washington - 176AL</v>
      </c>
    </row>
    <row r="428" spans="1:46" x14ac:dyDescent="0.25">
      <c r="A428" t="s">
        <v>316</v>
      </c>
      <c r="B428" t="s">
        <v>257</v>
      </c>
      <c r="C428" t="s">
        <v>189</v>
      </c>
      <c r="D428" s="50">
        <v>46054</v>
      </c>
      <c r="E428" s="2">
        <v>0.93899999999999995</v>
      </c>
      <c r="F428" s="2">
        <v>0.91300000000000003</v>
      </c>
      <c r="G428" t="s">
        <v>373</v>
      </c>
      <c r="H428" t="s">
        <v>373</v>
      </c>
      <c r="I428" s="2">
        <v>0</v>
      </c>
      <c r="J428" s="2">
        <v>0</v>
      </c>
      <c r="K428" s="2">
        <v>0</v>
      </c>
      <c r="L428" s="2">
        <v>0</v>
      </c>
      <c r="M428" s="51">
        <v>0</v>
      </c>
      <c r="N428" s="51">
        <v>0</v>
      </c>
      <c r="P428" s="51">
        <v>0</v>
      </c>
      <c r="Q428" s="51">
        <v>212325</v>
      </c>
      <c r="R428" s="51">
        <v>412664</v>
      </c>
      <c r="T428" s="51">
        <v>412664</v>
      </c>
      <c r="U428" s="2">
        <v>0</v>
      </c>
      <c r="V428" s="2">
        <v>0</v>
      </c>
      <c r="W428" t="s">
        <v>373</v>
      </c>
      <c r="X428" t="s">
        <v>373</v>
      </c>
      <c r="Y428">
        <v>504.04</v>
      </c>
      <c r="Z428">
        <v>501.28</v>
      </c>
      <c r="AB428" s="2">
        <v>1</v>
      </c>
      <c r="AC428">
        <v>198.9</v>
      </c>
      <c r="AD428">
        <v>188.84</v>
      </c>
      <c r="AF428" s="2">
        <v>1</v>
      </c>
      <c r="AG428">
        <v>253.64</v>
      </c>
      <c r="AH428">
        <v>240.97</v>
      </c>
      <c r="AJ428" s="2">
        <v>1</v>
      </c>
      <c r="AN428" t="s">
        <v>373</v>
      </c>
      <c r="AR428" t="s">
        <v>373</v>
      </c>
      <c r="AS428" t="s">
        <v>16</v>
      </c>
      <c r="AT428" t="str">
        <f t="shared" si="6"/>
        <v>Mount Washington - 176AL</v>
      </c>
    </row>
    <row r="429" spans="1:46" x14ac:dyDescent="0.25">
      <c r="A429" t="s">
        <v>316</v>
      </c>
      <c r="B429" t="s">
        <v>257</v>
      </c>
      <c r="C429" t="s">
        <v>220</v>
      </c>
      <c r="D429" s="50">
        <v>46023</v>
      </c>
      <c r="E429" s="2">
        <v>0.99199999999999999</v>
      </c>
      <c r="F429" s="2">
        <v>0.996</v>
      </c>
      <c r="G429" t="s">
        <v>373</v>
      </c>
      <c r="H429" t="s">
        <v>373</v>
      </c>
      <c r="I429" s="2">
        <v>0</v>
      </c>
      <c r="J429" s="2">
        <v>0</v>
      </c>
      <c r="K429" s="2">
        <v>0</v>
      </c>
      <c r="L429" s="2">
        <v>0</v>
      </c>
      <c r="M429" s="51">
        <v>0</v>
      </c>
      <c r="N429" s="51">
        <v>0</v>
      </c>
      <c r="P429" s="51">
        <v>0</v>
      </c>
      <c r="Q429" s="51">
        <v>499828</v>
      </c>
      <c r="R429" s="51">
        <v>1000641</v>
      </c>
      <c r="T429" s="51">
        <v>1000641</v>
      </c>
      <c r="U429" s="2">
        <v>0</v>
      </c>
      <c r="V429" s="2">
        <v>0</v>
      </c>
      <c r="W429" t="s">
        <v>373</v>
      </c>
      <c r="X429" t="s">
        <v>373</v>
      </c>
      <c r="AB429" t="s">
        <v>373</v>
      </c>
      <c r="AC429">
        <v>162.96</v>
      </c>
      <c r="AD429">
        <v>171.9</v>
      </c>
      <c r="AF429" s="2">
        <v>1</v>
      </c>
      <c r="AG429">
        <v>240.74</v>
      </c>
      <c r="AH429">
        <v>254.54</v>
      </c>
      <c r="AJ429" s="2">
        <v>1</v>
      </c>
      <c r="AN429" t="s">
        <v>373</v>
      </c>
      <c r="AR429" t="s">
        <v>373</v>
      </c>
      <c r="AS429" t="s">
        <v>16</v>
      </c>
      <c r="AT429" t="str">
        <f t="shared" si="6"/>
        <v>Shelbyville SF - 234AL</v>
      </c>
    </row>
    <row r="430" spans="1:46" x14ac:dyDescent="0.25">
      <c r="A430" t="s">
        <v>316</v>
      </c>
      <c r="B430" t="s">
        <v>257</v>
      </c>
      <c r="C430" t="s">
        <v>220</v>
      </c>
      <c r="D430" s="50">
        <v>46054</v>
      </c>
      <c r="E430" s="2">
        <v>1</v>
      </c>
      <c r="F430" s="2">
        <v>0.996</v>
      </c>
      <c r="G430" t="s">
        <v>373</v>
      </c>
      <c r="H430" t="s">
        <v>373</v>
      </c>
      <c r="I430" s="2">
        <v>0</v>
      </c>
      <c r="J430" s="2">
        <v>0</v>
      </c>
      <c r="K430" s="2">
        <v>0</v>
      </c>
      <c r="L430" s="2">
        <v>0</v>
      </c>
      <c r="M430" s="51">
        <v>0</v>
      </c>
      <c r="N430" s="51">
        <v>0</v>
      </c>
      <c r="P430" s="51">
        <v>0</v>
      </c>
      <c r="Q430" s="51">
        <v>500813</v>
      </c>
      <c r="R430" s="51">
        <v>1000641</v>
      </c>
      <c r="T430" s="51">
        <v>1000641</v>
      </c>
      <c r="U430" s="2">
        <v>0</v>
      </c>
      <c r="V430" s="2">
        <v>0</v>
      </c>
      <c r="W430" t="s">
        <v>373</v>
      </c>
      <c r="X430" t="s">
        <v>373</v>
      </c>
      <c r="AB430" t="s">
        <v>373</v>
      </c>
      <c r="AC430">
        <v>180.83</v>
      </c>
      <c r="AD430">
        <v>171.9</v>
      </c>
      <c r="AF430" s="2">
        <v>1</v>
      </c>
      <c r="AG430">
        <v>268.33999999999997</v>
      </c>
      <c r="AH430">
        <v>254.54</v>
      </c>
      <c r="AJ430" s="2">
        <v>1</v>
      </c>
      <c r="AN430" t="s">
        <v>373</v>
      </c>
      <c r="AR430" t="s">
        <v>373</v>
      </c>
      <c r="AS430" t="s">
        <v>16</v>
      </c>
      <c r="AT430" t="str">
        <f t="shared" si="6"/>
        <v>Shelbyville SF - 234AL</v>
      </c>
    </row>
    <row r="431" spans="1:46" x14ac:dyDescent="0.25">
      <c r="A431" t="s">
        <v>316</v>
      </c>
      <c r="B431" t="s">
        <v>257</v>
      </c>
      <c r="C431" t="s">
        <v>249</v>
      </c>
      <c r="D431" s="50">
        <v>46023</v>
      </c>
      <c r="E431" s="2">
        <v>0.89800000000000002</v>
      </c>
      <c r="F431" s="2">
        <v>0.90200000000000002</v>
      </c>
      <c r="G431" t="s">
        <v>373</v>
      </c>
      <c r="H431" t="s">
        <v>373</v>
      </c>
      <c r="I431" s="2">
        <v>0.25</v>
      </c>
      <c r="J431" s="2">
        <v>0.16700000000000001</v>
      </c>
      <c r="K431" s="2">
        <v>0</v>
      </c>
      <c r="L431" s="2">
        <v>0.16700000000000001</v>
      </c>
      <c r="M431" s="51">
        <v>313</v>
      </c>
      <c r="N431" s="51">
        <v>1013</v>
      </c>
      <c r="P431" s="51">
        <v>1013</v>
      </c>
      <c r="Q431" s="51">
        <v>424014</v>
      </c>
      <c r="R431" s="51">
        <v>849812</v>
      </c>
      <c r="T431" s="51">
        <v>849812</v>
      </c>
      <c r="U431" s="2">
        <v>1E-3</v>
      </c>
      <c r="V431" s="2">
        <v>1E-3</v>
      </c>
      <c r="W431" t="s">
        <v>373</v>
      </c>
      <c r="X431" t="s">
        <v>373</v>
      </c>
      <c r="AB431" t="s">
        <v>373</v>
      </c>
      <c r="AC431">
        <v>160.38</v>
      </c>
      <c r="AD431">
        <v>168.24</v>
      </c>
      <c r="AF431" s="2">
        <v>1</v>
      </c>
      <c r="AG431">
        <v>240.81</v>
      </c>
      <c r="AH431">
        <v>253.58</v>
      </c>
      <c r="AJ431" s="2">
        <v>1</v>
      </c>
      <c r="AN431" t="s">
        <v>373</v>
      </c>
      <c r="AR431" t="s">
        <v>373</v>
      </c>
      <c r="AS431" t="s">
        <v>16</v>
      </c>
      <c r="AT431" t="str">
        <f t="shared" si="6"/>
        <v>Winchester - 232AL</v>
      </c>
    </row>
    <row r="432" spans="1:46" x14ac:dyDescent="0.25">
      <c r="A432" t="s">
        <v>316</v>
      </c>
      <c r="B432" t="s">
        <v>257</v>
      </c>
      <c r="C432" t="s">
        <v>249</v>
      </c>
      <c r="D432" s="50">
        <v>46054</v>
      </c>
      <c r="E432" s="2">
        <v>0.90600000000000003</v>
      </c>
      <c r="F432" s="2">
        <v>0.90200000000000002</v>
      </c>
      <c r="G432" t="s">
        <v>373</v>
      </c>
      <c r="H432" t="s">
        <v>373</v>
      </c>
      <c r="I432" s="2">
        <v>0</v>
      </c>
      <c r="J432" s="2">
        <v>0.16700000000000001</v>
      </c>
      <c r="K432" s="2">
        <v>0</v>
      </c>
      <c r="L432" s="2">
        <v>0.16700000000000001</v>
      </c>
      <c r="M432" s="51">
        <v>700</v>
      </c>
      <c r="N432" s="51">
        <v>1013</v>
      </c>
      <c r="P432" s="51">
        <v>1013</v>
      </c>
      <c r="Q432" s="51">
        <v>425798</v>
      </c>
      <c r="R432" s="51">
        <v>849812</v>
      </c>
      <c r="T432" s="51">
        <v>849812</v>
      </c>
      <c r="U432" s="2">
        <v>2E-3</v>
      </c>
      <c r="V432" s="2">
        <v>1E-3</v>
      </c>
      <c r="W432" t="s">
        <v>373</v>
      </c>
      <c r="X432" t="s">
        <v>373</v>
      </c>
      <c r="AB432" t="s">
        <v>373</v>
      </c>
      <c r="AC432">
        <v>176.09</v>
      </c>
      <c r="AD432">
        <v>168.24</v>
      </c>
      <c r="AF432" s="2">
        <v>1</v>
      </c>
      <c r="AG432">
        <v>266.36</v>
      </c>
      <c r="AH432">
        <v>253.58</v>
      </c>
      <c r="AJ432" s="2">
        <v>1</v>
      </c>
      <c r="AN432" t="s">
        <v>373</v>
      </c>
      <c r="AR432" t="s">
        <v>373</v>
      </c>
      <c r="AS432" t="s">
        <v>16</v>
      </c>
      <c r="AT432" t="str">
        <f t="shared" si="6"/>
        <v>Winchester - 232AL</v>
      </c>
    </row>
    <row r="433" spans="1:46" x14ac:dyDescent="0.25">
      <c r="A433" t="s">
        <v>316</v>
      </c>
      <c r="B433" t="s">
        <v>258</v>
      </c>
      <c r="C433" t="s">
        <v>36</v>
      </c>
      <c r="D433" s="50">
        <v>46023</v>
      </c>
      <c r="E433" s="2">
        <v>0.99299999999999999</v>
      </c>
      <c r="F433" s="2">
        <v>0.99</v>
      </c>
      <c r="G433" t="s">
        <v>373</v>
      </c>
      <c r="H433" t="s">
        <v>373</v>
      </c>
      <c r="I433" s="2">
        <v>0</v>
      </c>
      <c r="J433" s="2">
        <v>0</v>
      </c>
      <c r="K433" s="2">
        <v>0</v>
      </c>
      <c r="L433" s="2">
        <v>0</v>
      </c>
      <c r="M433" s="51">
        <v>0</v>
      </c>
      <c r="N433" s="51">
        <v>580</v>
      </c>
      <c r="P433" s="51">
        <v>580</v>
      </c>
      <c r="Q433" s="51">
        <v>257351</v>
      </c>
      <c r="R433" s="51">
        <v>512475</v>
      </c>
      <c r="T433" s="51">
        <v>512475</v>
      </c>
      <c r="U433" s="2">
        <v>0</v>
      </c>
      <c r="V433" s="2">
        <v>1E-3</v>
      </c>
      <c r="W433" t="s">
        <v>373</v>
      </c>
      <c r="X433" t="s">
        <v>373</v>
      </c>
      <c r="Y433">
        <v>393.77</v>
      </c>
      <c r="Z433">
        <v>395.12</v>
      </c>
      <c r="AB433" s="2">
        <v>1</v>
      </c>
      <c r="AC433">
        <v>209.5</v>
      </c>
      <c r="AD433">
        <v>220.49</v>
      </c>
      <c r="AF433" s="2">
        <v>1</v>
      </c>
      <c r="AG433">
        <v>287.02</v>
      </c>
      <c r="AH433">
        <v>302.67</v>
      </c>
      <c r="AJ433" s="2">
        <v>1</v>
      </c>
      <c r="AN433" t="s">
        <v>373</v>
      </c>
      <c r="AR433" t="s">
        <v>373</v>
      </c>
      <c r="AS433" t="s">
        <v>16</v>
      </c>
      <c r="AT433" t="str">
        <f t="shared" si="6"/>
        <v>Batesville - 120AL</v>
      </c>
    </row>
    <row r="434" spans="1:46" x14ac:dyDescent="0.25">
      <c r="A434" t="s">
        <v>316</v>
      </c>
      <c r="B434" t="s">
        <v>258</v>
      </c>
      <c r="C434" t="s">
        <v>36</v>
      </c>
      <c r="D434" s="50">
        <v>46054</v>
      </c>
      <c r="E434" s="2">
        <v>0.98699999999999999</v>
      </c>
      <c r="F434" s="2">
        <v>0.99</v>
      </c>
      <c r="G434" t="s">
        <v>373</v>
      </c>
      <c r="H434" t="s">
        <v>373</v>
      </c>
      <c r="I434" s="2">
        <v>0</v>
      </c>
      <c r="J434" s="2">
        <v>0</v>
      </c>
      <c r="K434" s="2">
        <v>0</v>
      </c>
      <c r="L434" s="2">
        <v>0</v>
      </c>
      <c r="M434" s="51">
        <v>580</v>
      </c>
      <c r="N434" s="51">
        <v>580</v>
      </c>
      <c r="P434" s="51">
        <v>580</v>
      </c>
      <c r="Q434" s="51">
        <v>255124</v>
      </c>
      <c r="R434" s="51">
        <v>512475</v>
      </c>
      <c r="T434" s="51">
        <v>512475</v>
      </c>
      <c r="U434" s="2">
        <v>2E-3</v>
      </c>
      <c r="V434" s="2">
        <v>1E-3</v>
      </c>
      <c r="W434" t="s">
        <v>373</v>
      </c>
      <c r="X434" t="s">
        <v>373</v>
      </c>
      <c r="Y434">
        <v>396.46</v>
      </c>
      <c r="Z434">
        <v>395.12</v>
      </c>
      <c r="AB434" s="2">
        <v>1</v>
      </c>
      <c r="AC434">
        <v>231.47</v>
      </c>
      <c r="AD434">
        <v>220.49</v>
      </c>
      <c r="AF434" s="2">
        <v>1</v>
      </c>
      <c r="AG434">
        <v>318.33</v>
      </c>
      <c r="AH434">
        <v>302.67</v>
      </c>
      <c r="AJ434" s="2">
        <v>1</v>
      </c>
      <c r="AN434" t="s">
        <v>373</v>
      </c>
      <c r="AR434" t="s">
        <v>373</v>
      </c>
      <c r="AS434" t="s">
        <v>16</v>
      </c>
      <c r="AT434" t="str">
        <f t="shared" si="6"/>
        <v>Batesville - 120AL</v>
      </c>
    </row>
    <row r="435" spans="1:46" x14ac:dyDescent="0.25">
      <c r="A435" t="s">
        <v>316</v>
      </c>
      <c r="B435" t="s">
        <v>258</v>
      </c>
      <c r="C435" t="s">
        <v>39</v>
      </c>
      <c r="D435" s="50">
        <v>46023</v>
      </c>
      <c r="E435" s="2">
        <v>0.91700000000000004</v>
      </c>
      <c r="F435" s="2">
        <v>0.92</v>
      </c>
      <c r="G435" t="s">
        <v>373</v>
      </c>
      <c r="H435" t="s">
        <v>373</v>
      </c>
      <c r="I435" s="2">
        <v>0</v>
      </c>
      <c r="J435" s="2">
        <v>0</v>
      </c>
      <c r="K435" s="2">
        <v>0</v>
      </c>
      <c r="L435" s="2">
        <v>0</v>
      </c>
      <c r="M435" s="51">
        <v>0</v>
      </c>
      <c r="N435" s="51">
        <v>0</v>
      </c>
      <c r="P435" s="51">
        <v>0</v>
      </c>
      <c r="Q435" s="51">
        <v>211054</v>
      </c>
      <c r="R435" s="51">
        <v>422961</v>
      </c>
      <c r="T435" s="51">
        <v>422961</v>
      </c>
      <c r="U435" s="2">
        <v>0</v>
      </c>
      <c r="V435" s="2">
        <v>0</v>
      </c>
      <c r="W435" t="s">
        <v>373</v>
      </c>
      <c r="X435" t="s">
        <v>373</v>
      </c>
      <c r="Y435">
        <v>386.11</v>
      </c>
      <c r="Z435">
        <v>384.53</v>
      </c>
      <c r="AB435" s="2">
        <v>1</v>
      </c>
      <c r="AC435">
        <v>186.82</v>
      </c>
      <c r="AD435">
        <v>196.79</v>
      </c>
      <c r="AF435" s="2">
        <v>1</v>
      </c>
      <c r="AG435">
        <v>217.97</v>
      </c>
      <c r="AH435">
        <v>229.58</v>
      </c>
      <c r="AJ435" s="2">
        <v>1</v>
      </c>
      <c r="AN435" t="s">
        <v>373</v>
      </c>
      <c r="AR435" t="s">
        <v>373</v>
      </c>
      <c r="AS435" t="s">
        <v>16</v>
      </c>
      <c r="AT435" t="str">
        <f t="shared" si="6"/>
        <v>Bedford - 115AL</v>
      </c>
    </row>
    <row r="436" spans="1:46" x14ac:dyDescent="0.25">
      <c r="A436" t="s">
        <v>316</v>
      </c>
      <c r="B436" t="s">
        <v>258</v>
      </c>
      <c r="C436" t="s">
        <v>39</v>
      </c>
      <c r="D436" s="50">
        <v>46054</v>
      </c>
      <c r="E436" s="2">
        <v>0.92300000000000004</v>
      </c>
      <c r="F436" s="2">
        <v>0.92</v>
      </c>
      <c r="G436" t="s">
        <v>373</v>
      </c>
      <c r="H436" t="s">
        <v>373</v>
      </c>
      <c r="I436" s="2">
        <v>0</v>
      </c>
      <c r="J436" s="2">
        <v>0</v>
      </c>
      <c r="K436" s="2">
        <v>0</v>
      </c>
      <c r="L436" s="2">
        <v>0</v>
      </c>
      <c r="M436" s="51">
        <v>0</v>
      </c>
      <c r="N436" s="51">
        <v>0</v>
      </c>
      <c r="P436" s="51">
        <v>0</v>
      </c>
      <c r="Q436" s="51">
        <v>211907</v>
      </c>
      <c r="R436" s="51">
        <v>422961</v>
      </c>
      <c r="T436" s="51">
        <v>422961</v>
      </c>
      <c r="U436" s="2">
        <v>0</v>
      </c>
      <c r="V436" s="2">
        <v>0</v>
      </c>
      <c r="W436" t="s">
        <v>373</v>
      </c>
      <c r="X436" t="s">
        <v>373</v>
      </c>
      <c r="Y436">
        <v>382.94</v>
      </c>
      <c r="Z436">
        <v>384.53</v>
      </c>
      <c r="AB436" s="2">
        <v>1</v>
      </c>
      <c r="AC436">
        <v>206.77</v>
      </c>
      <c r="AD436">
        <v>196.79</v>
      </c>
      <c r="AF436" s="2">
        <v>1</v>
      </c>
      <c r="AG436">
        <v>241.2</v>
      </c>
      <c r="AH436">
        <v>229.58</v>
      </c>
      <c r="AJ436" s="2">
        <v>1</v>
      </c>
      <c r="AN436" t="s">
        <v>373</v>
      </c>
      <c r="AR436" t="s">
        <v>373</v>
      </c>
      <c r="AS436" t="s">
        <v>16</v>
      </c>
      <c r="AT436" t="str">
        <f t="shared" si="6"/>
        <v>Bedford - 115AL</v>
      </c>
    </row>
    <row r="437" spans="1:46" x14ac:dyDescent="0.25">
      <c r="A437" t="s">
        <v>316</v>
      </c>
      <c r="B437" t="s">
        <v>258</v>
      </c>
      <c r="C437" t="s">
        <v>47</v>
      </c>
      <c r="D437" s="50">
        <v>46023</v>
      </c>
      <c r="E437" s="2">
        <v>0.96</v>
      </c>
      <c r="F437" s="2">
        <v>0.94299999999999995</v>
      </c>
      <c r="G437" t="s">
        <v>373</v>
      </c>
      <c r="H437" t="s">
        <v>373</v>
      </c>
      <c r="I437" s="2">
        <v>0</v>
      </c>
      <c r="J437" s="2">
        <v>0</v>
      </c>
      <c r="K437" s="2">
        <v>0</v>
      </c>
      <c r="L437" s="2">
        <v>0</v>
      </c>
      <c r="M437" s="51">
        <v>0</v>
      </c>
      <c r="N437" s="51">
        <v>1000</v>
      </c>
      <c r="P437" s="51">
        <v>1000</v>
      </c>
      <c r="Q437" s="51">
        <v>433770</v>
      </c>
      <c r="R437" s="51">
        <v>856298</v>
      </c>
      <c r="T437" s="51">
        <v>856298</v>
      </c>
      <c r="U437" s="2">
        <v>0</v>
      </c>
      <c r="V437" s="2">
        <v>1E-3</v>
      </c>
      <c r="W437" t="s">
        <v>373</v>
      </c>
      <c r="X437" t="s">
        <v>373</v>
      </c>
      <c r="Y437">
        <v>406.57</v>
      </c>
      <c r="Z437">
        <v>406.94</v>
      </c>
      <c r="AB437" s="2">
        <v>1</v>
      </c>
      <c r="AC437">
        <v>176.13</v>
      </c>
      <c r="AD437">
        <v>182.64</v>
      </c>
      <c r="AF437" s="2">
        <v>1</v>
      </c>
      <c r="AG437">
        <v>218.87</v>
      </c>
      <c r="AH437">
        <v>230.86</v>
      </c>
      <c r="AJ437" s="2">
        <v>1</v>
      </c>
      <c r="AN437" t="s">
        <v>373</v>
      </c>
      <c r="AR437" t="s">
        <v>373</v>
      </c>
      <c r="AS437" t="s">
        <v>16</v>
      </c>
      <c r="AT437" t="str">
        <f t="shared" si="6"/>
        <v>Bloomington HS - 5149AL</v>
      </c>
    </row>
    <row r="438" spans="1:46" x14ac:dyDescent="0.25">
      <c r="A438" t="s">
        <v>316</v>
      </c>
      <c r="B438" t="s">
        <v>258</v>
      </c>
      <c r="C438" t="s">
        <v>47</v>
      </c>
      <c r="D438" s="50">
        <v>46054</v>
      </c>
      <c r="E438" s="2">
        <v>0.92500000000000004</v>
      </c>
      <c r="F438" s="2">
        <v>0.94299999999999995</v>
      </c>
      <c r="G438" t="s">
        <v>373</v>
      </c>
      <c r="H438" t="s">
        <v>373</v>
      </c>
      <c r="I438" s="2">
        <v>0</v>
      </c>
      <c r="J438" s="2">
        <v>0</v>
      </c>
      <c r="K438" s="2">
        <v>0</v>
      </c>
      <c r="L438" s="2">
        <v>0</v>
      </c>
      <c r="M438" s="51">
        <v>1000</v>
      </c>
      <c r="N438" s="51">
        <v>1000</v>
      </c>
      <c r="P438" s="51">
        <v>1000</v>
      </c>
      <c r="Q438" s="51">
        <v>422528</v>
      </c>
      <c r="R438" s="51">
        <v>856298</v>
      </c>
      <c r="T438" s="51">
        <v>856298</v>
      </c>
      <c r="U438" s="2">
        <v>2E-3</v>
      </c>
      <c r="V438" s="2">
        <v>1E-3</v>
      </c>
      <c r="W438" t="s">
        <v>373</v>
      </c>
      <c r="X438" t="s">
        <v>373</v>
      </c>
      <c r="Y438">
        <v>407.31</v>
      </c>
      <c r="Z438">
        <v>406.94</v>
      </c>
      <c r="AB438" s="2">
        <v>1</v>
      </c>
      <c r="AC438">
        <v>189.15</v>
      </c>
      <c r="AD438">
        <v>182.64</v>
      </c>
      <c r="AF438" s="2">
        <v>1</v>
      </c>
      <c r="AG438">
        <v>242.85</v>
      </c>
      <c r="AH438">
        <v>230.86</v>
      </c>
      <c r="AJ438" s="2">
        <v>1</v>
      </c>
      <c r="AN438" t="s">
        <v>373</v>
      </c>
      <c r="AR438" t="s">
        <v>373</v>
      </c>
      <c r="AS438" t="s">
        <v>16</v>
      </c>
      <c r="AT438" t="str">
        <f t="shared" si="6"/>
        <v>Bloomington HS - 5149AL</v>
      </c>
    </row>
    <row r="439" spans="1:46" x14ac:dyDescent="0.25">
      <c r="A439" t="s">
        <v>316</v>
      </c>
      <c r="B439" t="s">
        <v>258</v>
      </c>
      <c r="C439" t="s">
        <v>49</v>
      </c>
      <c r="D439" s="50">
        <v>46023</v>
      </c>
      <c r="E439" s="2">
        <v>1</v>
      </c>
      <c r="F439" s="2">
        <v>0.97699999999999998</v>
      </c>
      <c r="G439" t="s">
        <v>373</v>
      </c>
      <c r="H439" t="s">
        <v>373</v>
      </c>
      <c r="I439" s="2">
        <v>0</v>
      </c>
      <c r="J439" s="2">
        <v>0</v>
      </c>
      <c r="K439" s="2">
        <v>0</v>
      </c>
      <c r="L439" s="2">
        <v>0</v>
      </c>
      <c r="M439" s="51">
        <v>0</v>
      </c>
      <c r="N439" s="51">
        <v>0</v>
      </c>
      <c r="P439" s="51">
        <v>0</v>
      </c>
      <c r="Q439" s="51">
        <v>299153</v>
      </c>
      <c r="R439" s="51">
        <v>582483</v>
      </c>
      <c r="T439" s="51">
        <v>582483</v>
      </c>
      <c r="U439" s="2">
        <v>0</v>
      </c>
      <c r="V439" s="2">
        <v>0</v>
      </c>
      <c r="W439" t="s">
        <v>373</v>
      </c>
      <c r="X439" t="s">
        <v>373</v>
      </c>
      <c r="Y439">
        <v>405.31</v>
      </c>
      <c r="Z439">
        <v>405.88</v>
      </c>
      <c r="AB439" s="2">
        <v>1</v>
      </c>
      <c r="AC439">
        <v>228.68</v>
      </c>
      <c r="AD439">
        <v>240.83</v>
      </c>
      <c r="AF439" s="2">
        <v>1</v>
      </c>
      <c r="AG439">
        <v>240.28</v>
      </c>
      <c r="AH439">
        <v>250.76</v>
      </c>
      <c r="AJ439" s="2">
        <v>1</v>
      </c>
      <c r="AN439" t="s">
        <v>373</v>
      </c>
      <c r="AR439" t="s">
        <v>373</v>
      </c>
      <c r="AS439" t="s">
        <v>16</v>
      </c>
      <c r="AT439" t="str">
        <f t="shared" si="6"/>
        <v>Bloomington SC - 5164AL</v>
      </c>
    </row>
    <row r="440" spans="1:46" x14ac:dyDescent="0.25">
      <c r="A440" t="s">
        <v>316</v>
      </c>
      <c r="B440" t="s">
        <v>258</v>
      </c>
      <c r="C440" t="s">
        <v>49</v>
      </c>
      <c r="D440" s="50">
        <v>46054</v>
      </c>
      <c r="E440" s="2">
        <v>0.95099999999999996</v>
      </c>
      <c r="F440" s="2">
        <v>0.97699999999999998</v>
      </c>
      <c r="G440" t="s">
        <v>373</v>
      </c>
      <c r="H440" t="s">
        <v>373</v>
      </c>
      <c r="I440" s="2">
        <v>0</v>
      </c>
      <c r="J440" s="2">
        <v>0</v>
      </c>
      <c r="K440" s="2">
        <v>0</v>
      </c>
      <c r="L440" s="2">
        <v>0</v>
      </c>
      <c r="M440" s="51">
        <v>0</v>
      </c>
      <c r="N440" s="51">
        <v>0</v>
      </c>
      <c r="P440" s="51">
        <v>0</v>
      </c>
      <c r="Q440" s="51">
        <v>283329</v>
      </c>
      <c r="R440" s="51">
        <v>582483</v>
      </c>
      <c r="T440" s="51">
        <v>582483</v>
      </c>
      <c r="U440" s="2">
        <v>0</v>
      </c>
      <c r="V440" s="2">
        <v>0</v>
      </c>
      <c r="W440" t="s">
        <v>373</v>
      </c>
      <c r="X440" t="s">
        <v>373</v>
      </c>
      <c r="Y440">
        <v>406.44</v>
      </c>
      <c r="Z440">
        <v>405.88</v>
      </c>
      <c r="AB440" s="2">
        <v>1</v>
      </c>
      <c r="AC440">
        <v>252.99</v>
      </c>
      <c r="AD440">
        <v>240.83</v>
      </c>
      <c r="AF440" s="2">
        <v>1</v>
      </c>
      <c r="AG440">
        <v>261.24</v>
      </c>
      <c r="AH440">
        <v>250.76</v>
      </c>
      <c r="AJ440" s="2">
        <v>1</v>
      </c>
      <c r="AN440" t="s">
        <v>373</v>
      </c>
      <c r="AR440" t="s">
        <v>373</v>
      </c>
      <c r="AS440" t="s">
        <v>16</v>
      </c>
      <c r="AT440" t="str">
        <f t="shared" si="6"/>
        <v>Bloomington SC - 5164AL</v>
      </c>
    </row>
    <row r="441" spans="1:46" x14ac:dyDescent="0.25">
      <c r="A441" t="s">
        <v>316</v>
      </c>
      <c r="B441" t="s">
        <v>258</v>
      </c>
      <c r="C441" t="s">
        <v>71</v>
      </c>
      <c r="D441" s="50">
        <v>46023</v>
      </c>
      <c r="E441" s="2">
        <v>0.85</v>
      </c>
      <c r="F441" s="2">
        <v>0.86199999999999999</v>
      </c>
      <c r="G441" t="s">
        <v>373</v>
      </c>
      <c r="H441" t="s">
        <v>373</v>
      </c>
      <c r="I441" s="2">
        <v>0</v>
      </c>
      <c r="J441" s="2">
        <v>0</v>
      </c>
      <c r="K441" s="2">
        <v>0</v>
      </c>
      <c r="L441" s="2">
        <v>0</v>
      </c>
      <c r="M441" s="51">
        <v>0</v>
      </c>
      <c r="N441" s="51">
        <v>0</v>
      </c>
      <c r="P441" s="51">
        <v>0</v>
      </c>
      <c r="Q441" s="51">
        <v>240649</v>
      </c>
      <c r="R441" s="51">
        <v>490644</v>
      </c>
      <c r="T441" s="51">
        <v>490644</v>
      </c>
      <c r="U441" s="2">
        <v>0</v>
      </c>
      <c r="V441" s="2">
        <v>0</v>
      </c>
      <c r="W441" t="s">
        <v>373</v>
      </c>
      <c r="X441" t="s">
        <v>373</v>
      </c>
      <c r="Y441">
        <v>443.01</v>
      </c>
      <c r="Z441">
        <v>429.8</v>
      </c>
      <c r="AB441" s="2">
        <v>1</v>
      </c>
      <c r="AC441">
        <v>227.77</v>
      </c>
      <c r="AD441">
        <v>236.57</v>
      </c>
      <c r="AF441" s="2">
        <v>1</v>
      </c>
      <c r="AG441">
        <v>287.17</v>
      </c>
      <c r="AH441">
        <v>304.94</v>
      </c>
      <c r="AJ441" s="2">
        <v>1</v>
      </c>
      <c r="AN441" t="s">
        <v>373</v>
      </c>
      <c r="AR441" t="s">
        <v>373</v>
      </c>
      <c r="AS441" t="s">
        <v>16</v>
      </c>
      <c r="AT441" t="str">
        <f t="shared" si="6"/>
        <v>Columbus - 107AL</v>
      </c>
    </row>
    <row r="442" spans="1:46" x14ac:dyDescent="0.25">
      <c r="A442" t="s">
        <v>316</v>
      </c>
      <c r="B442" t="s">
        <v>258</v>
      </c>
      <c r="C442" t="s">
        <v>71</v>
      </c>
      <c r="D442" s="50">
        <v>46054</v>
      </c>
      <c r="E442" s="2">
        <v>0.874</v>
      </c>
      <c r="F442" s="2">
        <v>0.86199999999999999</v>
      </c>
      <c r="G442" t="s">
        <v>373</v>
      </c>
      <c r="H442" t="s">
        <v>373</v>
      </c>
      <c r="I442" s="2">
        <v>0</v>
      </c>
      <c r="J442" s="2">
        <v>0</v>
      </c>
      <c r="K442" s="2">
        <v>0</v>
      </c>
      <c r="L442" s="2">
        <v>0</v>
      </c>
      <c r="M442" s="51">
        <v>0</v>
      </c>
      <c r="N442" s="51">
        <v>0</v>
      </c>
      <c r="P442" s="51">
        <v>0</v>
      </c>
      <c r="Q442" s="51">
        <v>249995</v>
      </c>
      <c r="R442" s="51">
        <v>490644</v>
      </c>
      <c r="T442" s="51">
        <v>490644</v>
      </c>
      <c r="U442" s="2">
        <v>0</v>
      </c>
      <c r="V442" s="2">
        <v>0</v>
      </c>
      <c r="W442" t="s">
        <v>373</v>
      </c>
      <c r="X442" t="s">
        <v>373</v>
      </c>
      <c r="Y442">
        <v>416.59</v>
      </c>
      <c r="Z442">
        <v>429.8</v>
      </c>
      <c r="AB442" s="2">
        <v>1</v>
      </c>
      <c r="AC442">
        <v>245.37</v>
      </c>
      <c r="AD442">
        <v>236.57</v>
      </c>
      <c r="AF442" s="2">
        <v>1</v>
      </c>
      <c r="AG442">
        <v>322.70999999999998</v>
      </c>
      <c r="AH442">
        <v>304.94</v>
      </c>
      <c r="AJ442" s="2">
        <v>1</v>
      </c>
      <c r="AN442" t="s">
        <v>373</v>
      </c>
      <c r="AR442" t="s">
        <v>373</v>
      </c>
      <c r="AS442" t="s">
        <v>16</v>
      </c>
      <c r="AT442" t="str">
        <f t="shared" si="6"/>
        <v>Columbus - 107AL</v>
      </c>
    </row>
    <row r="443" spans="1:46" x14ac:dyDescent="0.25">
      <c r="A443" t="s">
        <v>316</v>
      </c>
      <c r="B443" t="s">
        <v>258</v>
      </c>
      <c r="C443" t="s">
        <v>124</v>
      </c>
      <c r="D443" s="50">
        <v>46023</v>
      </c>
      <c r="E443" s="2">
        <v>0.88700000000000001</v>
      </c>
      <c r="F443" s="2">
        <v>0.871</v>
      </c>
      <c r="G443" t="s">
        <v>373</v>
      </c>
      <c r="H443" t="s">
        <v>373</v>
      </c>
      <c r="I443" s="2">
        <v>0</v>
      </c>
      <c r="J443" s="2">
        <v>0</v>
      </c>
      <c r="K443" s="2">
        <v>0</v>
      </c>
      <c r="L443" s="2">
        <v>0</v>
      </c>
      <c r="M443" s="51">
        <v>0</v>
      </c>
      <c r="N443" s="51">
        <v>0</v>
      </c>
      <c r="P443" s="51">
        <v>0</v>
      </c>
      <c r="Q443" s="51">
        <v>209329</v>
      </c>
      <c r="R443" s="51">
        <v>411842</v>
      </c>
      <c r="T443" s="51">
        <v>411842</v>
      </c>
      <c r="U443" s="2">
        <v>0</v>
      </c>
      <c r="V443" s="2">
        <v>0</v>
      </c>
      <c r="W443" t="s">
        <v>373</v>
      </c>
      <c r="X443" t="s">
        <v>373</v>
      </c>
      <c r="Y443">
        <v>356.3</v>
      </c>
      <c r="Z443">
        <v>365.6</v>
      </c>
      <c r="AB443" s="2">
        <v>1</v>
      </c>
      <c r="AC443">
        <v>179.87</v>
      </c>
      <c r="AD443">
        <v>189.52</v>
      </c>
      <c r="AF443" s="2">
        <v>1</v>
      </c>
      <c r="AG443">
        <v>262.75</v>
      </c>
      <c r="AH443">
        <v>276.91000000000003</v>
      </c>
      <c r="AJ443" s="2">
        <v>1</v>
      </c>
      <c r="AN443" t="s">
        <v>373</v>
      </c>
      <c r="AR443" t="s">
        <v>373</v>
      </c>
      <c r="AS443" t="s">
        <v>16</v>
      </c>
      <c r="AT443" t="str">
        <f t="shared" si="6"/>
        <v>Greensburg - 150AL</v>
      </c>
    </row>
    <row r="444" spans="1:46" x14ac:dyDescent="0.25">
      <c r="A444" t="s">
        <v>316</v>
      </c>
      <c r="B444" t="s">
        <v>258</v>
      </c>
      <c r="C444" t="s">
        <v>124</v>
      </c>
      <c r="D444" s="50">
        <v>46054</v>
      </c>
      <c r="E444" s="2">
        <v>0.85399999999999998</v>
      </c>
      <c r="F444" s="2">
        <v>0.871</v>
      </c>
      <c r="G444" t="s">
        <v>373</v>
      </c>
      <c r="H444" t="s">
        <v>373</v>
      </c>
      <c r="I444" s="2">
        <v>0</v>
      </c>
      <c r="J444" s="2">
        <v>0</v>
      </c>
      <c r="K444" s="2">
        <v>0</v>
      </c>
      <c r="L444" s="2">
        <v>0</v>
      </c>
      <c r="M444" s="51">
        <v>0</v>
      </c>
      <c r="N444" s="51">
        <v>0</v>
      </c>
      <c r="P444" s="51">
        <v>0</v>
      </c>
      <c r="Q444" s="51">
        <v>202513</v>
      </c>
      <c r="R444" s="51">
        <v>411842</v>
      </c>
      <c r="T444" s="51">
        <v>411842</v>
      </c>
      <c r="U444" s="2">
        <v>0</v>
      </c>
      <c r="V444" s="2">
        <v>0</v>
      </c>
      <c r="W444" t="s">
        <v>373</v>
      </c>
      <c r="X444" t="s">
        <v>373</v>
      </c>
      <c r="Y444">
        <v>374.89</v>
      </c>
      <c r="Z444">
        <v>365.6</v>
      </c>
      <c r="AB444" s="2">
        <v>1</v>
      </c>
      <c r="AC444">
        <v>199.17</v>
      </c>
      <c r="AD444">
        <v>189.52</v>
      </c>
      <c r="AF444" s="2">
        <v>1</v>
      </c>
      <c r="AG444">
        <v>291.07</v>
      </c>
      <c r="AH444">
        <v>276.91000000000003</v>
      </c>
      <c r="AJ444" s="2">
        <v>1</v>
      </c>
      <c r="AN444" t="s">
        <v>373</v>
      </c>
      <c r="AR444" t="s">
        <v>373</v>
      </c>
      <c r="AS444" t="s">
        <v>16</v>
      </c>
      <c r="AT444" t="str">
        <f t="shared" si="6"/>
        <v>Greensburg - 150AL</v>
      </c>
    </row>
    <row r="445" spans="1:46" x14ac:dyDescent="0.25">
      <c r="A445" t="s">
        <v>316</v>
      </c>
      <c r="B445" t="s">
        <v>258</v>
      </c>
      <c r="C445" t="s">
        <v>126</v>
      </c>
      <c r="D445" s="50">
        <v>46023</v>
      </c>
      <c r="E445" s="2">
        <v>0.997</v>
      </c>
      <c r="F445" s="2">
        <v>0.999</v>
      </c>
      <c r="G445" t="s">
        <v>373</v>
      </c>
      <c r="H445" t="s">
        <v>373</v>
      </c>
      <c r="I445" s="2">
        <v>0</v>
      </c>
      <c r="J445" s="2">
        <v>0</v>
      </c>
      <c r="K445" s="2">
        <v>0</v>
      </c>
      <c r="L445" s="2">
        <v>0</v>
      </c>
      <c r="M445" s="51">
        <v>0</v>
      </c>
      <c r="N445" s="51">
        <v>0</v>
      </c>
      <c r="P445" s="51">
        <v>0</v>
      </c>
      <c r="Q445" s="51">
        <v>125391</v>
      </c>
      <c r="R445" s="51">
        <v>250887</v>
      </c>
      <c r="T445" s="51">
        <v>250887</v>
      </c>
      <c r="U445" s="2">
        <v>0</v>
      </c>
      <c r="V445" s="2">
        <v>0</v>
      </c>
      <c r="W445" t="s">
        <v>373</v>
      </c>
      <c r="X445" t="s">
        <v>373</v>
      </c>
      <c r="Y445">
        <v>439.03</v>
      </c>
      <c r="Z445">
        <v>437.53</v>
      </c>
      <c r="AB445" s="2">
        <v>1</v>
      </c>
      <c r="AC445">
        <v>151.68</v>
      </c>
      <c r="AD445">
        <v>159.4</v>
      </c>
      <c r="AF445" s="2">
        <v>1</v>
      </c>
      <c r="AJ445" t="s">
        <v>373</v>
      </c>
      <c r="AN445" t="s">
        <v>373</v>
      </c>
      <c r="AR445" t="s">
        <v>373</v>
      </c>
      <c r="AS445" t="s">
        <v>16</v>
      </c>
      <c r="AT445" t="str">
        <f t="shared" si="6"/>
        <v>Hanover - 116AL</v>
      </c>
    </row>
    <row r="446" spans="1:46" x14ac:dyDescent="0.25">
      <c r="A446" t="s">
        <v>316</v>
      </c>
      <c r="B446" t="s">
        <v>258</v>
      </c>
      <c r="C446" t="s">
        <v>126</v>
      </c>
      <c r="D446" s="50">
        <v>46054</v>
      </c>
      <c r="E446" s="2">
        <v>1</v>
      </c>
      <c r="F446" s="2">
        <v>0.999</v>
      </c>
      <c r="G446" t="s">
        <v>373</v>
      </c>
      <c r="H446" t="s">
        <v>373</v>
      </c>
      <c r="I446" s="2">
        <v>0</v>
      </c>
      <c r="J446" s="2">
        <v>0</v>
      </c>
      <c r="K446" s="2">
        <v>0</v>
      </c>
      <c r="L446" s="2">
        <v>0</v>
      </c>
      <c r="M446" s="51">
        <v>0</v>
      </c>
      <c r="N446" s="51">
        <v>0</v>
      </c>
      <c r="P446" s="51">
        <v>0</v>
      </c>
      <c r="Q446" s="51">
        <v>125496</v>
      </c>
      <c r="R446" s="51">
        <v>250887</v>
      </c>
      <c r="T446" s="51">
        <v>250887</v>
      </c>
      <c r="U446" s="2">
        <v>0</v>
      </c>
      <c r="V446" s="2">
        <v>0</v>
      </c>
      <c r="W446" t="s">
        <v>373</v>
      </c>
      <c r="X446" t="s">
        <v>373</v>
      </c>
      <c r="Y446">
        <v>436.02</v>
      </c>
      <c r="Z446">
        <v>437.53</v>
      </c>
      <c r="AB446" s="2">
        <v>1</v>
      </c>
      <c r="AC446">
        <v>167.13</v>
      </c>
      <c r="AD446">
        <v>159.4</v>
      </c>
      <c r="AF446" s="2">
        <v>1</v>
      </c>
      <c r="AJ446" t="s">
        <v>373</v>
      </c>
      <c r="AN446" t="s">
        <v>373</v>
      </c>
      <c r="AR446" t="s">
        <v>373</v>
      </c>
      <c r="AS446" t="s">
        <v>16</v>
      </c>
      <c r="AT446" t="str">
        <f t="shared" si="6"/>
        <v>Hanover - 116AL</v>
      </c>
    </row>
    <row r="447" spans="1:46" x14ac:dyDescent="0.25">
      <c r="A447" t="s">
        <v>316</v>
      </c>
      <c r="B447" t="s">
        <v>258</v>
      </c>
      <c r="C447" t="s">
        <v>150</v>
      </c>
      <c r="D447" s="50">
        <v>46023</v>
      </c>
      <c r="E447" s="2">
        <v>0.93200000000000005</v>
      </c>
      <c r="F447" s="2">
        <v>0.94799999999999995</v>
      </c>
      <c r="G447" t="s">
        <v>373</v>
      </c>
      <c r="H447" t="s">
        <v>373</v>
      </c>
      <c r="I447" s="2">
        <v>0</v>
      </c>
      <c r="J447" s="2">
        <v>0</v>
      </c>
      <c r="K447" s="2">
        <v>0</v>
      </c>
      <c r="L447" s="2">
        <v>0</v>
      </c>
      <c r="M447" s="51">
        <v>1000</v>
      </c>
      <c r="N447" s="51">
        <v>2000</v>
      </c>
      <c r="P447" s="51">
        <v>2000</v>
      </c>
      <c r="Q447" s="51">
        <v>395889</v>
      </c>
      <c r="R447" s="51">
        <v>806172</v>
      </c>
      <c r="T447" s="51">
        <v>806172</v>
      </c>
      <c r="U447" s="2">
        <v>3.0000000000000001E-3</v>
      </c>
      <c r="V447" s="2">
        <v>2E-3</v>
      </c>
      <c r="W447" t="s">
        <v>373</v>
      </c>
      <c r="X447" t="s">
        <v>373</v>
      </c>
      <c r="Y447">
        <v>416.37</v>
      </c>
      <c r="Z447">
        <v>409.86</v>
      </c>
      <c r="AB447" s="2">
        <v>1</v>
      </c>
      <c r="AC447">
        <v>200.56</v>
      </c>
      <c r="AD447">
        <v>211.01</v>
      </c>
      <c r="AF447" s="2">
        <v>1</v>
      </c>
      <c r="AG447">
        <v>248.53</v>
      </c>
      <c r="AH447">
        <v>263.02</v>
      </c>
      <c r="AJ447" s="2">
        <v>1</v>
      </c>
      <c r="AN447" t="s">
        <v>373</v>
      </c>
      <c r="AR447" t="s">
        <v>373</v>
      </c>
      <c r="AS447" t="s">
        <v>16</v>
      </c>
      <c r="AT447" t="str">
        <f t="shared" si="6"/>
        <v>Lawrenceburg - 143AL</v>
      </c>
    </row>
    <row r="448" spans="1:46" x14ac:dyDescent="0.25">
      <c r="A448" t="s">
        <v>316</v>
      </c>
      <c r="B448" t="s">
        <v>258</v>
      </c>
      <c r="C448" t="s">
        <v>150</v>
      </c>
      <c r="D448" s="50">
        <v>46054</v>
      </c>
      <c r="E448" s="2">
        <v>0.96499999999999997</v>
      </c>
      <c r="F448" s="2">
        <v>0.94799999999999995</v>
      </c>
      <c r="G448" t="s">
        <v>373</v>
      </c>
      <c r="H448" t="s">
        <v>373</v>
      </c>
      <c r="I448" s="2">
        <v>0</v>
      </c>
      <c r="J448" s="2">
        <v>0</v>
      </c>
      <c r="K448" s="2">
        <v>0</v>
      </c>
      <c r="L448" s="2">
        <v>0</v>
      </c>
      <c r="M448" s="51">
        <v>1000</v>
      </c>
      <c r="N448" s="51">
        <v>2000</v>
      </c>
      <c r="P448" s="51">
        <v>2000</v>
      </c>
      <c r="Q448" s="51">
        <v>410283</v>
      </c>
      <c r="R448" s="51">
        <v>806172</v>
      </c>
      <c r="T448" s="51">
        <v>806172</v>
      </c>
      <c r="U448" s="2">
        <v>2E-3</v>
      </c>
      <c r="V448" s="2">
        <v>2E-3</v>
      </c>
      <c r="W448" t="s">
        <v>373</v>
      </c>
      <c r="X448" t="s">
        <v>373</v>
      </c>
      <c r="Y448">
        <v>403.35</v>
      </c>
      <c r="Z448">
        <v>409.86</v>
      </c>
      <c r="AB448" s="2">
        <v>1</v>
      </c>
      <c r="AC448">
        <v>221.46</v>
      </c>
      <c r="AD448">
        <v>211.01</v>
      </c>
      <c r="AF448" s="2">
        <v>1</v>
      </c>
      <c r="AG448">
        <v>277.52</v>
      </c>
      <c r="AH448">
        <v>263.02</v>
      </c>
      <c r="AJ448" s="2">
        <v>1</v>
      </c>
      <c r="AN448" t="s">
        <v>373</v>
      </c>
      <c r="AR448" t="s">
        <v>373</v>
      </c>
      <c r="AS448" t="s">
        <v>16</v>
      </c>
      <c r="AT448" t="str">
        <f t="shared" si="6"/>
        <v>Lawrenceburg - 143AL</v>
      </c>
    </row>
    <row r="449" spans="1:46" x14ac:dyDescent="0.25">
      <c r="A449" t="s">
        <v>316</v>
      </c>
      <c r="B449" t="s">
        <v>258</v>
      </c>
      <c r="C449" t="s">
        <v>183</v>
      </c>
      <c r="D449" s="50">
        <v>46023</v>
      </c>
      <c r="E449" s="2">
        <v>0.97099999999999997</v>
      </c>
      <c r="F449" s="2">
        <v>0.97199999999999998</v>
      </c>
      <c r="G449" t="s">
        <v>373</v>
      </c>
      <c r="H449" t="s">
        <v>373</v>
      </c>
      <c r="I449" s="2">
        <v>0</v>
      </c>
      <c r="J449" s="2">
        <v>0</v>
      </c>
      <c r="K449" s="2">
        <v>0</v>
      </c>
      <c r="L449" s="2">
        <v>0</v>
      </c>
      <c r="M449" s="51">
        <v>0</v>
      </c>
      <c r="N449" s="51">
        <v>0</v>
      </c>
      <c r="P449" s="51">
        <v>0</v>
      </c>
      <c r="Q449" s="51">
        <v>179015</v>
      </c>
      <c r="R449" s="51">
        <v>358413</v>
      </c>
      <c r="T449" s="51">
        <v>358413</v>
      </c>
      <c r="U449" s="2">
        <v>0</v>
      </c>
      <c r="V449" s="2">
        <v>0</v>
      </c>
      <c r="W449" t="s">
        <v>373</v>
      </c>
      <c r="X449" t="s">
        <v>373</v>
      </c>
      <c r="Y449">
        <v>444.03</v>
      </c>
      <c r="Z449">
        <v>458.11</v>
      </c>
      <c r="AB449" s="2">
        <v>1</v>
      </c>
      <c r="AC449">
        <v>192.39</v>
      </c>
      <c r="AD449">
        <v>202.37</v>
      </c>
      <c r="AF449" s="2">
        <v>1</v>
      </c>
      <c r="AJ449" t="s">
        <v>373</v>
      </c>
      <c r="AK449">
        <v>118.35</v>
      </c>
      <c r="AL449">
        <v>125.04</v>
      </c>
      <c r="AN449" s="2">
        <v>1</v>
      </c>
      <c r="AR449" t="s">
        <v>373</v>
      </c>
      <c r="AS449" t="s">
        <v>16</v>
      </c>
      <c r="AT449" t="str">
        <f t="shared" si="6"/>
        <v>Madison - 2157AL</v>
      </c>
    </row>
    <row r="450" spans="1:46" x14ac:dyDescent="0.25">
      <c r="A450" t="s">
        <v>316</v>
      </c>
      <c r="B450" t="s">
        <v>258</v>
      </c>
      <c r="C450" t="s">
        <v>183</v>
      </c>
      <c r="D450" s="50">
        <v>46054</v>
      </c>
      <c r="E450" s="2">
        <v>0.97199999999999998</v>
      </c>
      <c r="F450" s="2">
        <v>0.97199999999999998</v>
      </c>
      <c r="G450" t="s">
        <v>373</v>
      </c>
      <c r="H450" t="s">
        <v>373</v>
      </c>
      <c r="I450" s="2">
        <v>0</v>
      </c>
      <c r="J450" s="2">
        <v>0</v>
      </c>
      <c r="K450" s="2">
        <v>0</v>
      </c>
      <c r="L450" s="2">
        <v>0</v>
      </c>
      <c r="M450" s="51">
        <v>0</v>
      </c>
      <c r="N450" s="51">
        <v>0</v>
      </c>
      <c r="P450" s="51">
        <v>0</v>
      </c>
      <c r="Q450" s="51">
        <v>179399</v>
      </c>
      <c r="R450" s="51">
        <v>358413</v>
      </c>
      <c r="T450" s="51">
        <v>358413</v>
      </c>
      <c r="U450" s="2">
        <v>0</v>
      </c>
      <c r="V450" s="2">
        <v>0</v>
      </c>
      <c r="W450" t="s">
        <v>373</v>
      </c>
      <c r="X450" t="s">
        <v>373</v>
      </c>
      <c r="Y450">
        <v>472.2</v>
      </c>
      <c r="Z450">
        <v>458.11</v>
      </c>
      <c r="AB450" s="2">
        <v>1</v>
      </c>
      <c r="AC450">
        <v>212.35</v>
      </c>
      <c r="AD450">
        <v>202.37</v>
      </c>
      <c r="AF450" s="2">
        <v>1</v>
      </c>
      <c r="AJ450" t="s">
        <v>373</v>
      </c>
      <c r="AK450">
        <v>131.72999999999999</v>
      </c>
      <c r="AL450">
        <v>125.04</v>
      </c>
      <c r="AN450" s="2">
        <v>1</v>
      </c>
      <c r="AR450" t="s">
        <v>373</v>
      </c>
      <c r="AS450" t="s">
        <v>16</v>
      </c>
      <c r="AT450" t="str">
        <f t="shared" si="6"/>
        <v>Madison - 2157AL</v>
      </c>
    </row>
    <row r="451" spans="1:46" x14ac:dyDescent="0.25">
      <c r="A451" t="s">
        <v>316</v>
      </c>
      <c r="B451" t="s">
        <v>258</v>
      </c>
      <c r="C451" t="s">
        <v>217</v>
      </c>
      <c r="D451" s="50">
        <v>46023</v>
      </c>
      <c r="E451" s="2">
        <v>0.91800000000000004</v>
      </c>
      <c r="F451" s="2">
        <v>0.93500000000000005</v>
      </c>
      <c r="G451" t="s">
        <v>373</v>
      </c>
      <c r="H451" t="s">
        <v>373</v>
      </c>
      <c r="I451" s="2">
        <v>0</v>
      </c>
      <c r="J451" s="2">
        <v>0</v>
      </c>
      <c r="K451" s="2">
        <v>0</v>
      </c>
      <c r="L451" s="2">
        <v>0</v>
      </c>
      <c r="M451" s="51">
        <v>2484</v>
      </c>
      <c r="N451" s="51">
        <v>4684</v>
      </c>
      <c r="P451" s="51">
        <v>4684</v>
      </c>
      <c r="Q451" s="51">
        <v>147531</v>
      </c>
      <c r="R451" s="51">
        <v>298626</v>
      </c>
      <c r="T451" s="51">
        <v>298626</v>
      </c>
      <c r="U451" s="2">
        <v>1.7000000000000001E-2</v>
      </c>
      <c r="V451" s="2">
        <v>1.6E-2</v>
      </c>
      <c r="W451" t="s">
        <v>373</v>
      </c>
      <c r="X451" t="s">
        <v>373</v>
      </c>
      <c r="Y451">
        <v>342.34</v>
      </c>
      <c r="Z451">
        <v>352.25</v>
      </c>
      <c r="AB451" s="2">
        <v>1</v>
      </c>
      <c r="AC451">
        <v>204.89</v>
      </c>
      <c r="AD451">
        <v>215.15</v>
      </c>
      <c r="AF451" s="2">
        <v>1</v>
      </c>
      <c r="AJ451" t="s">
        <v>373</v>
      </c>
      <c r="AN451" t="s">
        <v>373</v>
      </c>
      <c r="AR451" t="s">
        <v>373</v>
      </c>
      <c r="AS451" t="s">
        <v>16</v>
      </c>
      <c r="AT451" t="str">
        <f t="shared" ref="AT451:AT514" si="7">C451&amp;AS451</f>
        <v>Scottsburg - 121AL</v>
      </c>
    </row>
    <row r="452" spans="1:46" x14ac:dyDescent="0.25">
      <c r="A452" t="s">
        <v>316</v>
      </c>
      <c r="B452" t="s">
        <v>258</v>
      </c>
      <c r="C452" t="s">
        <v>217</v>
      </c>
      <c r="D452" s="50">
        <v>46054</v>
      </c>
      <c r="E452" s="2">
        <v>0.95499999999999996</v>
      </c>
      <c r="F452" s="2">
        <v>0.93500000000000005</v>
      </c>
      <c r="G452" t="s">
        <v>373</v>
      </c>
      <c r="H452" t="s">
        <v>373</v>
      </c>
      <c r="I452" s="2">
        <v>0</v>
      </c>
      <c r="J452" s="2">
        <v>0</v>
      </c>
      <c r="K452" s="2">
        <v>0</v>
      </c>
      <c r="L452" s="2">
        <v>0</v>
      </c>
      <c r="M452" s="51">
        <v>2200</v>
      </c>
      <c r="N452" s="51">
        <v>4684</v>
      </c>
      <c r="P452" s="51">
        <v>4684</v>
      </c>
      <c r="Q452" s="51">
        <v>151095</v>
      </c>
      <c r="R452" s="51">
        <v>298626</v>
      </c>
      <c r="T452" s="51">
        <v>298626</v>
      </c>
      <c r="U452" s="2">
        <v>1.4999999999999999E-2</v>
      </c>
      <c r="V452" s="2">
        <v>1.6E-2</v>
      </c>
      <c r="W452" t="s">
        <v>373</v>
      </c>
      <c r="X452" t="s">
        <v>373</v>
      </c>
      <c r="Y452">
        <v>362.16</v>
      </c>
      <c r="Z452">
        <v>352.25</v>
      </c>
      <c r="AB452" s="2">
        <v>1</v>
      </c>
      <c r="AC452">
        <v>225.42</v>
      </c>
      <c r="AD452">
        <v>215.15</v>
      </c>
      <c r="AF452" s="2">
        <v>1</v>
      </c>
      <c r="AJ452" t="s">
        <v>373</v>
      </c>
      <c r="AN452" t="s">
        <v>373</v>
      </c>
      <c r="AR452" t="s">
        <v>373</v>
      </c>
      <c r="AS452" t="s">
        <v>16</v>
      </c>
      <c r="AT452" t="str">
        <f t="shared" si="7"/>
        <v>Scottsburg - 121AL</v>
      </c>
    </row>
    <row r="453" spans="1:46" x14ac:dyDescent="0.25">
      <c r="A453" t="s">
        <v>316</v>
      </c>
      <c r="B453" t="s">
        <v>258</v>
      </c>
      <c r="C453" t="s">
        <v>218</v>
      </c>
      <c r="D453" s="50">
        <v>46023</v>
      </c>
      <c r="E453" s="2">
        <v>0.96499999999999997</v>
      </c>
      <c r="F453" s="2">
        <v>0.94599999999999995</v>
      </c>
      <c r="G453" t="s">
        <v>373</v>
      </c>
      <c r="H453" t="s">
        <v>373</v>
      </c>
      <c r="I453" s="2">
        <v>0</v>
      </c>
      <c r="J453" s="2">
        <v>0</v>
      </c>
      <c r="K453" s="2">
        <v>0</v>
      </c>
      <c r="L453" s="2">
        <v>0</v>
      </c>
      <c r="M453" s="51">
        <v>0</v>
      </c>
      <c r="N453" s="51">
        <v>0</v>
      </c>
      <c r="P453" s="51">
        <v>0</v>
      </c>
      <c r="Q453" s="51">
        <v>123544</v>
      </c>
      <c r="R453" s="51">
        <v>241869</v>
      </c>
      <c r="T453" s="51">
        <v>241869</v>
      </c>
      <c r="U453" s="2">
        <v>0</v>
      </c>
      <c r="V453" s="2">
        <v>0</v>
      </c>
      <c r="W453" t="s">
        <v>373</v>
      </c>
      <c r="X453" t="s">
        <v>373</v>
      </c>
      <c r="Y453">
        <v>337.19</v>
      </c>
      <c r="Z453">
        <v>373.51</v>
      </c>
      <c r="AB453" s="2">
        <v>1</v>
      </c>
      <c r="AC453">
        <v>131.18</v>
      </c>
      <c r="AD453">
        <v>138.52000000000001</v>
      </c>
      <c r="AF453" s="2">
        <v>1</v>
      </c>
      <c r="AG453">
        <v>234.87</v>
      </c>
      <c r="AH453">
        <v>276.43</v>
      </c>
      <c r="AJ453" s="2">
        <v>1</v>
      </c>
      <c r="AN453" t="s">
        <v>373</v>
      </c>
      <c r="AR453" t="s">
        <v>373</v>
      </c>
      <c r="AS453" t="s">
        <v>16</v>
      </c>
      <c r="AT453" t="str">
        <f t="shared" si="7"/>
        <v>Seymour - 109AL</v>
      </c>
    </row>
    <row r="454" spans="1:46" x14ac:dyDescent="0.25">
      <c r="A454" t="s">
        <v>316</v>
      </c>
      <c r="B454" t="s">
        <v>258</v>
      </c>
      <c r="C454" t="s">
        <v>218</v>
      </c>
      <c r="D454" s="50">
        <v>46054</v>
      </c>
      <c r="E454" s="2">
        <v>0.92600000000000005</v>
      </c>
      <c r="F454" s="2">
        <v>0.94599999999999995</v>
      </c>
      <c r="G454" t="s">
        <v>373</v>
      </c>
      <c r="H454" t="s">
        <v>373</v>
      </c>
      <c r="I454" s="2">
        <v>0</v>
      </c>
      <c r="J454" s="2">
        <v>0</v>
      </c>
      <c r="K454" s="2">
        <v>0</v>
      </c>
      <c r="L454" s="2">
        <v>0</v>
      </c>
      <c r="M454" s="51">
        <v>0</v>
      </c>
      <c r="N454" s="51">
        <v>0</v>
      </c>
      <c r="P454" s="51">
        <v>0</v>
      </c>
      <c r="Q454" s="51">
        <v>118325</v>
      </c>
      <c r="R454" s="51">
        <v>241869</v>
      </c>
      <c r="T454" s="51">
        <v>241869</v>
      </c>
      <c r="U454" s="2">
        <v>0</v>
      </c>
      <c r="V454" s="2">
        <v>0</v>
      </c>
      <c r="W454" t="s">
        <v>373</v>
      </c>
      <c r="X454" t="s">
        <v>373</v>
      </c>
      <c r="Y454">
        <v>409.82</v>
      </c>
      <c r="Z454">
        <v>373.51</v>
      </c>
      <c r="AB454" s="2">
        <v>1</v>
      </c>
      <c r="AC454">
        <v>145.87</v>
      </c>
      <c r="AD454">
        <v>138.52000000000001</v>
      </c>
      <c r="AF454" s="2">
        <v>1</v>
      </c>
      <c r="AG454">
        <v>317.99</v>
      </c>
      <c r="AH454">
        <v>276.43</v>
      </c>
      <c r="AJ454" s="2">
        <v>1</v>
      </c>
      <c r="AN454" t="s">
        <v>373</v>
      </c>
      <c r="AR454" t="s">
        <v>373</v>
      </c>
      <c r="AS454" t="s">
        <v>16</v>
      </c>
      <c r="AT454" t="str">
        <f t="shared" si="7"/>
        <v>Seymour - 109AL</v>
      </c>
    </row>
    <row r="455" spans="1:46" x14ac:dyDescent="0.25">
      <c r="A455" t="s">
        <v>316</v>
      </c>
      <c r="B455" t="s">
        <v>258</v>
      </c>
      <c r="C455" t="s">
        <v>219</v>
      </c>
      <c r="D455" s="50">
        <v>46023</v>
      </c>
      <c r="E455" s="2">
        <v>1</v>
      </c>
      <c r="F455" s="2">
        <v>0.98099999999999998</v>
      </c>
      <c r="G455" t="s">
        <v>373</v>
      </c>
      <c r="H455" t="s">
        <v>373</v>
      </c>
      <c r="I455" s="2">
        <v>0</v>
      </c>
      <c r="J455" s="2">
        <v>0</v>
      </c>
      <c r="K455" s="2">
        <v>0</v>
      </c>
      <c r="L455" s="2">
        <v>0</v>
      </c>
      <c r="M455" s="51">
        <v>0</v>
      </c>
      <c r="N455" s="51">
        <v>0</v>
      </c>
      <c r="P455" s="51">
        <v>0</v>
      </c>
      <c r="Q455" s="51">
        <v>257038</v>
      </c>
      <c r="R455" s="51">
        <v>496675</v>
      </c>
      <c r="T455" s="51">
        <v>496675</v>
      </c>
      <c r="U455" s="2">
        <v>0</v>
      </c>
      <c r="V455" s="2">
        <v>0</v>
      </c>
      <c r="W455" t="s">
        <v>373</v>
      </c>
      <c r="X455" t="s">
        <v>373</v>
      </c>
      <c r="Y455">
        <v>394.19</v>
      </c>
      <c r="Z455">
        <v>391.58</v>
      </c>
      <c r="AB455" s="2">
        <v>1</v>
      </c>
      <c r="AC455">
        <v>203.28</v>
      </c>
      <c r="AD455">
        <v>214.08</v>
      </c>
      <c r="AF455" s="2">
        <v>1</v>
      </c>
      <c r="AG455">
        <v>257.23</v>
      </c>
      <c r="AH455">
        <v>270.08999999999997</v>
      </c>
      <c r="AJ455" s="2">
        <v>1</v>
      </c>
      <c r="AN455" t="s">
        <v>373</v>
      </c>
      <c r="AO455">
        <v>100.74</v>
      </c>
      <c r="AP455">
        <v>106.91</v>
      </c>
      <c r="AR455" s="2">
        <v>1</v>
      </c>
      <c r="AS455" t="s">
        <v>16</v>
      </c>
      <c r="AT455" t="str">
        <f t="shared" si="7"/>
        <v>Shelbyville - 118AL</v>
      </c>
    </row>
    <row r="456" spans="1:46" x14ac:dyDescent="0.25">
      <c r="A456" t="s">
        <v>316</v>
      </c>
      <c r="B456" t="s">
        <v>258</v>
      </c>
      <c r="C456" t="s">
        <v>219</v>
      </c>
      <c r="D456" s="50">
        <v>46054</v>
      </c>
      <c r="E456" s="2">
        <v>0.96</v>
      </c>
      <c r="F456" s="2">
        <v>0.98099999999999998</v>
      </c>
      <c r="G456" t="s">
        <v>373</v>
      </c>
      <c r="H456" t="s">
        <v>373</v>
      </c>
      <c r="I456" s="2">
        <v>0</v>
      </c>
      <c r="J456" s="2">
        <v>0</v>
      </c>
      <c r="K456" s="2">
        <v>0</v>
      </c>
      <c r="L456" s="2">
        <v>0</v>
      </c>
      <c r="M456" s="51">
        <v>0</v>
      </c>
      <c r="N456" s="51">
        <v>0</v>
      </c>
      <c r="P456" s="51">
        <v>0</v>
      </c>
      <c r="Q456" s="51">
        <v>239637</v>
      </c>
      <c r="R456" s="51">
        <v>496675</v>
      </c>
      <c r="T456" s="51">
        <v>496675</v>
      </c>
      <c r="U456" s="2">
        <v>0</v>
      </c>
      <c r="V456" s="2">
        <v>0</v>
      </c>
      <c r="W456" t="s">
        <v>373</v>
      </c>
      <c r="X456" t="s">
        <v>373</v>
      </c>
      <c r="Y456">
        <v>388.98</v>
      </c>
      <c r="Z456">
        <v>391.58</v>
      </c>
      <c r="AB456" s="2">
        <v>1</v>
      </c>
      <c r="AC456">
        <v>224.87</v>
      </c>
      <c r="AD456">
        <v>214.08</v>
      </c>
      <c r="AF456" s="2">
        <v>1</v>
      </c>
      <c r="AG456">
        <v>282.95</v>
      </c>
      <c r="AH456">
        <v>270.08999999999997</v>
      </c>
      <c r="AJ456" s="2">
        <v>1</v>
      </c>
      <c r="AN456" t="s">
        <v>373</v>
      </c>
      <c r="AO456">
        <v>113.07</v>
      </c>
      <c r="AP456">
        <v>106.91</v>
      </c>
      <c r="AR456" s="2">
        <v>1</v>
      </c>
      <c r="AS456" t="s">
        <v>16</v>
      </c>
      <c r="AT456" t="str">
        <f t="shared" si="7"/>
        <v>Shelbyville - 118AL</v>
      </c>
    </row>
    <row r="457" spans="1:46" x14ac:dyDescent="0.25">
      <c r="A457" t="s">
        <v>316</v>
      </c>
      <c r="B457" t="s">
        <v>259</v>
      </c>
      <c r="C457" t="s">
        <v>89</v>
      </c>
      <c r="D457" s="50">
        <v>46023</v>
      </c>
      <c r="E457" s="2">
        <v>0.72199999999999998</v>
      </c>
      <c r="F457" s="2">
        <v>0.74</v>
      </c>
      <c r="G457" t="s">
        <v>373</v>
      </c>
      <c r="H457" t="s">
        <v>373</v>
      </c>
      <c r="I457" s="2">
        <v>0.5</v>
      </c>
      <c r="J457" s="2">
        <v>0.25</v>
      </c>
      <c r="K457" s="2">
        <v>0</v>
      </c>
      <c r="L457" s="2">
        <v>0.25</v>
      </c>
      <c r="M457" s="51">
        <v>1387</v>
      </c>
      <c r="N457" s="51">
        <v>3917</v>
      </c>
      <c r="P457" s="51">
        <v>3917</v>
      </c>
      <c r="Q457" s="51">
        <v>127906</v>
      </c>
      <c r="R457" s="51">
        <v>259622</v>
      </c>
      <c r="T457" s="51">
        <v>259622</v>
      </c>
      <c r="U457" s="2">
        <v>1.0999999999999999E-2</v>
      </c>
      <c r="V457" s="2">
        <v>1.4999999999999999E-2</v>
      </c>
      <c r="W457" t="s">
        <v>373</v>
      </c>
      <c r="X457" t="s">
        <v>373</v>
      </c>
      <c r="Y457">
        <v>408.33</v>
      </c>
      <c r="Z457">
        <v>404.27</v>
      </c>
      <c r="AB457" s="2">
        <v>1</v>
      </c>
      <c r="AC457">
        <v>150.72</v>
      </c>
      <c r="AD457">
        <v>157.55000000000001</v>
      </c>
      <c r="AF457" s="2">
        <v>1</v>
      </c>
      <c r="AJ457" t="s">
        <v>373</v>
      </c>
      <c r="AN457" t="s">
        <v>373</v>
      </c>
      <c r="AR457" t="s">
        <v>373</v>
      </c>
      <c r="AS457" t="s">
        <v>16</v>
      </c>
      <c r="AT457" t="str">
        <f t="shared" si="7"/>
        <v>Delphos - 407AL</v>
      </c>
    </row>
    <row r="458" spans="1:46" x14ac:dyDescent="0.25">
      <c r="A458" t="s">
        <v>316</v>
      </c>
      <c r="B458" t="s">
        <v>259</v>
      </c>
      <c r="C458" t="s">
        <v>89</v>
      </c>
      <c r="D458" s="50">
        <v>46054</v>
      </c>
      <c r="E458" s="2">
        <v>0.75900000000000001</v>
      </c>
      <c r="F458" s="2">
        <v>0.74</v>
      </c>
      <c r="G458" t="s">
        <v>373</v>
      </c>
      <c r="H458" t="s">
        <v>373</v>
      </c>
      <c r="I458" s="2">
        <v>0</v>
      </c>
      <c r="J458" s="2">
        <v>0.25</v>
      </c>
      <c r="K458" s="2">
        <v>0</v>
      </c>
      <c r="L458" s="2">
        <v>0.25</v>
      </c>
      <c r="M458" s="51">
        <v>2530</v>
      </c>
      <c r="N458" s="51">
        <v>3917</v>
      </c>
      <c r="P458" s="51">
        <v>3917</v>
      </c>
      <c r="Q458" s="51">
        <v>131716</v>
      </c>
      <c r="R458" s="51">
        <v>259622</v>
      </c>
      <c r="T458" s="51">
        <v>259622</v>
      </c>
      <c r="U458" s="2">
        <v>1.9E-2</v>
      </c>
      <c r="V458" s="2">
        <v>1.4999999999999999E-2</v>
      </c>
      <c r="W458" t="s">
        <v>373</v>
      </c>
      <c r="X458" t="s">
        <v>373</v>
      </c>
      <c r="Y458">
        <v>400.22</v>
      </c>
      <c r="Z458">
        <v>404.27</v>
      </c>
      <c r="AB458" s="2">
        <v>1</v>
      </c>
      <c r="AC458">
        <v>164.37</v>
      </c>
      <c r="AD458">
        <v>157.55000000000001</v>
      </c>
      <c r="AF458" s="2">
        <v>1</v>
      </c>
      <c r="AJ458" t="s">
        <v>373</v>
      </c>
      <c r="AN458" t="s">
        <v>373</v>
      </c>
      <c r="AR458" t="s">
        <v>373</v>
      </c>
      <c r="AS458" t="s">
        <v>16</v>
      </c>
      <c r="AT458" t="str">
        <f t="shared" si="7"/>
        <v>Delphos - 407AL</v>
      </c>
    </row>
    <row r="459" spans="1:46" x14ac:dyDescent="0.25">
      <c r="A459" t="s">
        <v>316</v>
      </c>
      <c r="B459" t="s">
        <v>259</v>
      </c>
      <c r="C459" t="s">
        <v>113</v>
      </c>
      <c r="D459" s="50">
        <v>46023</v>
      </c>
      <c r="E459" s="2">
        <v>0.85799999999999998</v>
      </c>
      <c r="F459" s="2">
        <v>0.87</v>
      </c>
      <c r="G459" t="s">
        <v>373</v>
      </c>
      <c r="H459" t="s">
        <v>373</v>
      </c>
      <c r="I459" s="2">
        <v>0</v>
      </c>
      <c r="J459" s="2">
        <v>0</v>
      </c>
      <c r="K459" s="2">
        <v>0</v>
      </c>
      <c r="L459" s="2">
        <v>0</v>
      </c>
      <c r="M459" s="51">
        <v>0</v>
      </c>
      <c r="N459" s="51">
        <v>0</v>
      </c>
      <c r="P459" s="51">
        <v>0</v>
      </c>
      <c r="Q459" s="51">
        <v>192807</v>
      </c>
      <c r="R459" s="51">
        <v>391744</v>
      </c>
      <c r="T459" s="51">
        <v>391744</v>
      </c>
      <c r="U459" s="2">
        <v>0</v>
      </c>
      <c r="V459" s="2">
        <v>0</v>
      </c>
      <c r="W459" t="s">
        <v>373</v>
      </c>
      <c r="X459" t="s">
        <v>373</v>
      </c>
      <c r="Y459">
        <v>400.58</v>
      </c>
      <c r="Z459">
        <v>404.67</v>
      </c>
      <c r="AB459" s="2">
        <v>1</v>
      </c>
      <c r="AC459">
        <v>171.1</v>
      </c>
      <c r="AD459">
        <v>180.61</v>
      </c>
      <c r="AF459" s="2">
        <v>1</v>
      </c>
      <c r="AG459">
        <v>224.03</v>
      </c>
      <c r="AH459">
        <v>234.62</v>
      </c>
      <c r="AJ459" s="2">
        <v>1</v>
      </c>
      <c r="AK459">
        <v>115.94</v>
      </c>
      <c r="AL459">
        <v>120.81</v>
      </c>
      <c r="AN459" s="2">
        <v>1</v>
      </c>
      <c r="AR459" t="s">
        <v>373</v>
      </c>
      <c r="AS459" t="s">
        <v>16</v>
      </c>
      <c r="AT459" t="str">
        <f t="shared" si="7"/>
        <v>Gahanna - 436AL</v>
      </c>
    </row>
    <row r="460" spans="1:46" x14ac:dyDescent="0.25">
      <c r="A460" t="s">
        <v>316</v>
      </c>
      <c r="B460" t="s">
        <v>259</v>
      </c>
      <c r="C460" t="s">
        <v>113</v>
      </c>
      <c r="D460" s="50">
        <v>46054</v>
      </c>
      <c r="E460" s="2">
        <v>0.88300000000000001</v>
      </c>
      <c r="F460" s="2">
        <v>0.87</v>
      </c>
      <c r="G460" t="s">
        <v>373</v>
      </c>
      <c r="H460" t="s">
        <v>373</v>
      </c>
      <c r="I460" s="2">
        <v>0</v>
      </c>
      <c r="J460" s="2">
        <v>0</v>
      </c>
      <c r="K460" s="2">
        <v>0</v>
      </c>
      <c r="L460" s="2">
        <v>0</v>
      </c>
      <c r="M460" s="51">
        <v>0</v>
      </c>
      <c r="N460" s="51">
        <v>0</v>
      </c>
      <c r="P460" s="51">
        <v>0</v>
      </c>
      <c r="Q460" s="51">
        <v>198937</v>
      </c>
      <c r="R460" s="51">
        <v>391744</v>
      </c>
      <c r="T460" s="51">
        <v>391744</v>
      </c>
      <c r="U460" s="2">
        <v>0</v>
      </c>
      <c r="V460" s="2">
        <v>0</v>
      </c>
      <c r="W460" t="s">
        <v>373</v>
      </c>
      <c r="X460" t="s">
        <v>373</v>
      </c>
      <c r="Y460">
        <v>408.76</v>
      </c>
      <c r="Z460">
        <v>404.67</v>
      </c>
      <c r="AB460" s="2">
        <v>1</v>
      </c>
      <c r="AC460">
        <v>190.12</v>
      </c>
      <c r="AD460">
        <v>180.61</v>
      </c>
      <c r="AF460" s="2">
        <v>1</v>
      </c>
      <c r="AG460">
        <v>245.21</v>
      </c>
      <c r="AH460">
        <v>234.62</v>
      </c>
      <c r="AJ460" s="2">
        <v>1</v>
      </c>
      <c r="AK460">
        <v>125.67</v>
      </c>
      <c r="AL460">
        <v>120.81</v>
      </c>
      <c r="AN460" s="2">
        <v>1</v>
      </c>
      <c r="AR460" t="s">
        <v>373</v>
      </c>
      <c r="AS460" t="s">
        <v>16</v>
      </c>
      <c r="AT460" t="str">
        <f t="shared" si="7"/>
        <v>Gahanna - 436AL</v>
      </c>
    </row>
    <row r="461" spans="1:46" x14ac:dyDescent="0.25">
      <c r="A461" t="s">
        <v>316</v>
      </c>
      <c r="B461" t="s">
        <v>259</v>
      </c>
      <c r="C461" t="s">
        <v>130</v>
      </c>
      <c r="D461" s="50">
        <v>46023</v>
      </c>
      <c r="E461" s="2">
        <v>0.998</v>
      </c>
      <c r="F461" s="2">
        <v>0.98799999999999999</v>
      </c>
      <c r="G461" t="s">
        <v>373</v>
      </c>
      <c r="H461" t="s">
        <v>373</v>
      </c>
      <c r="I461" s="2">
        <v>0</v>
      </c>
      <c r="J461" s="2">
        <v>0</v>
      </c>
      <c r="K461" s="2">
        <v>0</v>
      </c>
      <c r="L461" s="2">
        <v>0</v>
      </c>
      <c r="M461" s="51">
        <v>0</v>
      </c>
      <c r="N461" s="51">
        <v>0</v>
      </c>
      <c r="P461" s="51">
        <v>0</v>
      </c>
      <c r="Q461" s="51">
        <v>246723</v>
      </c>
      <c r="R461" s="51">
        <v>486417</v>
      </c>
      <c r="T461" s="51">
        <v>486417</v>
      </c>
      <c r="U461" s="2">
        <v>0</v>
      </c>
      <c r="V461" s="2">
        <v>0</v>
      </c>
      <c r="W461" t="s">
        <v>373</v>
      </c>
      <c r="X461" t="s">
        <v>373</v>
      </c>
      <c r="Y461">
        <v>415.64</v>
      </c>
      <c r="Z461">
        <v>420.73</v>
      </c>
      <c r="AB461" s="2">
        <v>1</v>
      </c>
      <c r="AC461">
        <v>184.2</v>
      </c>
      <c r="AD461">
        <v>194.07</v>
      </c>
      <c r="AF461" s="2">
        <v>1</v>
      </c>
      <c r="AG461">
        <v>235.93</v>
      </c>
      <c r="AH461">
        <v>247.28</v>
      </c>
      <c r="AJ461" s="2">
        <v>1</v>
      </c>
      <c r="AK461">
        <v>138.16</v>
      </c>
      <c r="AL461">
        <v>145.96</v>
      </c>
      <c r="AN461" s="2">
        <v>1</v>
      </c>
      <c r="AR461" t="s">
        <v>373</v>
      </c>
      <c r="AS461" t="s">
        <v>16</v>
      </c>
      <c r="AT461" t="str">
        <f t="shared" si="7"/>
        <v>Hilliard - 437AL</v>
      </c>
    </row>
    <row r="462" spans="1:46" x14ac:dyDescent="0.25">
      <c r="A462" t="s">
        <v>316</v>
      </c>
      <c r="B462" t="s">
        <v>259</v>
      </c>
      <c r="C462" t="s">
        <v>130</v>
      </c>
      <c r="D462" s="50">
        <v>46054</v>
      </c>
      <c r="E462" s="2">
        <v>0.97699999999999998</v>
      </c>
      <c r="F462" s="2">
        <v>0.98799999999999999</v>
      </c>
      <c r="G462" t="s">
        <v>373</v>
      </c>
      <c r="H462" t="s">
        <v>373</v>
      </c>
      <c r="I462" s="2">
        <v>0</v>
      </c>
      <c r="J462" s="2">
        <v>0</v>
      </c>
      <c r="K462" s="2">
        <v>0</v>
      </c>
      <c r="L462" s="2">
        <v>0</v>
      </c>
      <c r="M462" s="51">
        <v>0</v>
      </c>
      <c r="N462" s="51">
        <v>0</v>
      </c>
      <c r="P462" s="51">
        <v>0</v>
      </c>
      <c r="Q462" s="51">
        <v>239694</v>
      </c>
      <c r="R462" s="51">
        <v>486417</v>
      </c>
      <c r="T462" s="51">
        <v>486417</v>
      </c>
      <c r="U462" s="2">
        <v>0</v>
      </c>
      <c r="V462" s="2">
        <v>0</v>
      </c>
      <c r="W462" t="s">
        <v>373</v>
      </c>
      <c r="X462" t="s">
        <v>373</v>
      </c>
      <c r="Y462">
        <v>425.83</v>
      </c>
      <c r="Z462">
        <v>420.73</v>
      </c>
      <c r="AB462" s="2">
        <v>1</v>
      </c>
      <c r="AC462">
        <v>203.94</v>
      </c>
      <c r="AD462">
        <v>194.07</v>
      </c>
      <c r="AF462" s="2">
        <v>1</v>
      </c>
      <c r="AG462">
        <v>258.63</v>
      </c>
      <c r="AH462">
        <v>247.28</v>
      </c>
      <c r="AJ462" s="2">
        <v>1</v>
      </c>
      <c r="AK462">
        <v>153.76</v>
      </c>
      <c r="AL462">
        <v>145.96</v>
      </c>
      <c r="AN462" s="2">
        <v>1</v>
      </c>
      <c r="AR462" t="s">
        <v>373</v>
      </c>
      <c r="AS462" t="s">
        <v>16</v>
      </c>
      <c r="AT462" t="str">
        <f t="shared" si="7"/>
        <v>Hilliard - 437AL</v>
      </c>
    </row>
    <row r="463" spans="1:46" x14ac:dyDescent="0.25">
      <c r="A463" t="s">
        <v>316</v>
      </c>
      <c r="B463" t="s">
        <v>259</v>
      </c>
      <c r="C463" t="s">
        <v>147</v>
      </c>
      <c r="D463" s="50">
        <v>46023</v>
      </c>
      <c r="E463" s="2">
        <v>0.83899999999999997</v>
      </c>
      <c r="F463" s="2">
        <v>0.83699999999999997</v>
      </c>
      <c r="G463" t="s">
        <v>373</v>
      </c>
      <c r="H463" t="s">
        <v>373</v>
      </c>
      <c r="I463" s="2">
        <v>0</v>
      </c>
      <c r="J463" s="2">
        <v>0.14299999999999999</v>
      </c>
      <c r="K463" s="2">
        <v>0</v>
      </c>
      <c r="L463" s="2">
        <v>0.14299999999999999</v>
      </c>
      <c r="M463" s="51">
        <v>0</v>
      </c>
      <c r="N463" s="51">
        <v>0</v>
      </c>
      <c r="P463" s="51">
        <v>0</v>
      </c>
      <c r="Q463" s="51">
        <v>217254</v>
      </c>
      <c r="R463" s="51">
        <v>438798</v>
      </c>
      <c r="T463" s="51">
        <v>438798</v>
      </c>
      <c r="U463" s="2">
        <v>0</v>
      </c>
      <c r="V463" s="2">
        <v>0</v>
      </c>
      <c r="W463" t="s">
        <v>373</v>
      </c>
      <c r="X463" t="s">
        <v>373</v>
      </c>
      <c r="Y463">
        <v>384.7</v>
      </c>
      <c r="Z463">
        <v>386.26</v>
      </c>
      <c r="AB463" s="2">
        <v>1</v>
      </c>
      <c r="AC463">
        <v>191.29</v>
      </c>
      <c r="AD463">
        <v>201.14</v>
      </c>
      <c r="AF463" s="2">
        <v>1</v>
      </c>
      <c r="AG463">
        <v>256.70999999999998</v>
      </c>
      <c r="AH463">
        <v>271.14</v>
      </c>
      <c r="AJ463" s="2">
        <v>1</v>
      </c>
      <c r="AK463">
        <v>134.4</v>
      </c>
      <c r="AL463">
        <v>141.34</v>
      </c>
      <c r="AN463" s="2">
        <v>1</v>
      </c>
      <c r="AR463" t="s">
        <v>373</v>
      </c>
      <c r="AS463" t="s">
        <v>16</v>
      </c>
      <c r="AT463" t="str">
        <f t="shared" si="7"/>
        <v>Lancaster - 445AL</v>
      </c>
    </row>
    <row r="464" spans="1:46" x14ac:dyDescent="0.25">
      <c r="A464" t="s">
        <v>316</v>
      </c>
      <c r="B464" t="s">
        <v>259</v>
      </c>
      <c r="C464" t="s">
        <v>147</v>
      </c>
      <c r="D464" s="50">
        <v>46054</v>
      </c>
      <c r="E464" s="2">
        <v>0.83599999999999997</v>
      </c>
      <c r="F464" s="2">
        <v>0.83699999999999997</v>
      </c>
      <c r="G464" t="s">
        <v>373</v>
      </c>
      <c r="H464" t="s">
        <v>373</v>
      </c>
      <c r="I464" s="2">
        <v>0.2</v>
      </c>
      <c r="J464" s="2">
        <v>0.14299999999999999</v>
      </c>
      <c r="K464" s="2">
        <v>0</v>
      </c>
      <c r="L464" s="2">
        <v>0.14299999999999999</v>
      </c>
      <c r="M464" s="51">
        <v>0</v>
      </c>
      <c r="N464" s="51">
        <v>0</v>
      </c>
      <c r="P464" s="51">
        <v>0</v>
      </c>
      <c r="Q464" s="51">
        <v>221544</v>
      </c>
      <c r="R464" s="51">
        <v>438798</v>
      </c>
      <c r="T464" s="51">
        <v>438798</v>
      </c>
      <c r="U464" s="2">
        <v>0</v>
      </c>
      <c r="V464" s="2">
        <v>0</v>
      </c>
      <c r="W464" t="s">
        <v>373</v>
      </c>
      <c r="X464" t="s">
        <v>373</v>
      </c>
      <c r="Y464">
        <v>387.82</v>
      </c>
      <c r="Z464">
        <v>386.26</v>
      </c>
      <c r="AB464" s="2">
        <v>1</v>
      </c>
      <c r="AC464">
        <v>211</v>
      </c>
      <c r="AD464">
        <v>201.14</v>
      </c>
      <c r="AF464" s="2">
        <v>1</v>
      </c>
      <c r="AG464">
        <v>285.57</v>
      </c>
      <c r="AH464">
        <v>271.14</v>
      </c>
      <c r="AJ464" s="2">
        <v>1</v>
      </c>
      <c r="AK464">
        <v>148.27000000000001</v>
      </c>
      <c r="AL464">
        <v>141.34</v>
      </c>
      <c r="AN464" s="2">
        <v>1</v>
      </c>
      <c r="AR464" t="s">
        <v>373</v>
      </c>
      <c r="AS464" t="s">
        <v>16</v>
      </c>
      <c r="AT464" t="str">
        <f t="shared" si="7"/>
        <v>Lancaster - 445AL</v>
      </c>
    </row>
    <row r="465" spans="1:46" x14ac:dyDescent="0.25">
      <c r="A465" t="s">
        <v>316</v>
      </c>
      <c r="B465" t="s">
        <v>259</v>
      </c>
      <c r="C465" t="s">
        <v>163</v>
      </c>
      <c r="D465" s="50">
        <v>46023</v>
      </c>
      <c r="E465" s="2">
        <v>0.998</v>
      </c>
      <c r="F465" s="2">
        <v>0.99399999999999999</v>
      </c>
      <c r="G465" t="s">
        <v>373</v>
      </c>
      <c r="H465" t="s">
        <v>373</v>
      </c>
      <c r="I465" s="2">
        <v>0</v>
      </c>
      <c r="J465" s="2">
        <v>0</v>
      </c>
      <c r="K465" s="2">
        <v>0</v>
      </c>
      <c r="L465" s="2">
        <v>0</v>
      </c>
      <c r="M465" s="51">
        <v>0</v>
      </c>
      <c r="N465" s="51">
        <v>3000</v>
      </c>
      <c r="P465" s="51">
        <v>3000</v>
      </c>
      <c r="Q465" s="51">
        <v>253864</v>
      </c>
      <c r="R465" s="51">
        <v>501746</v>
      </c>
      <c r="T465" s="51">
        <v>501746</v>
      </c>
      <c r="U465" s="2">
        <v>0</v>
      </c>
      <c r="V465" s="2">
        <v>6.0000000000000001E-3</v>
      </c>
      <c r="W465" t="s">
        <v>373</v>
      </c>
      <c r="X465" t="s">
        <v>373</v>
      </c>
      <c r="Y465">
        <v>410.66</v>
      </c>
      <c r="Z465">
        <v>423.32</v>
      </c>
      <c r="AB465" s="2">
        <v>1</v>
      </c>
      <c r="AC465">
        <v>201.68</v>
      </c>
      <c r="AD465">
        <v>209.13</v>
      </c>
      <c r="AF465" s="2">
        <v>1</v>
      </c>
      <c r="AG465">
        <v>225.2</v>
      </c>
      <c r="AH465">
        <v>237.35</v>
      </c>
      <c r="AJ465" s="2">
        <v>1</v>
      </c>
      <c r="AN465" t="s">
        <v>373</v>
      </c>
      <c r="AR465" t="s">
        <v>373</v>
      </c>
      <c r="AS465" t="s">
        <v>16</v>
      </c>
      <c r="AT465" t="str">
        <f t="shared" si="7"/>
        <v>Lima SL - 433AL</v>
      </c>
    </row>
    <row r="466" spans="1:46" x14ac:dyDescent="0.25">
      <c r="A466" t="s">
        <v>316</v>
      </c>
      <c r="B466" t="s">
        <v>259</v>
      </c>
      <c r="C466" t="s">
        <v>163</v>
      </c>
      <c r="D466" s="50">
        <v>46054</v>
      </c>
      <c r="E466" s="2">
        <v>0.98899999999999999</v>
      </c>
      <c r="F466" s="2">
        <v>0.99399999999999999</v>
      </c>
      <c r="G466" t="s">
        <v>373</v>
      </c>
      <c r="H466" t="s">
        <v>373</v>
      </c>
      <c r="I466" s="2">
        <v>0</v>
      </c>
      <c r="J466" s="2">
        <v>0</v>
      </c>
      <c r="K466" s="2">
        <v>0</v>
      </c>
      <c r="L466" s="2">
        <v>0</v>
      </c>
      <c r="M466" s="51">
        <v>3000</v>
      </c>
      <c r="N466" s="51">
        <v>3000</v>
      </c>
      <c r="P466" s="51">
        <v>3000</v>
      </c>
      <c r="Q466" s="51">
        <v>247882</v>
      </c>
      <c r="R466" s="51">
        <v>501746</v>
      </c>
      <c r="T466" s="51">
        <v>501746</v>
      </c>
      <c r="U466" s="2">
        <v>1.2E-2</v>
      </c>
      <c r="V466" s="2">
        <v>6.0000000000000001E-3</v>
      </c>
      <c r="W466" t="s">
        <v>373</v>
      </c>
      <c r="X466" t="s">
        <v>373</v>
      </c>
      <c r="Y466">
        <v>435.98</v>
      </c>
      <c r="Z466">
        <v>423.32</v>
      </c>
      <c r="AB466" s="2">
        <v>1</v>
      </c>
      <c r="AC466">
        <v>216.57</v>
      </c>
      <c r="AD466">
        <v>209.13</v>
      </c>
      <c r="AF466" s="2">
        <v>1</v>
      </c>
      <c r="AG466">
        <v>249.5</v>
      </c>
      <c r="AH466">
        <v>237.35</v>
      </c>
      <c r="AJ466" s="2">
        <v>1</v>
      </c>
      <c r="AN466" t="s">
        <v>373</v>
      </c>
      <c r="AR466" t="s">
        <v>373</v>
      </c>
      <c r="AS466" t="s">
        <v>16</v>
      </c>
      <c r="AT466" t="str">
        <f t="shared" si="7"/>
        <v>Lima SL - 433AL</v>
      </c>
    </row>
    <row r="467" spans="1:46" x14ac:dyDescent="0.25">
      <c r="A467" t="s">
        <v>316</v>
      </c>
      <c r="B467" t="s">
        <v>259</v>
      </c>
      <c r="C467" t="s">
        <v>198</v>
      </c>
      <c r="D467" s="50">
        <v>46023</v>
      </c>
      <c r="E467" s="2">
        <v>0.995</v>
      </c>
      <c r="F467" s="2">
        <v>1.0549999999999999</v>
      </c>
      <c r="G467" t="s">
        <v>373</v>
      </c>
      <c r="H467" t="s">
        <v>373</v>
      </c>
      <c r="I467" s="2">
        <v>0</v>
      </c>
      <c r="J467" s="2">
        <v>0</v>
      </c>
      <c r="K467" s="2">
        <v>0</v>
      </c>
      <c r="L467" s="2">
        <v>0</v>
      </c>
      <c r="M467" s="51">
        <v>0</v>
      </c>
      <c r="N467" s="51">
        <v>2226</v>
      </c>
      <c r="P467" s="51">
        <v>2226</v>
      </c>
      <c r="Q467" s="51">
        <v>239299</v>
      </c>
      <c r="R467" s="51">
        <v>506994</v>
      </c>
      <c r="T467" s="51">
        <v>506994</v>
      </c>
      <c r="U467" s="2">
        <v>0</v>
      </c>
      <c r="V467" s="2">
        <v>4.0000000000000001E-3</v>
      </c>
      <c r="W467" t="s">
        <v>373</v>
      </c>
      <c r="X467" t="s">
        <v>373</v>
      </c>
      <c r="Y467">
        <v>387.86</v>
      </c>
      <c r="Z467">
        <v>401.36</v>
      </c>
      <c r="AB467" s="2">
        <v>1</v>
      </c>
      <c r="AC467">
        <v>192.66</v>
      </c>
      <c r="AD467">
        <v>202.74</v>
      </c>
      <c r="AF467" s="2">
        <v>1</v>
      </c>
      <c r="AG467">
        <v>218.82</v>
      </c>
      <c r="AH467">
        <v>230.71</v>
      </c>
      <c r="AJ467" s="2">
        <v>1</v>
      </c>
      <c r="AK467">
        <v>112.35</v>
      </c>
      <c r="AL467">
        <v>120.33</v>
      </c>
      <c r="AN467" s="2">
        <v>1</v>
      </c>
      <c r="AR467" t="s">
        <v>373</v>
      </c>
      <c r="AS467" t="s">
        <v>16</v>
      </c>
      <c r="AT467" t="str">
        <f t="shared" si="7"/>
        <v>New Albany SM - 438AL</v>
      </c>
    </row>
    <row r="468" spans="1:46" x14ac:dyDescent="0.25">
      <c r="A468" t="s">
        <v>316</v>
      </c>
      <c r="B468" t="s">
        <v>259</v>
      </c>
      <c r="C468" t="s">
        <v>198</v>
      </c>
      <c r="D468" s="50">
        <v>46054</v>
      </c>
      <c r="E468" s="2">
        <v>1.1220000000000001</v>
      </c>
      <c r="F468" s="2">
        <v>1.0549999999999999</v>
      </c>
      <c r="G468" t="s">
        <v>373</v>
      </c>
      <c r="H468" t="s">
        <v>373</v>
      </c>
      <c r="I468" s="2">
        <v>0</v>
      </c>
      <c r="J468" s="2">
        <v>0</v>
      </c>
      <c r="K468" s="2">
        <v>0</v>
      </c>
      <c r="L468" s="2">
        <v>0</v>
      </c>
      <c r="M468" s="51">
        <v>2226</v>
      </c>
      <c r="N468" s="51">
        <v>2226</v>
      </c>
      <c r="P468" s="51">
        <v>2226</v>
      </c>
      <c r="Q468" s="51">
        <v>267695</v>
      </c>
      <c r="R468" s="51">
        <v>506994</v>
      </c>
      <c r="T468" s="51">
        <v>506994</v>
      </c>
      <c r="U468" s="2">
        <v>8.0000000000000002E-3</v>
      </c>
      <c r="V468" s="2">
        <v>4.0000000000000001E-3</v>
      </c>
      <c r="W468" t="s">
        <v>373</v>
      </c>
      <c r="X468" t="s">
        <v>373</v>
      </c>
      <c r="Y468">
        <v>414.86</v>
      </c>
      <c r="Z468">
        <v>401.36</v>
      </c>
      <c r="AB468" s="2">
        <v>1</v>
      </c>
      <c r="AC468">
        <v>212.82</v>
      </c>
      <c r="AD468">
        <v>202.74</v>
      </c>
      <c r="AF468" s="2">
        <v>1</v>
      </c>
      <c r="AG468">
        <v>242.59</v>
      </c>
      <c r="AH468">
        <v>230.71</v>
      </c>
      <c r="AJ468" s="2">
        <v>1</v>
      </c>
      <c r="AK468">
        <v>128.30000000000001</v>
      </c>
      <c r="AL468">
        <v>120.33</v>
      </c>
      <c r="AN468" s="2">
        <v>1</v>
      </c>
      <c r="AR468" t="s">
        <v>373</v>
      </c>
      <c r="AS468" t="s">
        <v>16</v>
      </c>
      <c r="AT468" t="str">
        <f t="shared" si="7"/>
        <v>New Albany SM - 438AL</v>
      </c>
    </row>
    <row r="469" spans="1:46" x14ac:dyDescent="0.25">
      <c r="A469" t="s">
        <v>316</v>
      </c>
      <c r="B469" t="s">
        <v>259</v>
      </c>
      <c r="C469" t="s">
        <v>211</v>
      </c>
      <c r="D469" s="50">
        <v>46023</v>
      </c>
      <c r="E469" s="2">
        <v>0.81200000000000006</v>
      </c>
      <c r="F469" s="2">
        <v>0.80400000000000005</v>
      </c>
      <c r="G469" t="s">
        <v>373</v>
      </c>
      <c r="H469" t="s">
        <v>373</v>
      </c>
      <c r="I469" s="2">
        <v>0</v>
      </c>
      <c r="J469" s="2">
        <v>0</v>
      </c>
      <c r="K469" s="2">
        <v>0</v>
      </c>
      <c r="L469" s="2">
        <v>0</v>
      </c>
      <c r="M469" s="51">
        <v>0</v>
      </c>
      <c r="N469" s="51">
        <v>0</v>
      </c>
      <c r="P469" s="51">
        <v>0</v>
      </c>
      <c r="Q469" s="51">
        <v>222092</v>
      </c>
      <c r="R469" s="51">
        <v>438042</v>
      </c>
      <c r="T469" s="51">
        <v>438042</v>
      </c>
      <c r="U469" s="2">
        <v>0</v>
      </c>
      <c r="V469" s="2">
        <v>0</v>
      </c>
      <c r="W469" t="s">
        <v>373</v>
      </c>
      <c r="X469" t="s">
        <v>373</v>
      </c>
      <c r="Y469">
        <v>418.29</v>
      </c>
      <c r="Z469">
        <v>415.27</v>
      </c>
      <c r="AB469" s="2">
        <v>1</v>
      </c>
      <c r="AC469">
        <v>203.64</v>
      </c>
      <c r="AD469">
        <v>213.64</v>
      </c>
      <c r="AF469" s="2">
        <v>1</v>
      </c>
      <c r="AG469">
        <v>260.22000000000003</v>
      </c>
      <c r="AH469">
        <v>274.42</v>
      </c>
      <c r="AJ469" s="2">
        <v>1</v>
      </c>
      <c r="AK469">
        <v>139.03</v>
      </c>
      <c r="AL469">
        <v>145.86000000000001</v>
      </c>
      <c r="AN469" s="2">
        <v>1</v>
      </c>
      <c r="AR469" t="s">
        <v>373</v>
      </c>
      <c r="AS469" t="s">
        <v>16</v>
      </c>
      <c r="AT469" t="str">
        <f t="shared" si="7"/>
        <v>Pickerington - 421AL</v>
      </c>
    </row>
    <row r="470" spans="1:46" x14ac:dyDescent="0.25">
      <c r="A470" t="s">
        <v>316</v>
      </c>
      <c r="B470" t="s">
        <v>259</v>
      </c>
      <c r="C470" t="s">
        <v>211</v>
      </c>
      <c r="D470" s="50">
        <v>46054</v>
      </c>
      <c r="E470" s="2">
        <v>0.79500000000000004</v>
      </c>
      <c r="F470" s="2">
        <v>0.80400000000000005</v>
      </c>
      <c r="G470" t="s">
        <v>373</v>
      </c>
      <c r="H470" t="s">
        <v>373</v>
      </c>
      <c r="I470" s="2">
        <v>0</v>
      </c>
      <c r="J470" s="2">
        <v>0</v>
      </c>
      <c r="K470" s="2">
        <v>0</v>
      </c>
      <c r="L470" s="2">
        <v>0</v>
      </c>
      <c r="M470" s="51">
        <v>0</v>
      </c>
      <c r="N470" s="51">
        <v>0</v>
      </c>
      <c r="P470" s="51">
        <v>0</v>
      </c>
      <c r="Q470" s="51">
        <v>215950</v>
      </c>
      <c r="R470" s="51">
        <v>438042</v>
      </c>
      <c r="T470" s="51">
        <v>438042</v>
      </c>
      <c r="U470" s="2">
        <v>0</v>
      </c>
      <c r="V470" s="2">
        <v>0</v>
      </c>
      <c r="W470" t="s">
        <v>373</v>
      </c>
      <c r="X470" t="s">
        <v>373</v>
      </c>
      <c r="Y470">
        <v>412.25</v>
      </c>
      <c r="Z470">
        <v>415.27</v>
      </c>
      <c r="AB470" s="2">
        <v>1</v>
      </c>
      <c r="AC470">
        <v>223.64</v>
      </c>
      <c r="AD470">
        <v>213.64</v>
      </c>
      <c r="AF470" s="2">
        <v>1</v>
      </c>
      <c r="AG470">
        <v>288.62</v>
      </c>
      <c r="AH470">
        <v>274.42</v>
      </c>
      <c r="AJ470" s="2">
        <v>1</v>
      </c>
      <c r="AK470">
        <v>152.69999999999999</v>
      </c>
      <c r="AL470">
        <v>145.86000000000001</v>
      </c>
      <c r="AN470" s="2">
        <v>1</v>
      </c>
      <c r="AR470" t="s">
        <v>373</v>
      </c>
      <c r="AS470" t="s">
        <v>16</v>
      </c>
      <c r="AT470" t="str">
        <f t="shared" si="7"/>
        <v>Pickerington - 421AL</v>
      </c>
    </row>
    <row r="471" spans="1:46" x14ac:dyDescent="0.25">
      <c r="A471" t="s">
        <v>316</v>
      </c>
      <c r="B471" t="s">
        <v>259</v>
      </c>
      <c r="C471" t="s">
        <v>250</v>
      </c>
      <c r="D471" s="50">
        <v>46023</v>
      </c>
      <c r="E471" s="2">
        <v>0.97499999999999998</v>
      </c>
      <c r="F471" s="2">
        <v>0.98499999999999999</v>
      </c>
      <c r="G471" t="s">
        <v>373</v>
      </c>
      <c r="H471" t="s">
        <v>373</v>
      </c>
      <c r="I471" s="2">
        <v>0</v>
      </c>
      <c r="J471" s="2">
        <v>0</v>
      </c>
      <c r="K471" s="2">
        <v>0</v>
      </c>
      <c r="L471" s="2">
        <v>0</v>
      </c>
      <c r="M471" s="51">
        <v>0</v>
      </c>
      <c r="N471" s="51">
        <v>0</v>
      </c>
      <c r="P471" s="51">
        <v>0</v>
      </c>
      <c r="Q471" s="51">
        <v>111062</v>
      </c>
      <c r="R471" s="51">
        <v>222905</v>
      </c>
      <c r="T471" s="51">
        <v>222905</v>
      </c>
      <c r="U471" s="2">
        <v>0</v>
      </c>
      <c r="V471" s="2">
        <v>0</v>
      </c>
      <c r="W471" t="s">
        <v>373</v>
      </c>
      <c r="X471" t="s">
        <v>373</v>
      </c>
      <c r="Y471">
        <v>366.55</v>
      </c>
      <c r="Z471">
        <v>362.97</v>
      </c>
      <c r="AB471" s="2">
        <v>1</v>
      </c>
      <c r="AC471">
        <v>187.24</v>
      </c>
      <c r="AD471">
        <v>196.66</v>
      </c>
      <c r="AF471" s="2">
        <v>1</v>
      </c>
      <c r="AJ471" t="s">
        <v>373</v>
      </c>
      <c r="AN471" t="s">
        <v>373</v>
      </c>
      <c r="AR471" t="s">
        <v>373</v>
      </c>
      <c r="AS471" t="s">
        <v>16</v>
      </c>
      <c r="AT471" t="str">
        <f t="shared" si="7"/>
        <v>Zanesville OB - 2425AL</v>
      </c>
    </row>
    <row r="472" spans="1:46" x14ac:dyDescent="0.25">
      <c r="A472" t="s">
        <v>316</v>
      </c>
      <c r="B472" t="s">
        <v>259</v>
      </c>
      <c r="C472" t="s">
        <v>250</v>
      </c>
      <c r="D472" s="50">
        <v>46054</v>
      </c>
      <c r="E472" s="2">
        <v>0.996</v>
      </c>
      <c r="F472" s="2">
        <v>0.98499999999999999</v>
      </c>
      <c r="G472" t="s">
        <v>373</v>
      </c>
      <c r="H472" t="s">
        <v>373</v>
      </c>
      <c r="I472" s="2">
        <v>0</v>
      </c>
      <c r="J472" s="2">
        <v>0</v>
      </c>
      <c r="K472" s="2">
        <v>0</v>
      </c>
      <c r="L472" s="2">
        <v>0</v>
      </c>
      <c r="M472" s="51">
        <v>0</v>
      </c>
      <c r="N472" s="51">
        <v>0</v>
      </c>
      <c r="P472" s="51">
        <v>0</v>
      </c>
      <c r="Q472" s="51">
        <v>111843</v>
      </c>
      <c r="R472" s="51">
        <v>222905</v>
      </c>
      <c r="T472" s="51">
        <v>222905</v>
      </c>
      <c r="U472" s="2">
        <v>0</v>
      </c>
      <c r="V472" s="2">
        <v>0</v>
      </c>
      <c r="W472" t="s">
        <v>373</v>
      </c>
      <c r="X472" t="s">
        <v>373</v>
      </c>
      <c r="Y472">
        <v>359.39</v>
      </c>
      <c r="Z472">
        <v>362.97</v>
      </c>
      <c r="AB472" s="2">
        <v>1</v>
      </c>
      <c r="AC472">
        <v>206.09</v>
      </c>
      <c r="AD472">
        <v>196.66</v>
      </c>
      <c r="AF472" s="2">
        <v>1</v>
      </c>
      <c r="AJ472" t="s">
        <v>373</v>
      </c>
      <c r="AN472" t="s">
        <v>373</v>
      </c>
      <c r="AR472" t="s">
        <v>373</v>
      </c>
      <c r="AS472" t="s">
        <v>16</v>
      </c>
      <c r="AT472" t="str">
        <f t="shared" si="7"/>
        <v>Zanesville OB - 2425AL</v>
      </c>
    </row>
    <row r="473" spans="1:46" x14ac:dyDescent="0.25">
      <c r="A473" t="s">
        <v>316</v>
      </c>
      <c r="B473" t="s">
        <v>260</v>
      </c>
      <c r="C473" t="s">
        <v>56</v>
      </c>
      <c r="D473" s="50">
        <v>46023</v>
      </c>
      <c r="E473" s="2">
        <v>0.70599999999999996</v>
      </c>
      <c r="F473" s="2">
        <v>0.754</v>
      </c>
      <c r="G473" t="s">
        <v>373</v>
      </c>
      <c r="H473" t="s">
        <v>373</v>
      </c>
      <c r="I473" s="2">
        <v>0</v>
      </c>
      <c r="J473" s="2">
        <v>0</v>
      </c>
      <c r="K473" s="2">
        <v>0</v>
      </c>
      <c r="L473" s="2">
        <v>0</v>
      </c>
      <c r="M473" s="51">
        <v>0</v>
      </c>
      <c r="N473" s="51">
        <v>1000</v>
      </c>
      <c r="P473" s="51">
        <v>1000</v>
      </c>
      <c r="Q473" s="51">
        <v>196888</v>
      </c>
      <c r="R473" s="51">
        <v>410992</v>
      </c>
      <c r="T473" s="51">
        <v>410992</v>
      </c>
      <c r="U473" s="2">
        <v>0</v>
      </c>
      <c r="V473" s="2">
        <v>2E-3</v>
      </c>
      <c r="W473" t="s">
        <v>373</v>
      </c>
      <c r="X473" t="s">
        <v>373</v>
      </c>
      <c r="Y473">
        <v>368.02</v>
      </c>
      <c r="Z473">
        <v>368.35</v>
      </c>
      <c r="AB473" s="2">
        <v>1</v>
      </c>
      <c r="AC473">
        <v>234.75</v>
      </c>
      <c r="AD473">
        <v>235.74</v>
      </c>
      <c r="AF473" s="2">
        <v>1</v>
      </c>
      <c r="AG473">
        <v>268.04000000000002</v>
      </c>
      <c r="AH473">
        <v>281.05</v>
      </c>
      <c r="AJ473" s="2">
        <v>1</v>
      </c>
      <c r="AN473" t="s">
        <v>373</v>
      </c>
      <c r="AR473" t="s">
        <v>373</v>
      </c>
      <c r="AS473" t="s">
        <v>16</v>
      </c>
      <c r="AT473" t="str">
        <f t="shared" si="7"/>
        <v>Boonville - 110AL</v>
      </c>
    </row>
    <row r="474" spans="1:46" x14ac:dyDescent="0.25">
      <c r="A474" t="s">
        <v>316</v>
      </c>
      <c r="B474" t="s">
        <v>260</v>
      </c>
      <c r="C474" t="s">
        <v>56</v>
      </c>
      <c r="D474" s="50">
        <v>46054</v>
      </c>
      <c r="E474" s="2">
        <v>0.80700000000000005</v>
      </c>
      <c r="F474" s="2">
        <v>0.754</v>
      </c>
      <c r="G474" t="s">
        <v>373</v>
      </c>
      <c r="H474" t="s">
        <v>373</v>
      </c>
      <c r="I474" s="2">
        <v>0</v>
      </c>
      <c r="J474" s="2">
        <v>0</v>
      </c>
      <c r="K474" s="2">
        <v>0</v>
      </c>
      <c r="L474" s="2">
        <v>0</v>
      </c>
      <c r="M474" s="51">
        <v>1000</v>
      </c>
      <c r="N474" s="51">
        <v>1000</v>
      </c>
      <c r="P474" s="51">
        <v>1000</v>
      </c>
      <c r="Q474" s="51">
        <v>214104</v>
      </c>
      <c r="R474" s="51">
        <v>410992</v>
      </c>
      <c r="T474" s="51">
        <v>410992</v>
      </c>
      <c r="U474" s="2">
        <v>5.0000000000000001E-3</v>
      </c>
      <c r="V474" s="2">
        <v>2E-3</v>
      </c>
      <c r="W474" t="s">
        <v>373</v>
      </c>
      <c r="X474" t="s">
        <v>373</v>
      </c>
      <c r="Y474">
        <v>368.68</v>
      </c>
      <c r="Z474">
        <v>368.35</v>
      </c>
      <c r="AB474" s="2">
        <v>1</v>
      </c>
      <c r="AC474">
        <v>236.73</v>
      </c>
      <c r="AD474">
        <v>235.74</v>
      </c>
      <c r="AF474" s="2">
        <v>1</v>
      </c>
      <c r="AG474">
        <v>294.06</v>
      </c>
      <c r="AH474">
        <v>281.05</v>
      </c>
      <c r="AJ474" s="2">
        <v>1</v>
      </c>
      <c r="AN474" t="s">
        <v>373</v>
      </c>
      <c r="AR474" t="s">
        <v>373</v>
      </c>
      <c r="AS474" t="s">
        <v>16</v>
      </c>
      <c r="AT474" t="str">
        <f t="shared" si="7"/>
        <v>Boonville - 110AL</v>
      </c>
    </row>
    <row r="475" spans="1:46" x14ac:dyDescent="0.25">
      <c r="A475" t="s">
        <v>316</v>
      </c>
      <c r="B475" t="s">
        <v>260</v>
      </c>
      <c r="C475" t="s">
        <v>96</v>
      </c>
      <c r="D475" s="50">
        <v>46023</v>
      </c>
      <c r="E475" s="2">
        <v>0.995</v>
      </c>
      <c r="F475" s="2">
        <v>0.995</v>
      </c>
      <c r="G475" t="s">
        <v>373</v>
      </c>
      <c r="H475" t="s">
        <v>373</v>
      </c>
      <c r="I475" s="2">
        <v>0</v>
      </c>
      <c r="J475" s="2">
        <v>0</v>
      </c>
      <c r="K475" s="2">
        <v>0</v>
      </c>
      <c r="L475" s="2">
        <v>0</v>
      </c>
      <c r="M475" s="51">
        <v>0</v>
      </c>
      <c r="N475" s="51">
        <v>1500</v>
      </c>
      <c r="P475" s="51">
        <v>1500</v>
      </c>
      <c r="Q475" s="51">
        <v>266206</v>
      </c>
      <c r="R475" s="51">
        <v>531951</v>
      </c>
      <c r="T475" s="51">
        <v>531951</v>
      </c>
      <c r="U475" s="2">
        <v>0</v>
      </c>
      <c r="V475" s="2">
        <v>3.0000000000000001E-3</v>
      </c>
      <c r="W475" t="s">
        <v>373</v>
      </c>
      <c r="X475" t="s">
        <v>373</v>
      </c>
      <c r="Y475">
        <v>454.6</v>
      </c>
      <c r="Z475">
        <v>452.87</v>
      </c>
      <c r="AB475" s="2">
        <v>1</v>
      </c>
      <c r="AC475">
        <v>236.3</v>
      </c>
      <c r="AD475">
        <v>247.55</v>
      </c>
      <c r="AF475" s="2">
        <v>1</v>
      </c>
      <c r="AG475">
        <v>291.17</v>
      </c>
      <c r="AH475">
        <v>306.83</v>
      </c>
      <c r="AJ475" s="2">
        <v>1</v>
      </c>
      <c r="AN475" t="s">
        <v>373</v>
      </c>
      <c r="AO475">
        <v>102.48</v>
      </c>
      <c r="AP475">
        <v>107.55</v>
      </c>
      <c r="AR475" s="2">
        <v>1</v>
      </c>
      <c r="AS475" t="s">
        <v>16</v>
      </c>
      <c r="AT475" t="str">
        <f t="shared" si="7"/>
        <v>Evansville NR - 2186AL</v>
      </c>
    </row>
    <row r="476" spans="1:46" x14ac:dyDescent="0.25">
      <c r="A476" t="s">
        <v>316</v>
      </c>
      <c r="B476" t="s">
        <v>260</v>
      </c>
      <c r="C476" t="s">
        <v>96</v>
      </c>
      <c r="D476" s="50">
        <v>46054</v>
      </c>
      <c r="E476" s="2">
        <v>0.995</v>
      </c>
      <c r="F476" s="2">
        <v>0.995</v>
      </c>
      <c r="G476" t="s">
        <v>373</v>
      </c>
      <c r="H476" t="s">
        <v>373</v>
      </c>
      <c r="I476" s="2">
        <v>0</v>
      </c>
      <c r="J476" s="2">
        <v>0</v>
      </c>
      <c r="K476" s="2">
        <v>0</v>
      </c>
      <c r="L476" s="2">
        <v>0</v>
      </c>
      <c r="M476" s="51">
        <v>1500</v>
      </c>
      <c r="N476" s="51">
        <v>1500</v>
      </c>
      <c r="P476" s="51">
        <v>1500</v>
      </c>
      <c r="Q476" s="51">
        <v>265745</v>
      </c>
      <c r="R476" s="51">
        <v>531951</v>
      </c>
      <c r="T476" s="51">
        <v>531951</v>
      </c>
      <c r="U476" s="2">
        <v>6.0000000000000001E-3</v>
      </c>
      <c r="V476" s="2">
        <v>3.0000000000000001E-3</v>
      </c>
      <c r="W476" t="s">
        <v>373</v>
      </c>
      <c r="X476" t="s">
        <v>373</v>
      </c>
      <c r="Y476">
        <v>451.14</v>
      </c>
      <c r="Z476">
        <v>452.87</v>
      </c>
      <c r="AB476" s="2">
        <v>1</v>
      </c>
      <c r="AC476">
        <v>258.8</v>
      </c>
      <c r="AD476">
        <v>247.55</v>
      </c>
      <c r="AF476" s="2">
        <v>1</v>
      </c>
      <c r="AG476">
        <v>322.49</v>
      </c>
      <c r="AH476">
        <v>306.83</v>
      </c>
      <c r="AJ476" s="2">
        <v>1</v>
      </c>
      <c r="AN476" t="s">
        <v>373</v>
      </c>
      <c r="AO476">
        <v>112.63</v>
      </c>
      <c r="AP476">
        <v>107.55</v>
      </c>
      <c r="AR476" s="2">
        <v>1</v>
      </c>
      <c r="AS476" t="s">
        <v>16</v>
      </c>
      <c r="AT476" t="str">
        <f t="shared" si="7"/>
        <v>Evansville NR - 2186AL</v>
      </c>
    </row>
    <row r="477" spans="1:46" x14ac:dyDescent="0.25">
      <c r="A477" t="s">
        <v>316</v>
      </c>
      <c r="B477" t="s">
        <v>260</v>
      </c>
      <c r="C477" t="s">
        <v>98</v>
      </c>
      <c r="D477" s="50">
        <v>46023</v>
      </c>
      <c r="E477" s="2">
        <v>0.95499999999999996</v>
      </c>
      <c r="F477" s="2">
        <v>0.96199999999999997</v>
      </c>
      <c r="G477" t="s">
        <v>373</v>
      </c>
      <c r="H477" t="s">
        <v>373</v>
      </c>
      <c r="I477" s="2">
        <v>0</v>
      </c>
      <c r="J477" s="2">
        <v>0</v>
      </c>
      <c r="K477" s="2">
        <v>0</v>
      </c>
      <c r="L477" s="2">
        <v>0</v>
      </c>
      <c r="M477" s="51">
        <v>0</v>
      </c>
      <c r="N477" s="51">
        <v>0</v>
      </c>
      <c r="P477" s="51">
        <v>0</v>
      </c>
      <c r="Q477" s="51">
        <v>255936</v>
      </c>
      <c r="R477" s="51">
        <v>512864</v>
      </c>
      <c r="T477" s="51">
        <v>512864</v>
      </c>
      <c r="U477" s="2">
        <v>0</v>
      </c>
      <c r="V477" s="2">
        <v>0</v>
      </c>
      <c r="W477" t="s">
        <v>373</v>
      </c>
      <c r="X477" t="s">
        <v>373</v>
      </c>
      <c r="Y477">
        <v>443.38</v>
      </c>
      <c r="Z477">
        <v>441.25</v>
      </c>
      <c r="AB477" s="2">
        <v>1</v>
      </c>
      <c r="AC477">
        <v>184.14</v>
      </c>
      <c r="AD477">
        <v>194.28</v>
      </c>
      <c r="AF477" s="2">
        <v>1</v>
      </c>
      <c r="AJ477" t="s">
        <v>373</v>
      </c>
      <c r="AN477" t="s">
        <v>373</v>
      </c>
      <c r="AR477" t="s">
        <v>373</v>
      </c>
      <c r="AS477" t="s">
        <v>16</v>
      </c>
      <c r="AT477" t="str">
        <f t="shared" si="7"/>
        <v>Evansville RP - 111AL</v>
      </c>
    </row>
    <row r="478" spans="1:46" x14ac:dyDescent="0.25">
      <c r="A478" t="s">
        <v>316</v>
      </c>
      <c r="B478" t="s">
        <v>260</v>
      </c>
      <c r="C478" t="s">
        <v>98</v>
      </c>
      <c r="D478" s="50">
        <v>46054</v>
      </c>
      <c r="E478" s="2">
        <v>0.96899999999999997</v>
      </c>
      <c r="F478" s="2">
        <v>0.96199999999999997</v>
      </c>
      <c r="G478" t="s">
        <v>373</v>
      </c>
      <c r="H478" t="s">
        <v>373</v>
      </c>
      <c r="I478" s="2">
        <v>0</v>
      </c>
      <c r="J478" s="2">
        <v>0</v>
      </c>
      <c r="K478" s="2">
        <v>0</v>
      </c>
      <c r="L478" s="2">
        <v>0</v>
      </c>
      <c r="M478" s="51">
        <v>0</v>
      </c>
      <c r="N478" s="51">
        <v>0</v>
      </c>
      <c r="P478" s="51">
        <v>0</v>
      </c>
      <c r="Q478" s="51">
        <v>256928</v>
      </c>
      <c r="R478" s="51">
        <v>512864</v>
      </c>
      <c r="T478" s="51">
        <v>512864</v>
      </c>
      <c r="U478" s="2">
        <v>0</v>
      </c>
      <c r="V478" s="2">
        <v>0</v>
      </c>
      <c r="W478" t="s">
        <v>373</v>
      </c>
      <c r="X478" t="s">
        <v>373</v>
      </c>
      <c r="Y478">
        <v>439.12</v>
      </c>
      <c r="Z478">
        <v>441.25</v>
      </c>
      <c r="AB478" s="2">
        <v>1</v>
      </c>
      <c r="AC478">
        <v>204.42</v>
      </c>
      <c r="AD478">
        <v>194.28</v>
      </c>
      <c r="AF478" s="2">
        <v>1</v>
      </c>
      <c r="AJ478" t="s">
        <v>373</v>
      </c>
      <c r="AN478" t="s">
        <v>373</v>
      </c>
      <c r="AR478" t="s">
        <v>373</v>
      </c>
      <c r="AS478" t="s">
        <v>16</v>
      </c>
      <c r="AT478" t="str">
        <f t="shared" si="7"/>
        <v>Evansville RP - 111AL</v>
      </c>
    </row>
    <row r="479" spans="1:46" x14ac:dyDescent="0.25">
      <c r="A479" t="s">
        <v>316</v>
      </c>
      <c r="B479" t="s">
        <v>260</v>
      </c>
      <c r="C479" t="s">
        <v>100</v>
      </c>
      <c r="D479" s="50">
        <v>46023</v>
      </c>
      <c r="E479" s="2">
        <v>0.90800000000000003</v>
      </c>
      <c r="F479" s="2">
        <v>0.91100000000000003</v>
      </c>
      <c r="G479" t="s">
        <v>373</v>
      </c>
      <c r="H479" t="s">
        <v>373</v>
      </c>
      <c r="I479" s="2">
        <v>0</v>
      </c>
      <c r="J479" s="2">
        <v>0</v>
      </c>
      <c r="K479" s="2">
        <v>0</v>
      </c>
      <c r="L479" s="2">
        <v>0</v>
      </c>
      <c r="M479" s="51">
        <v>0</v>
      </c>
      <c r="N479" s="51">
        <v>0</v>
      </c>
      <c r="P479" s="51">
        <v>0</v>
      </c>
      <c r="Q479" s="51">
        <v>454816</v>
      </c>
      <c r="R479" s="51">
        <v>904338</v>
      </c>
      <c r="T479" s="51">
        <v>904338</v>
      </c>
      <c r="U479" s="2">
        <v>0</v>
      </c>
      <c r="V479" s="2">
        <v>0</v>
      </c>
      <c r="W479" t="s">
        <v>373</v>
      </c>
      <c r="X479" t="s">
        <v>373</v>
      </c>
      <c r="Y479">
        <v>439.13</v>
      </c>
      <c r="Z479">
        <v>435.67</v>
      </c>
      <c r="AB479" s="2">
        <v>1</v>
      </c>
      <c r="AC479">
        <v>195.92</v>
      </c>
      <c r="AD479">
        <v>205.85</v>
      </c>
      <c r="AF479" s="2">
        <v>1</v>
      </c>
      <c r="AG479">
        <v>260.74</v>
      </c>
      <c r="AH479">
        <v>273.85000000000002</v>
      </c>
      <c r="AJ479" s="2">
        <v>1</v>
      </c>
      <c r="AN479" t="s">
        <v>373</v>
      </c>
      <c r="AR479" t="s">
        <v>373</v>
      </c>
      <c r="AS479" t="s">
        <v>16</v>
      </c>
      <c r="AT479" t="str">
        <f t="shared" si="7"/>
        <v>Evansville WR - 142AL</v>
      </c>
    </row>
    <row r="480" spans="1:46" x14ac:dyDescent="0.25">
      <c r="A480" t="s">
        <v>316</v>
      </c>
      <c r="B480" t="s">
        <v>260</v>
      </c>
      <c r="C480" t="s">
        <v>100</v>
      </c>
      <c r="D480" s="50">
        <v>46054</v>
      </c>
      <c r="E480" s="2">
        <v>0.91600000000000004</v>
      </c>
      <c r="F480" s="2">
        <v>0.91100000000000003</v>
      </c>
      <c r="G480" t="s">
        <v>373</v>
      </c>
      <c r="H480" t="s">
        <v>373</v>
      </c>
      <c r="I480" s="2">
        <v>0</v>
      </c>
      <c r="J480" s="2">
        <v>0</v>
      </c>
      <c r="K480" s="2">
        <v>0</v>
      </c>
      <c r="L480" s="2">
        <v>0</v>
      </c>
      <c r="M480" s="51">
        <v>0</v>
      </c>
      <c r="N480" s="51">
        <v>0</v>
      </c>
      <c r="P480" s="51">
        <v>0</v>
      </c>
      <c r="Q480" s="51">
        <v>449521</v>
      </c>
      <c r="R480" s="51">
        <v>904338</v>
      </c>
      <c r="T480" s="51">
        <v>904338</v>
      </c>
      <c r="U480" s="2">
        <v>0</v>
      </c>
      <c r="V480" s="2">
        <v>0</v>
      </c>
      <c r="W480" t="s">
        <v>373</v>
      </c>
      <c r="X480" t="s">
        <v>373</v>
      </c>
      <c r="Y480">
        <v>432.21</v>
      </c>
      <c r="Z480">
        <v>435.67</v>
      </c>
      <c r="AB480" s="2">
        <v>1</v>
      </c>
      <c r="AC480">
        <v>215.78</v>
      </c>
      <c r="AD480">
        <v>205.85</v>
      </c>
      <c r="AF480" s="2">
        <v>1</v>
      </c>
      <c r="AG480">
        <v>286.95999999999998</v>
      </c>
      <c r="AH480">
        <v>273.85000000000002</v>
      </c>
      <c r="AJ480" s="2">
        <v>1</v>
      </c>
      <c r="AN480" t="s">
        <v>373</v>
      </c>
      <c r="AR480" t="s">
        <v>373</v>
      </c>
      <c r="AS480" t="s">
        <v>16</v>
      </c>
      <c r="AT480" t="str">
        <f t="shared" si="7"/>
        <v>Evansville WR - 142AL</v>
      </c>
    </row>
    <row r="481" spans="1:46" x14ac:dyDescent="0.25">
      <c r="A481" t="s">
        <v>316</v>
      </c>
      <c r="B481" t="s">
        <v>260</v>
      </c>
      <c r="C481" t="s">
        <v>101</v>
      </c>
      <c r="D481" s="50">
        <v>46023</v>
      </c>
      <c r="E481" s="2">
        <v>0.97599999999999998</v>
      </c>
      <c r="F481" s="2">
        <v>0.98299999999999998</v>
      </c>
      <c r="G481" t="s">
        <v>373</v>
      </c>
      <c r="H481" t="s">
        <v>373</v>
      </c>
      <c r="I481" s="2">
        <v>0</v>
      </c>
      <c r="J481" s="2">
        <v>0</v>
      </c>
      <c r="K481" s="2">
        <v>0</v>
      </c>
      <c r="L481" s="2">
        <v>0</v>
      </c>
      <c r="M481" s="51">
        <v>0</v>
      </c>
      <c r="N481" s="51">
        <v>0</v>
      </c>
      <c r="P481" s="51">
        <v>0</v>
      </c>
      <c r="Q481" s="51">
        <v>282567</v>
      </c>
      <c r="R481" s="51">
        <v>571911</v>
      </c>
      <c r="T481" s="51">
        <v>571911</v>
      </c>
      <c r="U481" s="2">
        <v>0</v>
      </c>
      <c r="V481" s="2">
        <v>0</v>
      </c>
      <c r="W481" t="s">
        <v>373</v>
      </c>
      <c r="X481" t="s">
        <v>373</v>
      </c>
      <c r="Y481">
        <v>407.53</v>
      </c>
      <c r="Z481">
        <v>405.93</v>
      </c>
      <c r="AB481" s="2">
        <v>1</v>
      </c>
      <c r="AC481">
        <v>213.35</v>
      </c>
      <c r="AD481">
        <v>225.1</v>
      </c>
      <c r="AF481" s="2">
        <v>1</v>
      </c>
      <c r="AG481">
        <v>256.77999999999997</v>
      </c>
      <c r="AH481">
        <v>270.52999999999997</v>
      </c>
      <c r="AJ481" s="2">
        <v>1</v>
      </c>
      <c r="AN481" t="s">
        <v>373</v>
      </c>
      <c r="AR481" t="s">
        <v>373</v>
      </c>
      <c r="AS481" t="s">
        <v>16</v>
      </c>
      <c r="AT481" t="str">
        <f t="shared" si="7"/>
        <v>Ferdinand - 303AL</v>
      </c>
    </row>
    <row r="482" spans="1:46" x14ac:dyDescent="0.25">
      <c r="A482" t="s">
        <v>316</v>
      </c>
      <c r="B482" t="s">
        <v>260</v>
      </c>
      <c r="C482" t="s">
        <v>101</v>
      </c>
      <c r="D482" s="50">
        <v>46054</v>
      </c>
      <c r="E482" s="2">
        <v>0.99099999999999999</v>
      </c>
      <c r="F482" s="2">
        <v>0.98299999999999998</v>
      </c>
      <c r="G482" t="s">
        <v>373</v>
      </c>
      <c r="H482" t="s">
        <v>373</v>
      </c>
      <c r="I482" s="2">
        <v>0</v>
      </c>
      <c r="J482" s="2">
        <v>0</v>
      </c>
      <c r="K482" s="2">
        <v>0</v>
      </c>
      <c r="L482" s="2">
        <v>0</v>
      </c>
      <c r="M482" s="51">
        <v>0</v>
      </c>
      <c r="N482" s="51">
        <v>0</v>
      </c>
      <c r="P482" s="51">
        <v>0</v>
      </c>
      <c r="Q482" s="51">
        <v>289343</v>
      </c>
      <c r="R482" s="51">
        <v>571911</v>
      </c>
      <c r="T482" s="51">
        <v>571911</v>
      </c>
      <c r="U482" s="2">
        <v>0</v>
      </c>
      <c r="V482" s="2">
        <v>0</v>
      </c>
      <c r="W482" t="s">
        <v>373</v>
      </c>
      <c r="X482" t="s">
        <v>373</v>
      </c>
      <c r="Y482">
        <v>404.33</v>
      </c>
      <c r="Z482">
        <v>405.93</v>
      </c>
      <c r="AB482" s="2">
        <v>1</v>
      </c>
      <c r="AC482">
        <v>236.85</v>
      </c>
      <c r="AD482">
        <v>225.1</v>
      </c>
      <c r="AF482" s="2">
        <v>1</v>
      </c>
      <c r="AG482">
        <v>284.29000000000002</v>
      </c>
      <c r="AH482">
        <v>270.52999999999997</v>
      </c>
      <c r="AJ482" s="2">
        <v>1</v>
      </c>
      <c r="AN482" t="s">
        <v>373</v>
      </c>
      <c r="AR482" t="s">
        <v>373</v>
      </c>
      <c r="AS482" t="s">
        <v>16</v>
      </c>
      <c r="AT482" t="str">
        <f t="shared" si="7"/>
        <v>Ferdinand - 303AL</v>
      </c>
    </row>
    <row r="483" spans="1:46" x14ac:dyDescent="0.25">
      <c r="A483" t="s">
        <v>316</v>
      </c>
      <c r="B483" t="s">
        <v>260</v>
      </c>
      <c r="C483" t="s">
        <v>121</v>
      </c>
      <c r="D483" s="50">
        <v>46023</v>
      </c>
      <c r="E483" s="2">
        <v>0.94099999999999995</v>
      </c>
      <c r="F483" s="2">
        <v>0.92900000000000005</v>
      </c>
      <c r="G483" t="s">
        <v>373</v>
      </c>
      <c r="H483" t="s">
        <v>373</v>
      </c>
      <c r="I483" s="2">
        <v>0</v>
      </c>
      <c r="J483" s="2">
        <v>0</v>
      </c>
      <c r="K483" s="2">
        <v>0</v>
      </c>
      <c r="L483" s="2">
        <v>0</v>
      </c>
      <c r="M483" s="51">
        <v>0</v>
      </c>
      <c r="N483" s="51">
        <v>0</v>
      </c>
      <c r="P483" s="51">
        <v>0</v>
      </c>
      <c r="Q483" s="51">
        <v>207969</v>
      </c>
      <c r="R483" s="51">
        <v>408048</v>
      </c>
      <c r="T483" s="51">
        <v>408048</v>
      </c>
      <c r="U483" s="2">
        <v>0</v>
      </c>
      <c r="V483" s="2">
        <v>0</v>
      </c>
      <c r="W483" t="s">
        <v>373</v>
      </c>
      <c r="X483" t="s">
        <v>373</v>
      </c>
      <c r="Y483">
        <v>358.5</v>
      </c>
      <c r="Z483">
        <v>361.08</v>
      </c>
      <c r="AB483" s="2">
        <v>1</v>
      </c>
      <c r="AC483">
        <v>166.86</v>
      </c>
      <c r="AD483">
        <v>175.61</v>
      </c>
      <c r="AF483" s="2">
        <v>1</v>
      </c>
      <c r="AG483">
        <v>217.94</v>
      </c>
      <c r="AH483">
        <v>226.91</v>
      </c>
      <c r="AJ483" s="2">
        <v>1</v>
      </c>
      <c r="AN483" t="s">
        <v>373</v>
      </c>
      <c r="AR483" t="s">
        <v>373</v>
      </c>
      <c r="AS483" t="s">
        <v>16</v>
      </c>
      <c r="AT483" t="str">
        <f t="shared" si="7"/>
        <v>Greencastle - 119AL</v>
      </c>
    </row>
    <row r="484" spans="1:46" x14ac:dyDescent="0.25">
      <c r="A484" t="s">
        <v>316</v>
      </c>
      <c r="B484" t="s">
        <v>260</v>
      </c>
      <c r="C484" t="s">
        <v>121</v>
      </c>
      <c r="D484" s="50">
        <v>46054</v>
      </c>
      <c r="E484" s="2">
        <v>0.91600000000000004</v>
      </c>
      <c r="F484" s="2">
        <v>0.92900000000000005</v>
      </c>
      <c r="G484" t="s">
        <v>373</v>
      </c>
      <c r="H484" t="s">
        <v>373</v>
      </c>
      <c r="I484" s="2">
        <v>0</v>
      </c>
      <c r="J484" s="2">
        <v>0</v>
      </c>
      <c r="K484" s="2">
        <v>0</v>
      </c>
      <c r="L484" s="2">
        <v>0</v>
      </c>
      <c r="M484" s="51">
        <v>0</v>
      </c>
      <c r="N484" s="51">
        <v>0</v>
      </c>
      <c r="P484" s="51">
        <v>0</v>
      </c>
      <c r="Q484" s="51">
        <v>200079</v>
      </c>
      <c r="R484" s="51">
        <v>408048</v>
      </c>
      <c r="T484" s="51">
        <v>408048</v>
      </c>
      <c r="U484" s="2">
        <v>0</v>
      </c>
      <c r="V484" s="2">
        <v>0</v>
      </c>
      <c r="W484" t="s">
        <v>373</v>
      </c>
      <c r="X484" t="s">
        <v>373</v>
      </c>
      <c r="Y484">
        <v>363.65</v>
      </c>
      <c r="Z484">
        <v>361.08</v>
      </c>
      <c r="AB484" s="2">
        <v>1</v>
      </c>
      <c r="AC484">
        <v>184.36</v>
      </c>
      <c r="AD484">
        <v>175.61</v>
      </c>
      <c r="AF484" s="2">
        <v>1</v>
      </c>
      <c r="AG484">
        <v>235.87</v>
      </c>
      <c r="AH484">
        <v>226.91</v>
      </c>
      <c r="AJ484" s="2">
        <v>1</v>
      </c>
      <c r="AN484" t="s">
        <v>373</v>
      </c>
      <c r="AR484" t="s">
        <v>373</v>
      </c>
      <c r="AS484" t="s">
        <v>16</v>
      </c>
      <c r="AT484" t="str">
        <f t="shared" si="7"/>
        <v>Greencastle - 119AL</v>
      </c>
    </row>
    <row r="485" spans="1:46" x14ac:dyDescent="0.25">
      <c r="A485" t="s">
        <v>316</v>
      </c>
      <c r="B485" t="s">
        <v>260</v>
      </c>
      <c r="C485" t="s">
        <v>135</v>
      </c>
      <c r="D485" s="50">
        <v>46023</v>
      </c>
      <c r="E485" s="2">
        <v>0.97699999999999998</v>
      </c>
      <c r="F485" s="2">
        <v>0.98299999999999998</v>
      </c>
      <c r="G485" t="s">
        <v>373</v>
      </c>
      <c r="H485" t="s">
        <v>373</v>
      </c>
      <c r="I485" s="2">
        <v>0</v>
      </c>
      <c r="J485" s="2">
        <v>0</v>
      </c>
      <c r="K485" s="2">
        <v>0</v>
      </c>
      <c r="L485" s="2">
        <v>0</v>
      </c>
      <c r="M485" s="51">
        <v>0</v>
      </c>
      <c r="N485" s="51">
        <v>0</v>
      </c>
      <c r="P485" s="51">
        <v>0</v>
      </c>
      <c r="Q485" s="51">
        <v>252200</v>
      </c>
      <c r="R485" s="51">
        <v>503511</v>
      </c>
      <c r="T485" s="51">
        <v>503511</v>
      </c>
      <c r="U485" s="2">
        <v>0</v>
      </c>
      <c r="V485" s="2">
        <v>0</v>
      </c>
      <c r="W485" t="s">
        <v>373</v>
      </c>
      <c r="X485" t="s">
        <v>373</v>
      </c>
      <c r="Y485">
        <v>440.95</v>
      </c>
      <c r="Z485">
        <v>444.74</v>
      </c>
      <c r="AB485" s="2">
        <v>1</v>
      </c>
      <c r="AC485">
        <v>210.09</v>
      </c>
      <c r="AD485">
        <v>221.2</v>
      </c>
      <c r="AF485" s="2">
        <v>1</v>
      </c>
      <c r="AJ485" t="s">
        <v>373</v>
      </c>
      <c r="AN485" t="s">
        <v>373</v>
      </c>
      <c r="AO485">
        <v>85.46</v>
      </c>
      <c r="AP485">
        <v>90.17</v>
      </c>
      <c r="AR485" s="2">
        <v>1</v>
      </c>
      <c r="AS485" t="s">
        <v>16</v>
      </c>
      <c r="AT485" t="str">
        <f t="shared" si="7"/>
        <v>Jasper - 108AL</v>
      </c>
    </row>
    <row r="486" spans="1:46" x14ac:dyDescent="0.25">
      <c r="A486" t="s">
        <v>316</v>
      </c>
      <c r="B486" t="s">
        <v>260</v>
      </c>
      <c r="C486" t="s">
        <v>135</v>
      </c>
      <c r="D486" s="50">
        <v>46054</v>
      </c>
      <c r="E486" s="2">
        <v>0.98899999999999999</v>
      </c>
      <c r="F486" s="2">
        <v>0.98299999999999998</v>
      </c>
      <c r="G486" t="s">
        <v>373</v>
      </c>
      <c r="H486" t="s">
        <v>373</v>
      </c>
      <c r="I486" s="2">
        <v>0</v>
      </c>
      <c r="J486" s="2">
        <v>0</v>
      </c>
      <c r="K486" s="2">
        <v>0</v>
      </c>
      <c r="L486" s="2">
        <v>0</v>
      </c>
      <c r="M486" s="51">
        <v>0</v>
      </c>
      <c r="N486" s="51">
        <v>0</v>
      </c>
      <c r="P486" s="51">
        <v>0</v>
      </c>
      <c r="Q486" s="51">
        <v>251311</v>
      </c>
      <c r="R486" s="51">
        <v>503511</v>
      </c>
      <c r="T486" s="51">
        <v>503511</v>
      </c>
      <c r="U486" s="2">
        <v>0</v>
      </c>
      <c r="V486" s="2">
        <v>0</v>
      </c>
      <c r="W486" t="s">
        <v>373</v>
      </c>
      <c r="X486" t="s">
        <v>373</v>
      </c>
      <c r="Y486">
        <v>448.52</v>
      </c>
      <c r="Z486">
        <v>444.74</v>
      </c>
      <c r="AB486" s="2">
        <v>1</v>
      </c>
      <c r="AC486">
        <v>232.32</v>
      </c>
      <c r="AD486">
        <v>221.2</v>
      </c>
      <c r="AF486" s="2">
        <v>1</v>
      </c>
      <c r="AJ486" t="s">
        <v>373</v>
      </c>
      <c r="AN486" t="s">
        <v>373</v>
      </c>
      <c r="AO486">
        <v>94.88</v>
      </c>
      <c r="AP486">
        <v>90.17</v>
      </c>
      <c r="AR486" s="2">
        <v>1</v>
      </c>
      <c r="AS486" t="s">
        <v>16</v>
      </c>
      <c r="AT486" t="str">
        <f t="shared" si="7"/>
        <v>Jasper - 108AL</v>
      </c>
    </row>
    <row r="487" spans="1:46" x14ac:dyDescent="0.25">
      <c r="A487" t="s">
        <v>316</v>
      </c>
      <c r="B487" t="s">
        <v>260</v>
      </c>
      <c r="C487" t="s">
        <v>210</v>
      </c>
      <c r="D487" s="50">
        <v>46023</v>
      </c>
      <c r="E487" s="2">
        <v>0.83699999999999997</v>
      </c>
      <c r="F487" s="2">
        <v>0.82199999999999995</v>
      </c>
      <c r="G487" t="s">
        <v>373</v>
      </c>
      <c r="H487" t="s">
        <v>373</v>
      </c>
      <c r="I487" s="2">
        <v>0</v>
      </c>
      <c r="J487" s="2">
        <v>0</v>
      </c>
      <c r="K487" s="2">
        <v>0</v>
      </c>
      <c r="L487" s="2">
        <v>0</v>
      </c>
      <c r="M487" s="51">
        <v>0</v>
      </c>
      <c r="N487" s="51">
        <v>0</v>
      </c>
      <c r="P487" s="51">
        <v>0</v>
      </c>
      <c r="Q487" s="51">
        <v>84933</v>
      </c>
      <c r="R487" s="51">
        <v>165033</v>
      </c>
      <c r="T487" s="51">
        <v>165033</v>
      </c>
      <c r="U487" s="2">
        <v>0</v>
      </c>
      <c r="V487" s="2">
        <v>0</v>
      </c>
      <c r="W487" t="s">
        <v>373</v>
      </c>
      <c r="X487" t="s">
        <v>373</v>
      </c>
      <c r="Y487">
        <v>362.28</v>
      </c>
      <c r="Z487">
        <v>369.41</v>
      </c>
      <c r="AB487" s="2">
        <v>1</v>
      </c>
      <c r="AC487">
        <v>176.36</v>
      </c>
      <c r="AD487">
        <v>184.38</v>
      </c>
      <c r="AF487" s="2">
        <v>1</v>
      </c>
      <c r="AJ487" t="s">
        <v>373</v>
      </c>
      <c r="AN487" t="s">
        <v>373</v>
      </c>
      <c r="AR487" t="s">
        <v>373</v>
      </c>
      <c r="AS487" t="s">
        <v>16</v>
      </c>
      <c r="AT487" t="str">
        <f t="shared" si="7"/>
        <v>Petersburg - 304AL</v>
      </c>
    </row>
    <row r="488" spans="1:46" x14ac:dyDescent="0.25">
      <c r="A488" t="s">
        <v>316</v>
      </c>
      <c r="B488" t="s">
        <v>260</v>
      </c>
      <c r="C488" t="s">
        <v>210</v>
      </c>
      <c r="D488" s="50">
        <v>46054</v>
      </c>
      <c r="E488" s="2">
        <v>0.80600000000000005</v>
      </c>
      <c r="F488" s="2">
        <v>0.82199999999999995</v>
      </c>
      <c r="G488" t="s">
        <v>373</v>
      </c>
      <c r="H488" t="s">
        <v>373</v>
      </c>
      <c r="I488" s="2">
        <v>0</v>
      </c>
      <c r="J488" s="2">
        <v>0</v>
      </c>
      <c r="K488" s="2">
        <v>0</v>
      </c>
      <c r="L488" s="2">
        <v>0</v>
      </c>
      <c r="M488" s="51">
        <v>0</v>
      </c>
      <c r="N488" s="51">
        <v>0</v>
      </c>
      <c r="P488" s="51">
        <v>0</v>
      </c>
      <c r="Q488" s="51">
        <v>80100</v>
      </c>
      <c r="R488" s="51">
        <v>165033</v>
      </c>
      <c r="T488" s="51">
        <v>165033</v>
      </c>
      <c r="U488" s="2">
        <v>0</v>
      </c>
      <c r="V488" s="2">
        <v>0</v>
      </c>
      <c r="W488" t="s">
        <v>373</v>
      </c>
      <c r="X488" t="s">
        <v>373</v>
      </c>
      <c r="Y488">
        <v>376.55</v>
      </c>
      <c r="Z488">
        <v>369.41</v>
      </c>
      <c r="AB488" s="2">
        <v>1</v>
      </c>
      <c r="AC488">
        <v>192.4</v>
      </c>
      <c r="AD488">
        <v>184.38</v>
      </c>
      <c r="AF488" s="2">
        <v>1</v>
      </c>
      <c r="AJ488" t="s">
        <v>373</v>
      </c>
      <c r="AN488" t="s">
        <v>373</v>
      </c>
      <c r="AR488" t="s">
        <v>373</v>
      </c>
      <c r="AS488" t="s">
        <v>16</v>
      </c>
      <c r="AT488" t="str">
        <f t="shared" si="7"/>
        <v>Petersburg - 304AL</v>
      </c>
    </row>
    <row r="489" spans="1:46" x14ac:dyDescent="0.25">
      <c r="A489" t="s">
        <v>316</v>
      </c>
      <c r="B489" t="s">
        <v>260</v>
      </c>
      <c r="C489" t="s">
        <v>212</v>
      </c>
      <c r="D489" s="50">
        <v>46023</v>
      </c>
      <c r="E489" s="2">
        <v>0.96299999999999997</v>
      </c>
      <c r="F489" s="2">
        <v>0.96899999999999997</v>
      </c>
      <c r="G489" t="s">
        <v>373</v>
      </c>
      <c r="H489" t="s">
        <v>373</v>
      </c>
      <c r="I489" s="2">
        <v>0.33300000000000002</v>
      </c>
      <c r="J489" s="2">
        <v>0.2</v>
      </c>
      <c r="K489" s="2">
        <v>0</v>
      </c>
      <c r="L489" s="2">
        <v>0.2</v>
      </c>
      <c r="M489" s="51">
        <v>233</v>
      </c>
      <c r="N489" s="51">
        <v>613</v>
      </c>
      <c r="P489" s="51">
        <v>613</v>
      </c>
      <c r="Q489" s="51">
        <v>259063</v>
      </c>
      <c r="R489" s="51">
        <v>520282</v>
      </c>
      <c r="T489" s="51">
        <v>520282</v>
      </c>
      <c r="U489" s="2">
        <v>1E-3</v>
      </c>
      <c r="V489" s="2">
        <v>1E-3</v>
      </c>
      <c r="W489" t="s">
        <v>373</v>
      </c>
      <c r="X489" t="s">
        <v>373</v>
      </c>
      <c r="Y489">
        <v>370.28</v>
      </c>
      <c r="Z489">
        <v>375.13</v>
      </c>
      <c r="AB489" s="2">
        <v>1</v>
      </c>
      <c r="AC489">
        <v>229.38</v>
      </c>
      <c r="AD489">
        <v>241.04</v>
      </c>
      <c r="AF489" s="2">
        <v>1</v>
      </c>
      <c r="AJ489" t="s">
        <v>373</v>
      </c>
      <c r="AN489" t="s">
        <v>373</v>
      </c>
      <c r="AR489" t="s">
        <v>373</v>
      </c>
      <c r="AS489" t="s">
        <v>16</v>
      </c>
      <c r="AT489" t="str">
        <f t="shared" si="7"/>
        <v>Princeton - 117AL</v>
      </c>
    </row>
    <row r="490" spans="1:46" x14ac:dyDescent="0.25">
      <c r="A490" t="s">
        <v>316</v>
      </c>
      <c r="B490" t="s">
        <v>260</v>
      </c>
      <c r="C490" t="s">
        <v>212</v>
      </c>
      <c r="D490" s="50">
        <v>46054</v>
      </c>
      <c r="E490" s="2">
        <v>0.97399999999999998</v>
      </c>
      <c r="F490" s="2">
        <v>0.96899999999999997</v>
      </c>
      <c r="G490" t="s">
        <v>373</v>
      </c>
      <c r="H490" t="s">
        <v>373</v>
      </c>
      <c r="I490" s="2">
        <v>0</v>
      </c>
      <c r="J490" s="2">
        <v>0.2</v>
      </c>
      <c r="K490" s="2">
        <v>0</v>
      </c>
      <c r="L490" s="2">
        <v>0.2</v>
      </c>
      <c r="M490" s="51">
        <v>380</v>
      </c>
      <c r="N490" s="51">
        <v>613</v>
      </c>
      <c r="P490" s="51">
        <v>613</v>
      </c>
      <c r="Q490" s="51">
        <v>261219</v>
      </c>
      <c r="R490" s="51">
        <v>520282</v>
      </c>
      <c r="T490" s="51">
        <v>520282</v>
      </c>
      <c r="U490" s="2">
        <v>1E-3</v>
      </c>
      <c r="V490" s="2">
        <v>1E-3</v>
      </c>
      <c r="W490" t="s">
        <v>373</v>
      </c>
      <c r="X490" t="s">
        <v>373</v>
      </c>
      <c r="Y490">
        <v>379.98</v>
      </c>
      <c r="Z490">
        <v>375.13</v>
      </c>
      <c r="AB490" s="2">
        <v>1</v>
      </c>
      <c r="AC490">
        <v>252.71</v>
      </c>
      <c r="AD490">
        <v>241.04</v>
      </c>
      <c r="AF490" s="2">
        <v>1</v>
      </c>
      <c r="AJ490" t="s">
        <v>373</v>
      </c>
      <c r="AN490" t="s">
        <v>373</v>
      </c>
      <c r="AR490" t="s">
        <v>373</v>
      </c>
      <c r="AS490" t="s">
        <v>16</v>
      </c>
      <c r="AT490" t="str">
        <f t="shared" si="7"/>
        <v>Princeton - 117AL</v>
      </c>
    </row>
    <row r="491" spans="1:46" x14ac:dyDescent="0.25">
      <c r="A491" t="s">
        <v>316</v>
      </c>
      <c r="B491" t="s">
        <v>260</v>
      </c>
      <c r="C491" t="s">
        <v>228</v>
      </c>
      <c r="D491" s="50">
        <v>46023</v>
      </c>
      <c r="E491" s="2">
        <v>0.97699999999999998</v>
      </c>
      <c r="F491" s="2">
        <v>0.94499999999999995</v>
      </c>
      <c r="G491" t="s">
        <v>373</v>
      </c>
      <c r="H491" t="s">
        <v>373</v>
      </c>
      <c r="I491" s="2">
        <v>0</v>
      </c>
      <c r="J491" s="2">
        <v>0</v>
      </c>
      <c r="K491" s="2">
        <v>0</v>
      </c>
      <c r="L491" s="2">
        <v>0</v>
      </c>
      <c r="M491" s="51">
        <v>0</v>
      </c>
      <c r="N491" s="51">
        <v>0</v>
      </c>
      <c r="P491" s="51">
        <v>0</v>
      </c>
      <c r="Q491" s="51">
        <v>159037</v>
      </c>
      <c r="R491" s="51">
        <v>298942</v>
      </c>
      <c r="T491" s="51">
        <v>298942</v>
      </c>
      <c r="U491" s="2">
        <v>0</v>
      </c>
      <c r="V491" s="2">
        <v>0</v>
      </c>
      <c r="W491" t="s">
        <v>373</v>
      </c>
      <c r="X491" t="s">
        <v>373</v>
      </c>
      <c r="Y491">
        <v>380.79</v>
      </c>
      <c r="Z491">
        <v>389.77</v>
      </c>
      <c r="AB491" s="2">
        <v>1</v>
      </c>
      <c r="AC491">
        <v>211.5</v>
      </c>
      <c r="AD491">
        <v>220.46</v>
      </c>
      <c r="AF491" s="2">
        <v>1</v>
      </c>
      <c r="AJ491" t="s">
        <v>373</v>
      </c>
      <c r="AN491" t="s">
        <v>373</v>
      </c>
      <c r="AO491">
        <v>74.77</v>
      </c>
      <c r="AP491">
        <v>83.79</v>
      </c>
      <c r="AR491" s="2">
        <v>1</v>
      </c>
      <c r="AS491" t="s">
        <v>16</v>
      </c>
      <c r="AT491" t="str">
        <f t="shared" si="7"/>
        <v>Tell City - 103AL</v>
      </c>
    </row>
    <row r="492" spans="1:46" x14ac:dyDescent="0.25">
      <c r="A492" t="s">
        <v>316</v>
      </c>
      <c r="B492" t="s">
        <v>260</v>
      </c>
      <c r="C492" t="s">
        <v>228</v>
      </c>
      <c r="D492" s="50">
        <v>46054</v>
      </c>
      <c r="E492" s="2">
        <v>0.90900000000000003</v>
      </c>
      <c r="F492" s="2">
        <v>0.94499999999999995</v>
      </c>
      <c r="G492" t="s">
        <v>373</v>
      </c>
      <c r="H492" t="s">
        <v>373</v>
      </c>
      <c r="I492" s="2">
        <v>0</v>
      </c>
      <c r="J492" s="2">
        <v>0</v>
      </c>
      <c r="K492" s="2">
        <v>0</v>
      </c>
      <c r="L492" s="2">
        <v>0</v>
      </c>
      <c r="M492" s="51">
        <v>0</v>
      </c>
      <c r="N492" s="51">
        <v>0</v>
      </c>
      <c r="P492" s="51">
        <v>0</v>
      </c>
      <c r="Q492" s="51">
        <v>139906</v>
      </c>
      <c r="R492" s="51">
        <v>298942</v>
      </c>
      <c r="T492" s="51">
        <v>298942</v>
      </c>
      <c r="U492" s="2">
        <v>0</v>
      </c>
      <c r="V492" s="2">
        <v>0</v>
      </c>
      <c r="W492" t="s">
        <v>373</v>
      </c>
      <c r="X492" t="s">
        <v>373</v>
      </c>
      <c r="Y492">
        <v>398.76</v>
      </c>
      <c r="Z492">
        <v>389.77</v>
      </c>
      <c r="AB492" s="2">
        <v>1</v>
      </c>
      <c r="AC492">
        <v>229.42</v>
      </c>
      <c r="AD492">
        <v>220.46</v>
      </c>
      <c r="AF492" s="2">
        <v>1</v>
      </c>
      <c r="AJ492" t="s">
        <v>373</v>
      </c>
      <c r="AN492" t="s">
        <v>373</v>
      </c>
      <c r="AO492">
        <v>92.82</v>
      </c>
      <c r="AP492">
        <v>83.79</v>
      </c>
      <c r="AR492" s="2">
        <v>1</v>
      </c>
      <c r="AS492" t="s">
        <v>16</v>
      </c>
      <c r="AT492" t="str">
        <f t="shared" si="7"/>
        <v>Tell City - 103AL</v>
      </c>
    </row>
    <row r="493" spans="1:46" x14ac:dyDescent="0.25">
      <c r="A493" t="s">
        <v>316</v>
      </c>
      <c r="B493" t="s">
        <v>260</v>
      </c>
      <c r="C493" t="s">
        <v>229</v>
      </c>
      <c r="D493" s="50">
        <v>46023</v>
      </c>
      <c r="E493" s="2">
        <v>0.98</v>
      </c>
      <c r="F493" s="2">
        <v>0.98599999999999999</v>
      </c>
      <c r="G493" t="s">
        <v>373</v>
      </c>
      <c r="H493" t="s">
        <v>373</v>
      </c>
      <c r="I493" s="2">
        <v>0</v>
      </c>
      <c r="J493" s="2">
        <v>0</v>
      </c>
      <c r="K493" s="2">
        <v>0</v>
      </c>
      <c r="L493" s="2">
        <v>0</v>
      </c>
      <c r="M493" s="51">
        <v>0</v>
      </c>
      <c r="N493" s="51">
        <v>0</v>
      </c>
      <c r="P493" s="51">
        <v>0</v>
      </c>
      <c r="Q493" s="51">
        <v>242229</v>
      </c>
      <c r="R493" s="51">
        <v>490804</v>
      </c>
      <c r="T493" s="51">
        <v>490804</v>
      </c>
      <c r="U493" s="2">
        <v>0</v>
      </c>
      <c r="V493" s="2">
        <v>0</v>
      </c>
      <c r="W493" t="s">
        <v>373</v>
      </c>
      <c r="X493" t="s">
        <v>373</v>
      </c>
      <c r="Y493">
        <v>371.98</v>
      </c>
      <c r="Z493">
        <v>396.56</v>
      </c>
      <c r="AB493" s="2">
        <v>1</v>
      </c>
      <c r="AC493">
        <v>176.21</v>
      </c>
      <c r="AD493">
        <v>185.79</v>
      </c>
      <c r="AF493" s="2">
        <v>1</v>
      </c>
      <c r="AG493">
        <v>277.52</v>
      </c>
      <c r="AH493">
        <v>292.39</v>
      </c>
      <c r="AJ493" s="2">
        <v>1</v>
      </c>
      <c r="AN493" t="s">
        <v>373</v>
      </c>
      <c r="AO493">
        <v>96.04</v>
      </c>
      <c r="AP493">
        <v>102.04</v>
      </c>
      <c r="AR493" s="2">
        <v>1</v>
      </c>
      <c r="AS493" t="s">
        <v>16</v>
      </c>
      <c r="AT493" t="str">
        <f t="shared" si="7"/>
        <v>Terre Haute CC - 129AL</v>
      </c>
    </row>
    <row r="494" spans="1:46" x14ac:dyDescent="0.25">
      <c r="A494" t="s">
        <v>316</v>
      </c>
      <c r="B494" t="s">
        <v>260</v>
      </c>
      <c r="C494" t="s">
        <v>229</v>
      </c>
      <c r="D494" s="50">
        <v>46054</v>
      </c>
      <c r="E494" s="2">
        <v>0.99099999999999999</v>
      </c>
      <c r="F494" s="2">
        <v>0.98599999999999999</v>
      </c>
      <c r="G494" t="s">
        <v>373</v>
      </c>
      <c r="H494" t="s">
        <v>373</v>
      </c>
      <c r="I494" s="2">
        <v>0</v>
      </c>
      <c r="J494" s="2">
        <v>0</v>
      </c>
      <c r="K494" s="2">
        <v>0</v>
      </c>
      <c r="L494" s="2">
        <v>0</v>
      </c>
      <c r="M494" s="51">
        <v>0</v>
      </c>
      <c r="N494" s="51">
        <v>0</v>
      </c>
      <c r="P494" s="51">
        <v>0</v>
      </c>
      <c r="Q494" s="51">
        <v>248576</v>
      </c>
      <c r="R494" s="51">
        <v>490804</v>
      </c>
      <c r="T494" s="51">
        <v>490804</v>
      </c>
      <c r="U494" s="2">
        <v>0</v>
      </c>
      <c r="V494" s="2">
        <v>0</v>
      </c>
      <c r="W494" t="s">
        <v>373</v>
      </c>
      <c r="X494" t="s">
        <v>373</v>
      </c>
      <c r="Y494">
        <v>421.15</v>
      </c>
      <c r="Z494">
        <v>396.56</v>
      </c>
      <c r="AB494" s="2">
        <v>1</v>
      </c>
      <c r="AC494">
        <v>195.37</v>
      </c>
      <c r="AD494">
        <v>185.79</v>
      </c>
      <c r="AF494" s="2">
        <v>1</v>
      </c>
      <c r="AG494">
        <v>307.26</v>
      </c>
      <c r="AH494">
        <v>292.39</v>
      </c>
      <c r="AJ494" s="2">
        <v>1</v>
      </c>
      <c r="AN494" t="s">
        <v>373</v>
      </c>
      <c r="AO494">
        <v>108.03</v>
      </c>
      <c r="AP494">
        <v>102.04</v>
      </c>
      <c r="AR494" s="2">
        <v>1</v>
      </c>
      <c r="AS494" t="s">
        <v>16</v>
      </c>
      <c r="AT494" t="str">
        <f t="shared" si="7"/>
        <v>Terre Haute CC - 129AL</v>
      </c>
    </row>
    <row r="495" spans="1:46" x14ac:dyDescent="0.25">
      <c r="A495" t="s">
        <v>316</v>
      </c>
      <c r="B495" t="s">
        <v>260</v>
      </c>
      <c r="C495" t="s">
        <v>230</v>
      </c>
      <c r="D495" s="50">
        <v>46023</v>
      </c>
      <c r="E495" s="2">
        <v>0.875</v>
      </c>
      <c r="F495" s="2">
        <v>0.9</v>
      </c>
      <c r="G495" t="s">
        <v>373</v>
      </c>
      <c r="H495" t="s">
        <v>373</v>
      </c>
      <c r="I495" s="2">
        <v>0</v>
      </c>
      <c r="J495" s="2">
        <v>0</v>
      </c>
      <c r="K495" s="2">
        <v>0</v>
      </c>
      <c r="L495" s="2">
        <v>0</v>
      </c>
      <c r="M495" s="51">
        <v>0</v>
      </c>
      <c r="N495" s="51">
        <v>0</v>
      </c>
      <c r="P495" s="51">
        <v>0</v>
      </c>
      <c r="Q495" s="51">
        <v>280659</v>
      </c>
      <c r="R495" s="51">
        <v>576511</v>
      </c>
      <c r="T495" s="51">
        <v>576511</v>
      </c>
      <c r="U495" s="2">
        <v>0</v>
      </c>
      <c r="V495" s="2">
        <v>0</v>
      </c>
      <c r="W495" t="s">
        <v>373</v>
      </c>
      <c r="X495" t="s">
        <v>373</v>
      </c>
      <c r="Y495">
        <v>463.06</v>
      </c>
      <c r="Z495">
        <v>440.6</v>
      </c>
      <c r="AB495" s="2">
        <v>1</v>
      </c>
      <c r="AC495">
        <v>188.56</v>
      </c>
      <c r="AD495">
        <v>201.26</v>
      </c>
      <c r="AF495" s="2">
        <v>1</v>
      </c>
      <c r="AG495">
        <v>273.66000000000003</v>
      </c>
      <c r="AH495">
        <v>286.75</v>
      </c>
      <c r="AJ495" s="2">
        <v>1</v>
      </c>
      <c r="AN495" t="s">
        <v>373</v>
      </c>
      <c r="AR495" t="s">
        <v>373</v>
      </c>
      <c r="AS495" t="s">
        <v>16</v>
      </c>
      <c r="AT495" t="str">
        <f t="shared" si="7"/>
        <v>Terre Haute HC - 5163AL</v>
      </c>
    </row>
    <row r="496" spans="1:46" x14ac:dyDescent="0.25">
      <c r="A496" t="s">
        <v>316</v>
      </c>
      <c r="B496" t="s">
        <v>260</v>
      </c>
      <c r="C496" t="s">
        <v>230</v>
      </c>
      <c r="D496" s="50">
        <v>46054</v>
      </c>
      <c r="E496" s="2">
        <v>0.92700000000000005</v>
      </c>
      <c r="F496" s="2">
        <v>0.9</v>
      </c>
      <c r="G496" t="s">
        <v>373</v>
      </c>
      <c r="H496" t="s">
        <v>373</v>
      </c>
      <c r="I496" s="2">
        <v>0</v>
      </c>
      <c r="J496" s="2">
        <v>0</v>
      </c>
      <c r="K496" s="2">
        <v>0</v>
      </c>
      <c r="L496" s="2">
        <v>0</v>
      </c>
      <c r="M496" s="51">
        <v>0</v>
      </c>
      <c r="N496" s="51">
        <v>0</v>
      </c>
      <c r="P496" s="51">
        <v>0</v>
      </c>
      <c r="Q496" s="51">
        <v>295851</v>
      </c>
      <c r="R496" s="51">
        <v>576511</v>
      </c>
      <c r="T496" s="51">
        <v>576511</v>
      </c>
      <c r="U496" s="2">
        <v>0</v>
      </c>
      <c r="V496" s="2">
        <v>0</v>
      </c>
      <c r="W496" t="s">
        <v>373</v>
      </c>
      <c r="X496" t="s">
        <v>373</v>
      </c>
      <c r="Y496">
        <v>418.14</v>
      </c>
      <c r="Z496">
        <v>440.6</v>
      </c>
      <c r="AB496" s="2">
        <v>1</v>
      </c>
      <c r="AC496">
        <v>213.96</v>
      </c>
      <c r="AD496">
        <v>201.26</v>
      </c>
      <c r="AF496" s="2">
        <v>1</v>
      </c>
      <c r="AG496">
        <v>299.85000000000002</v>
      </c>
      <c r="AH496">
        <v>286.75</v>
      </c>
      <c r="AJ496" s="2">
        <v>1</v>
      </c>
      <c r="AN496" t="s">
        <v>373</v>
      </c>
      <c r="AR496" t="s">
        <v>373</v>
      </c>
      <c r="AS496" t="s">
        <v>16</v>
      </c>
      <c r="AT496" t="str">
        <f t="shared" si="7"/>
        <v>Terre Haute HC - 5163AL</v>
      </c>
    </row>
    <row r="497" spans="1:46" x14ac:dyDescent="0.25">
      <c r="A497" t="s">
        <v>316</v>
      </c>
      <c r="B497" t="s">
        <v>260</v>
      </c>
      <c r="C497" t="s">
        <v>236</v>
      </c>
      <c r="D497" s="50">
        <v>46023</v>
      </c>
      <c r="E497" s="2">
        <v>0.98799999999999999</v>
      </c>
      <c r="F497" s="2">
        <v>0.97499999999999998</v>
      </c>
      <c r="G497" t="s">
        <v>373</v>
      </c>
      <c r="H497" t="s">
        <v>373</v>
      </c>
      <c r="I497" s="2">
        <v>0.5</v>
      </c>
      <c r="J497" s="2">
        <v>0.33300000000000002</v>
      </c>
      <c r="K497" s="2">
        <v>0</v>
      </c>
      <c r="L497" s="2">
        <v>0.33300000000000002</v>
      </c>
      <c r="M497" s="51">
        <v>-185</v>
      </c>
      <c r="N497" s="51">
        <v>-35</v>
      </c>
      <c r="P497" s="51">
        <v>-35</v>
      </c>
      <c r="Q497" s="51">
        <v>154083</v>
      </c>
      <c r="R497" s="51">
        <v>304942</v>
      </c>
      <c r="T497" s="51">
        <v>304942</v>
      </c>
      <c r="U497" s="2">
        <v>-1E-3</v>
      </c>
      <c r="V497" s="2">
        <v>0</v>
      </c>
      <c r="W497" t="s">
        <v>373</v>
      </c>
      <c r="X497" t="s">
        <v>373</v>
      </c>
      <c r="Y497">
        <v>365.25</v>
      </c>
      <c r="Z497">
        <v>345.14</v>
      </c>
      <c r="AB497" s="2">
        <v>1</v>
      </c>
      <c r="AC497">
        <v>196.75</v>
      </c>
      <c r="AD497">
        <v>207.01</v>
      </c>
      <c r="AF497" s="2">
        <v>1</v>
      </c>
      <c r="AJ497" t="s">
        <v>373</v>
      </c>
      <c r="AN497" t="s">
        <v>373</v>
      </c>
      <c r="AR497" t="s">
        <v>373</v>
      </c>
      <c r="AS497" t="s">
        <v>16</v>
      </c>
      <c r="AT497" t="str">
        <f t="shared" si="7"/>
        <v>Vincennes - 131AL</v>
      </c>
    </row>
    <row r="498" spans="1:46" x14ac:dyDescent="0.25">
      <c r="A498" t="s">
        <v>316</v>
      </c>
      <c r="B498" t="s">
        <v>260</v>
      </c>
      <c r="C498" t="s">
        <v>236</v>
      </c>
      <c r="D498" s="50">
        <v>46054</v>
      </c>
      <c r="E498" s="2">
        <v>0.96099999999999997</v>
      </c>
      <c r="F498" s="2">
        <v>0.97499999999999998</v>
      </c>
      <c r="G498" t="s">
        <v>373</v>
      </c>
      <c r="H498" t="s">
        <v>373</v>
      </c>
      <c r="I498" s="2">
        <v>0</v>
      </c>
      <c r="J498" s="2">
        <v>0.33300000000000002</v>
      </c>
      <c r="K498" s="2">
        <v>0</v>
      </c>
      <c r="L498" s="2">
        <v>0.33300000000000002</v>
      </c>
      <c r="M498" s="51">
        <v>150</v>
      </c>
      <c r="N498" s="51">
        <v>-35</v>
      </c>
      <c r="P498" s="51">
        <v>-35</v>
      </c>
      <c r="Q498" s="51">
        <v>150859</v>
      </c>
      <c r="R498" s="51">
        <v>304942</v>
      </c>
      <c r="T498" s="51">
        <v>304942</v>
      </c>
      <c r="U498" s="2">
        <v>1E-3</v>
      </c>
      <c r="V498" s="2">
        <v>0</v>
      </c>
      <c r="W498" t="s">
        <v>373</v>
      </c>
      <c r="X498" t="s">
        <v>373</v>
      </c>
      <c r="Y498">
        <v>325.02999999999997</v>
      </c>
      <c r="Z498">
        <v>345.14</v>
      </c>
      <c r="AB498" s="2">
        <v>1</v>
      </c>
      <c r="AC498">
        <v>217.26</v>
      </c>
      <c r="AD498">
        <v>207.01</v>
      </c>
      <c r="AF498" s="2">
        <v>1</v>
      </c>
      <c r="AJ498" t="s">
        <v>373</v>
      </c>
      <c r="AN498" t="s">
        <v>373</v>
      </c>
      <c r="AR498" t="s">
        <v>373</v>
      </c>
      <c r="AS498" t="s">
        <v>16</v>
      </c>
      <c r="AT498" t="str">
        <f t="shared" si="7"/>
        <v>Vincennes - 131AL</v>
      </c>
    </row>
    <row r="499" spans="1:46" x14ac:dyDescent="0.25">
      <c r="A499" t="s">
        <v>316</v>
      </c>
      <c r="B499" t="s">
        <v>260</v>
      </c>
      <c r="C499" t="s">
        <v>242</v>
      </c>
      <c r="D499" s="50">
        <v>46023</v>
      </c>
      <c r="E499" s="2">
        <v>0.95599999999999996</v>
      </c>
      <c r="F499" s="2">
        <v>0.96099999999999997</v>
      </c>
      <c r="G499" t="s">
        <v>373</v>
      </c>
      <c r="H499" t="s">
        <v>373</v>
      </c>
      <c r="I499" s="2">
        <v>0</v>
      </c>
      <c r="J499" s="2">
        <v>0</v>
      </c>
      <c r="K499" s="2">
        <v>0</v>
      </c>
      <c r="L499" s="2">
        <v>0</v>
      </c>
      <c r="M499" s="51">
        <v>94</v>
      </c>
      <c r="N499" s="51">
        <v>94</v>
      </c>
      <c r="P499" s="51">
        <v>94</v>
      </c>
      <c r="Q499" s="51">
        <v>203529</v>
      </c>
      <c r="R499" s="51">
        <v>392994</v>
      </c>
      <c r="T499" s="51">
        <v>392994</v>
      </c>
      <c r="U499" s="2">
        <v>0</v>
      </c>
      <c r="V499" s="2">
        <v>0</v>
      </c>
      <c r="W499" t="s">
        <v>373</v>
      </c>
      <c r="X499" t="s">
        <v>373</v>
      </c>
      <c r="Y499">
        <v>360.78</v>
      </c>
      <c r="Z499">
        <v>382.35</v>
      </c>
      <c r="AB499" s="2">
        <v>1</v>
      </c>
      <c r="AC499">
        <v>176.84</v>
      </c>
      <c r="AD499">
        <v>183.11</v>
      </c>
      <c r="AF499" s="2">
        <v>1</v>
      </c>
      <c r="AG499">
        <v>202.92</v>
      </c>
      <c r="AH499">
        <v>214.2</v>
      </c>
      <c r="AJ499" s="2">
        <v>1</v>
      </c>
      <c r="AN499" t="s">
        <v>373</v>
      </c>
      <c r="AO499">
        <v>85.99</v>
      </c>
      <c r="AP499">
        <v>90.6</v>
      </c>
      <c r="AR499" s="2">
        <v>1</v>
      </c>
      <c r="AS499" t="s">
        <v>16</v>
      </c>
      <c r="AT499" t="str">
        <f t="shared" si="7"/>
        <v>Washington - 305AL</v>
      </c>
    </row>
    <row r="500" spans="1:46" x14ac:dyDescent="0.25">
      <c r="A500" t="s">
        <v>316</v>
      </c>
      <c r="B500" t="s">
        <v>260</v>
      </c>
      <c r="C500" t="s">
        <v>242</v>
      </c>
      <c r="D500" s="50">
        <v>46054</v>
      </c>
      <c r="E500" s="2">
        <v>0.96499999999999997</v>
      </c>
      <c r="F500" s="2">
        <v>0.96099999999999997</v>
      </c>
      <c r="G500" t="s">
        <v>373</v>
      </c>
      <c r="H500" t="s">
        <v>373</v>
      </c>
      <c r="I500" s="2">
        <v>0</v>
      </c>
      <c r="J500" s="2">
        <v>0</v>
      </c>
      <c r="K500" s="2">
        <v>0</v>
      </c>
      <c r="L500" s="2">
        <v>0</v>
      </c>
      <c r="M500" s="51">
        <v>0</v>
      </c>
      <c r="N500" s="51">
        <v>94</v>
      </c>
      <c r="P500" s="51">
        <v>94</v>
      </c>
      <c r="Q500" s="51">
        <v>189465</v>
      </c>
      <c r="R500" s="51">
        <v>392994</v>
      </c>
      <c r="T500" s="51">
        <v>392994</v>
      </c>
      <c r="U500" s="2">
        <v>0</v>
      </c>
      <c r="V500" s="2">
        <v>0</v>
      </c>
      <c r="W500" t="s">
        <v>373</v>
      </c>
      <c r="X500" t="s">
        <v>373</v>
      </c>
      <c r="Y500">
        <v>403.92</v>
      </c>
      <c r="Z500">
        <v>382.35</v>
      </c>
      <c r="AB500" s="2">
        <v>1</v>
      </c>
      <c r="AC500">
        <v>189.37</v>
      </c>
      <c r="AD500">
        <v>183.11</v>
      </c>
      <c r="AF500" s="2">
        <v>1</v>
      </c>
      <c r="AG500">
        <v>225.47</v>
      </c>
      <c r="AH500">
        <v>214.2</v>
      </c>
      <c r="AJ500" s="2">
        <v>1</v>
      </c>
      <c r="AN500" t="s">
        <v>373</v>
      </c>
      <c r="AO500">
        <v>95.2</v>
      </c>
      <c r="AP500">
        <v>90.6</v>
      </c>
      <c r="AR500" s="2">
        <v>1</v>
      </c>
      <c r="AS500" t="s">
        <v>16</v>
      </c>
      <c r="AT500" t="str">
        <f t="shared" si="7"/>
        <v>Washington - 305AL</v>
      </c>
    </row>
    <row r="501" spans="1:46" x14ac:dyDescent="0.25">
      <c r="A501" t="s">
        <v>316</v>
      </c>
      <c r="B501" t="s">
        <v>261</v>
      </c>
      <c r="C501" t="s">
        <v>66</v>
      </c>
      <c r="D501" s="50">
        <v>46023</v>
      </c>
      <c r="E501" s="2">
        <v>0.89100000000000001</v>
      </c>
      <c r="F501" s="2">
        <v>0.879</v>
      </c>
      <c r="G501" t="s">
        <v>373</v>
      </c>
      <c r="H501" t="s">
        <v>373</v>
      </c>
      <c r="I501" s="2">
        <v>0</v>
      </c>
      <c r="J501" s="2">
        <v>0</v>
      </c>
      <c r="K501" s="2">
        <v>0</v>
      </c>
      <c r="L501" s="2">
        <v>0</v>
      </c>
      <c r="M501" s="51">
        <v>0</v>
      </c>
      <c r="N501" s="51">
        <v>0</v>
      </c>
      <c r="P501" s="51">
        <v>0</v>
      </c>
      <c r="Q501" s="51">
        <v>178983</v>
      </c>
      <c r="R501" s="51">
        <v>355550</v>
      </c>
      <c r="T501" s="51">
        <v>355550</v>
      </c>
      <c r="U501" s="2">
        <v>0</v>
      </c>
      <c r="V501" s="2">
        <v>0</v>
      </c>
      <c r="W501" t="s">
        <v>373</v>
      </c>
      <c r="X501" t="s">
        <v>373</v>
      </c>
      <c r="Y501">
        <v>480.86</v>
      </c>
      <c r="Z501">
        <v>489.31</v>
      </c>
      <c r="AB501" s="2">
        <v>1</v>
      </c>
      <c r="AC501">
        <v>203.25</v>
      </c>
      <c r="AD501">
        <v>212.75</v>
      </c>
      <c r="AF501" s="2">
        <v>1</v>
      </c>
      <c r="AG501">
        <v>260.57</v>
      </c>
      <c r="AH501">
        <v>273.7</v>
      </c>
      <c r="AJ501" s="2">
        <v>1</v>
      </c>
      <c r="AN501" t="s">
        <v>373</v>
      </c>
      <c r="AO501">
        <v>107.19</v>
      </c>
      <c r="AP501">
        <v>112.93</v>
      </c>
      <c r="AR501" s="2">
        <v>1</v>
      </c>
      <c r="AS501" t="s">
        <v>16</v>
      </c>
      <c r="AT501" t="str">
        <f t="shared" si="7"/>
        <v>Colerain - 412AL</v>
      </c>
    </row>
    <row r="502" spans="1:46" x14ac:dyDescent="0.25">
      <c r="A502" t="s">
        <v>316</v>
      </c>
      <c r="B502" t="s">
        <v>261</v>
      </c>
      <c r="C502" t="s">
        <v>66</v>
      </c>
      <c r="D502" s="50">
        <v>46054</v>
      </c>
      <c r="E502" s="2">
        <v>0.86699999999999999</v>
      </c>
      <c r="F502" s="2">
        <v>0.879</v>
      </c>
      <c r="G502" t="s">
        <v>373</v>
      </c>
      <c r="H502" t="s">
        <v>373</v>
      </c>
      <c r="I502" s="2">
        <v>0</v>
      </c>
      <c r="J502" s="2">
        <v>0</v>
      </c>
      <c r="K502" s="2">
        <v>0</v>
      </c>
      <c r="L502" s="2">
        <v>0</v>
      </c>
      <c r="M502" s="51">
        <v>0</v>
      </c>
      <c r="N502" s="51">
        <v>0</v>
      </c>
      <c r="P502" s="51">
        <v>0</v>
      </c>
      <c r="Q502" s="51">
        <v>176566</v>
      </c>
      <c r="R502" s="51">
        <v>355550</v>
      </c>
      <c r="T502" s="51">
        <v>355550</v>
      </c>
      <c r="U502" s="2">
        <v>0</v>
      </c>
      <c r="V502" s="2">
        <v>0</v>
      </c>
      <c r="W502" t="s">
        <v>373</v>
      </c>
      <c r="X502" t="s">
        <v>373</v>
      </c>
      <c r="Y502">
        <v>497.77</v>
      </c>
      <c r="Z502">
        <v>489.31</v>
      </c>
      <c r="AB502" s="2">
        <v>1</v>
      </c>
      <c r="AC502">
        <v>222.25</v>
      </c>
      <c r="AD502">
        <v>212.75</v>
      </c>
      <c r="AF502" s="2">
        <v>1</v>
      </c>
      <c r="AG502">
        <v>286.83999999999997</v>
      </c>
      <c r="AH502">
        <v>273.7</v>
      </c>
      <c r="AJ502" s="2">
        <v>1</v>
      </c>
      <c r="AN502" t="s">
        <v>373</v>
      </c>
      <c r="AO502">
        <v>118.67</v>
      </c>
      <c r="AP502">
        <v>112.93</v>
      </c>
      <c r="AR502" s="2">
        <v>1</v>
      </c>
      <c r="AS502" t="s">
        <v>16</v>
      </c>
      <c r="AT502" t="str">
        <f t="shared" si="7"/>
        <v>Colerain - 412AL</v>
      </c>
    </row>
    <row r="503" spans="1:46" x14ac:dyDescent="0.25">
      <c r="A503" t="s">
        <v>316</v>
      </c>
      <c r="B503" t="s">
        <v>261</v>
      </c>
      <c r="C503" t="s">
        <v>94</v>
      </c>
      <c r="D503" s="50">
        <v>46023</v>
      </c>
      <c r="E503" s="2">
        <v>0.94399999999999995</v>
      </c>
      <c r="F503" s="2">
        <v>0.94699999999999995</v>
      </c>
      <c r="G503" t="s">
        <v>373</v>
      </c>
      <c r="H503" t="s">
        <v>373</v>
      </c>
      <c r="I503" s="2">
        <v>0</v>
      </c>
      <c r="J503" s="2">
        <v>0</v>
      </c>
      <c r="K503" s="2">
        <v>0</v>
      </c>
      <c r="L503" s="2">
        <v>0</v>
      </c>
      <c r="M503" s="51">
        <v>0</v>
      </c>
      <c r="N503" s="51">
        <v>160</v>
      </c>
      <c r="P503" s="51">
        <v>160</v>
      </c>
      <c r="Q503" s="51">
        <v>431606</v>
      </c>
      <c r="R503" s="51">
        <v>863478</v>
      </c>
      <c r="T503" s="51">
        <v>863478</v>
      </c>
      <c r="U503" s="2">
        <v>0</v>
      </c>
      <c r="V503" s="2">
        <v>0</v>
      </c>
      <c r="W503" t="s">
        <v>373</v>
      </c>
      <c r="X503" t="s">
        <v>373</v>
      </c>
      <c r="Y503">
        <v>491.86</v>
      </c>
      <c r="Z503">
        <v>488.89</v>
      </c>
      <c r="AB503" s="2">
        <v>1</v>
      </c>
      <c r="AC503">
        <v>215.45</v>
      </c>
      <c r="AD503">
        <v>226.98</v>
      </c>
      <c r="AF503" s="2">
        <v>1</v>
      </c>
      <c r="AG503">
        <v>278.27999999999997</v>
      </c>
      <c r="AH503">
        <v>291.99</v>
      </c>
      <c r="AJ503" s="2">
        <v>1</v>
      </c>
      <c r="AN503" t="s">
        <v>373</v>
      </c>
      <c r="AO503">
        <v>101.96</v>
      </c>
      <c r="AP503">
        <v>107.4</v>
      </c>
      <c r="AR503" s="2">
        <v>1</v>
      </c>
      <c r="AS503" t="s">
        <v>16</v>
      </c>
      <c r="AT503" t="str">
        <f t="shared" si="7"/>
        <v>Englewood - 416AL</v>
      </c>
    </row>
    <row r="504" spans="1:46" x14ac:dyDescent="0.25">
      <c r="A504" t="s">
        <v>316</v>
      </c>
      <c r="B504" t="s">
        <v>261</v>
      </c>
      <c r="C504" t="s">
        <v>94</v>
      </c>
      <c r="D504" s="50">
        <v>46054</v>
      </c>
      <c r="E504" s="2">
        <v>0.95</v>
      </c>
      <c r="F504" s="2">
        <v>0.94699999999999995</v>
      </c>
      <c r="G504" t="s">
        <v>373</v>
      </c>
      <c r="H504" t="s">
        <v>373</v>
      </c>
      <c r="I504" s="2">
        <v>0</v>
      </c>
      <c r="J504" s="2">
        <v>0</v>
      </c>
      <c r="K504" s="2">
        <v>0</v>
      </c>
      <c r="L504" s="2">
        <v>0</v>
      </c>
      <c r="M504" s="51">
        <v>160</v>
      </c>
      <c r="N504" s="51">
        <v>160</v>
      </c>
      <c r="P504" s="51">
        <v>160</v>
      </c>
      <c r="Q504" s="51">
        <v>431872</v>
      </c>
      <c r="R504" s="51">
        <v>863478</v>
      </c>
      <c r="T504" s="51">
        <v>863478</v>
      </c>
      <c r="U504" s="2">
        <v>0</v>
      </c>
      <c r="V504" s="2">
        <v>0</v>
      </c>
      <c r="W504" t="s">
        <v>373</v>
      </c>
      <c r="X504" t="s">
        <v>373</v>
      </c>
      <c r="Y504">
        <v>485.92</v>
      </c>
      <c r="Z504">
        <v>488.89</v>
      </c>
      <c r="AB504" s="2">
        <v>1</v>
      </c>
      <c r="AC504">
        <v>238.52</v>
      </c>
      <c r="AD504">
        <v>226.98</v>
      </c>
      <c r="AF504" s="2">
        <v>1</v>
      </c>
      <c r="AG504">
        <v>305.69</v>
      </c>
      <c r="AH504">
        <v>291.99</v>
      </c>
      <c r="AJ504" s="2">
        <v>1</v>
      </c>
      <c r="AN504" t="s">
        <v>373</v>
      </c>
      <c r="AO504">
        <v>112.85</v>
      </c>
      <c r="AP504">
        <v>107.4</v>
      </c>
      <c r="AR504" s="2">
        <v>1</v>
      </c>
      <c r="AS504" t="s">
        <v>16</v>
      </c>
      <c r="AT504" t="str">
        <f t="shared" si="7"/>
        <v>Englewood - 416AL</v>
      </c>
    </row>
    <row r="505" spans="1:46" x14ac:dyDescent="0.25">
      <c r="A505" t="s">
        <v>316</v>
      </c>
      <c r="B505" t="s">
        <v>261</v>
      </c>
      <c r="C505" t="s">
        <v>125</v>
      </c>
      <c r="D505" s="50">
        <v>46023</v>
      </c>
      <c r="E505" s="2">
        <v>0.97799999999999998</v>
      </c>
      <c r="F505" s="2">
        <v>0.97899999999999998</v>
      </c>
      <c r="G505" t="s">
        <v>373</v>
      </c>
      <c r="H505" t="s">
        <v>373</v>
      </c>
      <c r="I505" s="2">
        <v>0.5</v>
      </c>
      <c r="J505" s="2">
        <v>0.5</v>
      </c>
      <c r="K505" s="2">
        <v>0</v>
      </c>
      <c r="L505" s="2">
        <v>0.5</v>
      </c>
      <c r="M505" s="51">
        <v>1639</v>
      </c>
      <c r="N505" s="51">
        <v>1819</v>
      </c>
      <c r="P505" s="51">
        <v>1819</v>
      </c>
      <c r="Q505" s="51">
        <v>244654</v>
      </c>
      <c r="R505" s="51">
        <v>496657</v>
      </c>
      <c r="T505" s="51">
        <v>496657</v>
      </c>
      <c r="U505" s="2">
        <v>7.0000000000000001E-3</v>
      </c>
      <c r="V505" s="2">
        <v>4.0000000000000001E-3</v>
      </c>
      <c r="W505" t="s">
        <v>373</v>
      </c>
      <c r="X505" t="s">
        <v>373</v>
      </c>
      <c r="Y505">
        <v>454.72</v>
      </c>
      <c r="Z505">
        <v>453.47</v>
      </c>
      <c r="AB505" s="2">
        <v>1</v>
      </c>
      <c r="AC505">
        <v>193.87</v>
      </c>
      <c r="AD505">
        <v>205.12</v>
      </c>
      <c r="AF505" s="2">
        <v>1</v>
      </c>
      <c r="AG505">
        <v>231.01</v>
      </c>
      <c r="AH505">
        <v>243.38</v>
      </c>
      <c r="AJ505" s="2">
        <v>1</v>
      </c>
      <c r="AN505" t="s">
        <v>373</v>
      </c>
      <c r="AR505" t="s">
        <v>373</v>
      </c>
      <c r="AS505" t="s">
        <v>16</v>
      </c>
      <c r="AT505" t="str">
        <f t="shared" si="7"/>
        <v>Hamilton - 439AL</v>
      </c>
    </row>
    <row r="506" spans="1:46" x14ac:dyDescent="0.25">
      <c r="A506" t="s">
        <v>316</v>
      </c>
      <c r="B506" t="s">
        <v>261</v>
      </c>
      <c r="C506" t="s">
        <v>125</v>
      </c>
      <c r="D506" s="50">
        <v>46054</v>
      </c>
      <c r="E506" s="2">
        <v>0.97899999999999998</v>
      </c>
      <c r="F506" s="2">
        <v>0.97899999999999998</v>
      </c>
      <c r="G506" t="s">
        <v>373</v>
      </c>
      <c r="H506" t="s">
        <v>373</v>
      </c>
      <c r="I506" s="2">
        <v>0</v>
      </c>
      <c r="J506" s="2">
        <v>0.5</v>
      </c>
      <c r="K506" s="2">
        <v>0</v>
      </c>
      <c r="L506" s="2">
        <v>0.5</v>
      </c>
      <c r="M506" s="51">
        <v>180</v>
      </c>
      <c r="N506" s="51">
        <v>1819</v>
      </c>
      <c r="P506" s="51">
        <v>1819</v>
      </c>
      <c r="Q506" s="51">
        <v>252003</v>
      </c>
      <c r="R506" s="51">
        <v>496657</v>
      </c>
      <c r="T506" s="51">
        <v>496657</v>
      </c>
      <c r="U506" s="2">
        <v>1E-3</v>
      </c>
      <c r="V506" s="2">
        <v>4.0000000000000001E-3</v>
      </c>
      <c r="W506" t="s">
        <v>373</v>
      </c>
      <c r="X506" t="s">
        <v>373</v>
      </c>
      <c r="Y506">
        <v>452.23</v>
      </c>
      <c r="Z506">
        <v>453.47</v>
      </c>
      <c r="AB506" s="2">
        <v>1</v>
      </c>
      <c r="AC506">
        <v>216.36</v>
      </c>
      <c r="AD506">
        <v>205.12</v>
      </c>
      <c r="AF506" s="2">
        <v>1</v>
      </c>
      <c r="AG506">
        <v>255.76</v>
      </c>
      <c r="AH506">
        <v>243.38</v>
      </c>
      <c r="AJ506" s="2">
        <v>1</v>
      </c>
      <c r="AN506" t="s">
        <v>373</v>
      </c>
      <c r="AR506" t="s">
        <v>373</v>
      </c>
      <c r="AS506" t="s">
        <v>16</v>
      </c>
      <c r="AT506" t="str">
        <f t="shared" si="7"/>
        <v>Hamilton - 439AL</v>
      </c>
    </row>
    <row r="507" spans="1:46" x14ac:dyDescent="0.25">
      <c r="A507" t="s">
        <v>316</v>
      </c>
      <c r="B507" t="s">
        <v>261</v>
      </c>
      <c r="C507" t="s">
        <v>127</v>
      </c>
      <c r="D507" s="50">
        <v>46023</v>
      </c>
      <c r="E507" s="2">
        <v>0.96199999999999997</v>
      </c>
      <c r="F507" s="2">
        <v>0.97799999999999998</v>
      </c>
      <c r="G507" t="s">
        <v>373</v>
      </c>
      <c r="H507" t="s">
        <v>373</v>
      </c>
      <c r="I507" s="2">
        <v>0</v>
      </c>
      <c r="J507" s="2">
        <v>0</v>
      </c>
      <c r="K507" s="2">
        <v>0</v>
      </c>
      <c r="L507" s="2">
        <v>0</v>
      </c>
      <c r="M507" s="51">
        <v>0</v>
      </c>
      <c r="N507" s="51">
        <v>0</v>
      </c>
      <c r="P507" s="51">
        <v>0</v>
      </c>
      <c r="Q507" s="51">
        <v>270943</v>
      </c>
      <c r="R507" s="51">
        <v>547966</v>
      </c>
      <c r="T507" s="51">
        <v>547966</v>
      </c>
      <c r="U507" s="2">
        <v>0</v>
      </c>
      <c r="V507" s="2">
        <v>0</v>
      </c>
      <c r="W507" t="s">
        <v>373</v>
      </c>
      <c r="X507" t="s">
        <v>373</v>
      </c>
      <c r="Y507">
        <v>460.48</v>
      </c>
      <c r="Z507">
        <v>463.71</v>
      </c>
      <c r="AB507" s="2">
        <v>1</v>
      </c>
      <c r="AC507">
        <v>223.29</v>
      </c>
      <c r="AD507">
        <v>235.29</v>
      </c>
      <c r="AF507" s="2">
        <v>1</v>
      </c>
      <c r="AG507">
        <v>258.3</v>
      </c>
      <c r="AH507">
        <v>271.93</v>
      </c>
      <c r="AJ507" s="2">
        <v>1</v>
      </c>
      <c r="AK507">
        <v>149.29</v>
      </c>
      <c r="AL507">
        <v>157.54</v>
      </c>
      <c r="AN507" s="2">
        <v>1</v>
      </c>
      <c r="AR507" t="s">
        <v>373</v>
      </c>
      <c r="AS507" t="s">
        <v>16</v>
      </c>
      <c r="AT507" t="str">
        <f t="shared" si="7"/>
        <v>Harrison - 442AL</v>
      </c>
    </row>
    <row r="508" spans="1:46" x14ac:dyDescent="0.25">
      <c r="A508" t="s">
        <v>316</v>
      </c>
      <c r="B508" t="s">
        <v>261</v>
      </c>
      <c r="C508" t="s">
        <v>127</v>
      </c>
      <c r="D508" s="50">
        <v>46054</v>
      </c>
      <c r="E508" s="2">
        <v>0.996</v>
      </c>
      <c r="F508" s="2">
        <v>0.97799999999999998</v>
      </c>
      <c r="G508" t="s">
        <v>373</v>
      </c>
      <c r="H508" t="s">
        <v>373</v>
      </c>
      <c r="I508" s="2">
        <v>0</v>
      </c>
      <c r="J508" s="2">
        <v>0</v>
      </c>
      <c r="K508" s="2">
        <v>0</v>
      </c>
      <c r="L508" s="2">
        <v>0</v>
      </c>
      <c r="M508" s="51">
        <v>0</v>
      </c>
      <c r="N508" s="51">
        <v>0</v>
      </c>
      <c r="P508" s="51">
        <v>0</v>
      </c>
      <c r="Q508" s="51">
        <v>277023</v>
      </c>
      <c r="R508" s="51">
        <v>547966</v>
      </c>
      <c r="T508" s="51">
        <v>547966</v>
      </c>
      <c r="U508" s="2">
        <v>0</v>
      </c>
      <c r="V508" s="2">
        <v>0</v>
      </c>
      <c r="W508" t="s">
        <v>373</v>
      </c>
      <c r="X508" t="s">
        <v>373</v>
      </c>
      <c r="Y508">
        <v>466.93</v>
      </c>
      <c r="Z508">
        <v>463.71</v>
      </c>
      <c r="AB508" s="2">
        <v>1</v>
      </c>
      <c r="AC508">
        <v>247.29</v>
      </c>
      <c r="AD508">
        <v>235.29</v>
      </c>
      <c r="AF508" s="2">
        <v>1</v>
      </c>
      <c r="AG508">
        <v>285.56</v>
      </c>
      <c r="AH508">
        <v>271.93</v>
      </c>
      <c r="AJ508" s="2">
        <v>1</v>
      </c>
      <c r="AK508">
        <v>165.79</v>
      </c>
      <c r="AL508">
        <v>157.54</v>
      </c>
      <c r="AN508" s="2">
        <v>1</v>
      </c>
      <c r="AR508" t="s">
        <v>373</v>
      </c>
      <c r="AS508" t="s">
        <v>16</v>
      </c>
      <c r="AT508" t="str">
        <f t="shared" si="7"/>
        <v>Harrison - 442AL</v>
      </c>
    </row>
    <row r="509" spans="1:46" x14ac:dyDescent="0.25">
      <c r="A509" t="s">
        <v>316</v>
      </c>
      <c r="B509" t="s">
        <v>261</v>
      </c>
      <c r="C509" t="s">
        <v>161</v>
      </c>
      <c r="D509" s="50">
        <v>46023</v>
      </c>
      <c r="E509" s="2">
        <v>0.94399999999999995</v>
      </c>
      <c r="F509" s="2">
        <v>0.96199999999999997</v>
      </c>
      <c r="G509" t="s">
        <v>373</v>
      </c>
      <c r="H509" t="s">
        <v>373</v>
      </c>
      <c r="I509" s="2">
        <v>0</v>
      </c>
      <c r="J509" s="2">
        <v>0</v>
      </c>
      <c r="K509" s="2">
        <v>0</v>
      </c>
      <c r="L509" s="2">
        <v>0</v>
      </c>
      <c r="M509" s="51">
        <v>592</v>
      </c>
      <c r="N509" s="51">
        <v>772</v>
      </c>
      <c r="P509" s="51">
        <v>772</v>
      </c>
      <c r="Q509" s="51">
        <v>238582</v>
      </c>
      <c r="R509" s="51">
        <v>488205</v>
      </c>
      <c r="T509" s="51">
        <v>488205</v>
      </c>
      <c r="U509" s="2">
        <v>2E-3</v>
      </c>
      <c r="V509" s="2">
        <v>2E-3</v>
      </c>
      <c r="W509" t="s">
        <v>373</v>
      </c>
      <c r="X509" t="s">
        <v>373</v>
      </c>
      <c r="Y509" s="52">
        <v>1118.07</v>
      </c>
      <c r="Z509">
        <v>790.91</v>
      </c>
      <c r="AB509" s="2">
        <v>1</v>
      </c>
      <c r="AC509">
        <v>197.7</v>
      </c>
      <c r="AD509">
        <v>208.6</v>
      </c>
      <c r="AF509" s="2">
        <v>1</v>
      </c>
      <c r="AG509">
        <v>230.13</v>
      </c>
      <c r="AH509">
        <v>242.75</v>
      </c>
      <c r="AJ509" s="2">
        <v>1</v>
      </c>
      <c r="AK509">
        <v>121.7</v>
      </c>
      <c r="AL509">
        <v>128.59</v>
      </c>
      <c r="AN509" s="2">
        <v>1</v>
      </c>
      <c r="AR509" t="s">
        <v>373</v>
      </c>
      <c r="AS509" t="s">
        <v>16</v>
      </c>
      <c r="AT509" t="str">
        <f t="shared" si="7"/>
        <v>Liberty Township - 441AL</v>
      </c>
    </row>
    <row r="510" spans="1:46" x14ac:dyDescent="0.25">
      <c r="A510" t="s">
        <v>316</v>
      </c>
      <c r="B510" t="s">
        <v>261</v>
      </c>
      <c r="C510" t="s">
        <v>161</v>
      </c>
      <c r="D510" s="50">
        <v>46054</v>
      </c>
      <c r="E510" s="2">
        <v>0.98099999999999998</v>
      </c>
      <c r="F510" s="2">
        <v>0.96199999999999997</v>
      </c>
      <c r="G510" t="s">
        <v>373</v>
      </c>
      <c r="H510" t="s">
        <v>373</v>
      </c>
      <c r="I510" s="2">
        <v>0</v>
      </c>
      <c r="J510" s="2">
        <v>0</v>
      </c>
      <c r="K510" s="2">
        <v>0</v>
      </c>
      <c r="L510" s="2">
        <v>0</v>
      </c>
      <c r="M510" s="51">
        <v>180</v>
      </c>
      <c r="N510" s="51">
        <v>772</v>
      </c>
      <c r="P510" s="51">
        <v>772</v>
      </c>
      <c r="Q510" s="51">
        <v>249623</v>
      </c>
      <c r="R510" s="51">
        <v>488205</v>
      </c>
      <c r="T510" s="51">
        <v>488205</v>
      </c>
      <c r="U510" s="2">
        <v>1E-3</v>
      </c>
      <c r="V510" s="2">
        <v>2E-3</v>
      </c>
      <c r="W510" t="s">
        <v>373</v>
      </c>
      <c r="X510" t="s">
        <v>373</v>
      </c>
      <c r="Y510">
        <v>463.76</v>
      </c>
      <c r="Z510">
        <v>790.91</v>
      </c>
      <c r="AB510" s="2">
        <v>1</v>
      </c>
      <c r="AC510">
        <v>219.49</v>
      </c>
      <c r="AD510">
        <v>208.6</v>
      </c>
      <c r="AF510" s="2">
        <v>1</v>
      </c>
      <c r="AG510">
        <v>255.37</v>
      </c>
      <c r="AH510">
        <v>242.75</v>
      </c>
      <c r="AJ510" s="2">
        <v>1</v>
      </c>
      <c r="AK510">
        <v>135.47999999999999</v>
      </c>
      <c r="AL510">
        <v>128.59</v>
      </c>
      <c r="AN510" s="2">
        <v>1</v>
      </c>
      <c r="AR510" t="s">
        <v>373</v>
      </c>
      <c r="AS510" t="s">
        <v>16</v>
      </c>
      <c r="AT510" t="str">
        <f t="shared" si="7"/>
        <v>Liberty Township - 441AL</v>
      </c>
    </row>
    <row r="511" spans="1:46" x14ac:dyDescent="0.25">
      <c r="A511" t="s">
        <v>316</v>
      </c>
      <c r="B511" t="s">
        <v>261</v>
      </c>
      <c r="C511" t="s">
        <v>184</v>
      </c>
      <c r="D511" s="50">
        <v>46023</v>
      </c>
      <c r="E511" s="2">
        <v>0.98099999999999998</v>
      </c>
      <c r="F511" s="2">
        <v>0.99</v>
      </c>
      <c r="G511" t="s">
        <v>373</v>
      </c>
      <c r="H511" t="s">
        <v>373</v>
      </c>
      <c r="I511" s="2">
        <v>0</v>
      </c>
      <c r="J511" s="2">
        <v>0</v>
      </c>
      <c r="K511" s="2">
        <v>0</v>
      </c>
      <c r="L511" s="2">
        <v>0</v>
      </c>
      <c r="M511" s="51">
        <v>0</v>
      </c>
      <c r="N511" s="51">
        <v>0</v>
      </c>
      <c r="P511" s="51">
        <v>0</v>
      </c>
      <c r="Q511" s="51">
        <v>250646</v>
      </c>
      <c r="R511" s="51">
        <v>509190</v>
      </c>
      <c r="T511" s="51">
        <v>509190</v>
      </c>
      <c r="U511" s="2">
        <v>0</v>
      </c>
      <c r="V511" s="2">
        <v>0</v>
      </c>
      <c r="W511" t="s">
        <v>373</v>
      </c>
      <c r="X511" t="s">
        <v>373</v>
      </c>
      <c r="Y511">
        <v>454.12</v>
      </c>
      <c r="Z511">
        <v>460.41</v>
      </c>
      <c r="AB511" s="2">
        <v>1</v>
      </c>
      <c r="AC511">
        <v>198.72</v>
      </c>
      <c r="AD511">
        <v>209.31</v>
      </c>
      <c r="AF511" s="2">
        <v>1</v>
      </c>
      <c r="AG511">
        <v>235.1</v>
      </c>
      <c r="AH511">
        <v>248.18</v>
      </c>
      <c r="AJ511" s="2">
        <v>1</v>
      </c>
      <c r="AK511">
        <v>100.27</v>
      </c>
      <c r="AL511">
        <v>105.12</v>
      </c>
      <c r="AN511" s="2">
        <v>1</v>
      </c>
      <c r="AR511" t="s">
        <v>373</v>
      </c>
      <c r="AS511" t="s">
        <v>16</v>
      </c>
      <c r="AT511" t="str">
        <f t="shared" si="7"/>
        <v>Miami Township - 440AL</v>
      </c>
    </row>
    <row r="512" spans="1:46" x14ac:dyDescent="0.25">
      <c r="A512" t="s">
        <v>316</v>
      </c>
      <c r="B512" t="s">
        <v>261</v>
      </c>
      <c r="C512" t="s">
        <v>184</v>
      </c>
      <c r="D512" s="50">
        <v>46054</v>
      </c>
      <c r="E512" s="2">
        <v>1</v>
      </c>
      <c r="F512" s="2">
        <v>0.99</v>
      </c>
      <c r="G512" t="s">
        <v>373</v>
      </c>
      <c r="H512" t="s">
        <v>373</v>
      </c>
      <c r="I512" s="2">
        <v>0</v>
      </c>
      <c r="J512" s="2">
        <v>0</v>
      </c>
      <c r="K512" s="2">
        <v>0</v>
      </c>
      <c r="L512" s="2">
        <v>0</v>
      </c>
      <c r="M512" s="51">
        <v>0</v>
      </c>
      <c r="N512" s="51">
        <v>0</v>
      </c>
      <c r="P512" s="51">
        <v>0</v>
      </c>
      <c r="Q512" s="51">
        <v>258543</v>
      </c>
      <c r="R512" s="51">
        <v>509190</v>
      </c>
      <c r="T512" s="51">
        <v>509190</v>
      </c>
      <c r="U512" s="2">
        <v>0</v>
      </c>
      <c r="V512" s="2">
        <v>0</v>
      </c>
      <c r="W512" t="s">
        <v>373</v>
      </c>
      <c r="X512" t="s">
        <v>373</v>
      </c>
      <c r="Y512">
        <v>466.7</v>
      </c>
      <c r="Z512">
        <v>460.41</v>
      </c>
      <c r="AB512" s="2">
        <v>1</v>
      </c>
      <c r="AC512">
        <v>219.9</v>
      </c>
      <c r="AD512">
        <v>209.31</v>
      </c>
      <c r="AF512" s="2">
        <v>1</v>
      </c>
      <c r="AG512">
        <v>261.27</v>
      </c>
      <c r="AH512">
        <v>248.18</v>
      </c>
      <c r="AJ512" s="2">
        <v>1</v>
      </c>
      <c r="AK512">
        <v>109.97</v>
      </c>
      <c r="AL512">
        <v>105.12</v>
      </c>
      <c r="AN512" s="2">
        <v>1</v>
      </c>
      <c r="AR512" t="s">
        <v>373</v>
      </c>
      <c r="AS512" t="s">
        <v>16</v>
      </c>
      <c r="AT512" t="str">
        <f t="shared" si="7"/>
        <v>Miami Township - 440AL</v>
      </c>
    </row>
    <row r="513" spans="1:46" x14ac:dyDescent="0.25">
      <c r="A513" t="s">
        <v>316</v>
      </c>
      <c r="B513" t="s">
        <v>261</v>
      </c>
      <c r="C513" t="s">
        <v>213</v>
      </c>
      <c r="D513" s="50">
        <v>46023</v>
      </c>
      <c r="E513" s="2">
        <v>0.88300000000000001</v>
      </c>
      <c r="F513" s="2">
        <v>0.90200000000000002</v>
      </c>
      <c r="G513" t="s">
        <v>373</v>
      </c>
      <c r="H513" t="s">
        <v>373</v>
      </c>
      <c r="I513" s="2">
        <v>0</v>
      </c>
      <c r="J513" s="2">
        <v>0</v>
      </c>
      <c r="K513" s="2">
        <v>0</v>
      </c>
      <c r="L513" s="2">
        <v>0</v>
      </c>
      <c r="M513" s="51">
        <v>0</v>
      </c>
      <c r="N513" s="51">
        <v>0</v>
      </c>
      <c r="P513" s="51">
        <v>0</v>
      </c>
      <c r="Q513" s="51">
        <v>214681</v>
      </c>
      <c r="R513" s="51">
        <v>429317</v>
      </c>
      <c r="T513" s="51">
        <v>429317</v>
      </c>
      <c r="U513" s="2">
        <v>0</v>
      </c>
      <c r="V513" s="2">
        <v>0</v>
      </c>
      <c r="W513" t="s">
        <v>373</v>
      </c>
      <c r="X513" t="s">
        <v>373</v>
      </c>
      <c r="Y513">
        <v>423</v>
      </c>
      <c r="Z513">
        <v>747.95</v>
      </c>
      <c r="AB513" s="2">
        <v>1</v>
      </c>
      <c r="AC513">
        <v>184.56</v>
      </c>
      <c r="AD513">
        <v>189.62</v>
      </c>
      <c r="AF513" s="2">
        <v>1</v>
      </c>
      <c r="AG513">
        <v>233.82</v>
      </c>
      <c r="AH513">
        <v>245.02</v>
      </c>
      <c r="AJ513" s="2">
        <v>1</v>
      </c>
      <c r="AN513" t="s">
        <v>373</v>
      </c>
      <c r="AR513" t="s">
        <v>373</v>
      </c>
      <c r="AS513" t="s">
        <v>16</v>
      </c>
      <c r="AT513" t="str">
        <f t="shared" si="7"/>
        <v>Richmond FP - 123AL</v>
      </c>
    </row>
    <row r="514" spans="1:46" x14ac:dyDescent="0.25">
      <c r="A514" t="s">
        <v>316</v>
      </c>
      <c r="B514" t="s">
        <v>261</v>
      </c>
      <c r="C514" t="s">
        <v>213</v>
      </c>
      <c r="D514" s="50">
        <v>46054</v>
      </c>
      <c r="E514" s="2">
        <v>0.92400000000000004</v>
      </c>
      <c r="F514" s="2">
        <v>0.90200000000000002</v>
      </c>
      <c r="G514" t="s">
        <v>373</v>
      </c>
      <c r="H514" t="s">
        <v>373</v>
      </c>
      <c r="I514" s="2">
        <v>0</v>
      </c>
      <c r="J514" s="2">
        <v>0</v>
      </c>
      <c r="K514" s="2">
        <v>0</v>
      </c>
      <c r="L514" s="2">
        <v>0</v>
      </c>
      <c r="M514" s="51">
        <v>0</v>
      </c>
      <c r="N514" s="51">
        <v>0</v>
      </c>
      <c r="P514" s="51">
        <v>0</v>
      </c>
      <c r="Q514" s="51">
        <v>214636</v>
      </c>
      <c r="R514" s="51">
        <v>429317</v>
      </c>
      <c r="T514" s="51">
        <v>429317</v>
      </c>
      <c r="U514" s="2">
        <v>0</v>
      </c>
      <c r="V514" s="2">
        <v>0</v>
      </c>
      <c r="W514" t="s">
        <v>373</v>
      </c>
      <c r="X514" t="s">
        <v>373</v>
      </c>
      <c r="Y514" s="52">
        <v>1072.9000000000001</v>
      </c>
      <c r="Z514">
        <v>747.95</v>
      </c>
      <c r="AB514" s="2">
        <v>1</v>
      </c>
      <c r="AC514">
        <v>194.67</v>
      </c>
      <c r="AD514">
        <v>189.62</v>
      </c>
      <c r="AF514" s="2">
        <v>1</v>
      </c>
      <c r="AG514">
        <v>256.22000000000003</v>
      </c>
      <c r="AH514">
        <v>245.02</v>
      </c>
      <c r="AJ514" s="2">
        <v>1</v>
      </c>
      <c r="AN514" t="s">
        <v>373</v>
      </c>
      <c r="AR514" t="s">
        <v>373</v>
      </c>
      <c r="AS514" t="s">
        <v>16</v>
      </c>
      <c r="AT514" t="str">
        <f t="shared" si="7"/>
        <v>Richmond FP - 123AL</v>
      </c>
    </row>
    <row r="515" spans="1:46" x14ac:dyDescent="0.25">
      <c r="A515" t="s">
        <v>316</v>
      </c>
      <c r="B515" t="s">
        <v>261</v>
      </c>
      <c r="C515" t="s">
        <v>214</v>
      </c>
      <c r="D515" s="50">
        <v>46023</v>
      </c>
      <c r="E515" s="2">
        <v>0.998</v>
      </c>
      <c r="F515" s="2">
        <v>0.96799999999999997</v>
      </c>
      <c r="G515" t="s">
        <v>373</v>
      </c>
      <c r="H515" t="s">
        <v>373</v>
      </c>
      <c r="I515" s="2">
        <v>0</v>
      </c>
      <c r="J515" s="2">
        <v>0</v>
      </c>
      <c r="K515" s="2">
        <v>0</v>
      </c>
      <c r="L515" s="2">
        <v>0</v>
      </c>
      <c r="M515" s="51">
        <v>0</v>
      </c>
      <c r="N515" s="51">
        <v>0</v>
      </c>
      <c r="P515" s="51">
        <v>0</v>
      </c>
      <c r="Q515" s="51">
        <v>101819</v>
      </c>
      <c r="R515" s="51">
        <v>199179</v>
      </c>
      <c r="T515" s="51">
        <v>199179</v>
      </c>
      <c r="U515" s="2">
        <v>0</v>
      </c>
      <c r="V515" s="2">
        <v>0</v>
      </c>
      <c r="W515" t="s">
        <v>373</v>
      </c>
      <c r="X515" t="s">
        <v>373</v>
      </c>
      <c r="Y515">
        <v>327.51</v>
      </c>
      <c r="Z515">
        <v>363.01</v>
      </c>
      <c r="AB515" s="2">
        <v>1</v>
      </c>
      <c r="AC515">
        <v>168.65</v>
      </c>
      <c r="AD515">
        <v>177.45</v>
      </c>
      <c r="AF515" s="2">
        <v>1</v>
      </c>
      <c r="AJ515" t="s">
        <v>373</v>
      </c>
      <c r="AN515" t="s">
        <v>373</v>
      </c>
      <c r="AR515" t="s">
        <v>373</v>
      </c>
      <c r="AS515" t="s">
        <v>16</v>
      </c>
      <c r="AT515" t="str">
        <f t="shared" ref="AT515:AT578" si="8">C515&amp;AS515</f>
        <v>Richmond SR - 5173AL</v>
      </c>
    </row>
    <row r="516" spans="1:46" x14ac:dyDescent="0.25">
      <c r="A516" t="s">
        <v>316</v>
      </c>
      <c r="B516" t="s">
        <v>261</v>
      </c>
      <c r="C516" t="s">
        <v>214</v>
      </c>
      <c r="D516" s="50">
        <v>46054</v>
      </c>
      <c r="E516" s="2">
        <v>0.93600000000000005</v>
      </c>
      <c r="F516" s="2">
        <v>0.96799999999999997</v>
      </c>
      <c r="G516" t="s">
        <v>373</v>
      </c>
      <c r="H516" t="s">
        <v>373</v>
      </c>
      <c r="I516" s="2">
        <v>0</v>
      </c>
      <c r="J516" s="2">
        <v>0</v>
      </c>
      <c r="K516" s="2">
        <v>0</v>
      </c>
      <c r="L516" s="2">
        <v>0</v>
      </c>
      <c r="M516" s="51">
        <v>0</v>
      </c>
      <c r="N516" s="51">
        <v>0</v>
      </c>
      <c r="P516" s="51">
        <v>0</v>
      </c>
      <c r="Q516" s="51">
        <v>97360</v>
      </c>
      <c r="R516" s="51">
        <v>199179</v>
      </c>
      <c r="T516" s="51">
        <v>199179</v>
      </c>
      <c r="U516" s="2">
        <v>0</v>
      </c>
      <c r="V516" s="2">
        <v>0</v>
      </c>
      <c r="W516" t="s">
        <v>373</v>
      </c>
      <c r="X516" t="s">
        <v>373</v>
      </c>
      <c r="Y516">
        <v>398.51</v>
      </c>
      <c r="Z516">
        <v>363.01</v>
      </c>
      <c r="AB516" s="2">
        <v>1</v>
      </c>
      <c r="AC516">
        <v>186.24</v>
      </c>
      <c r="AD516">
        <v>177.45</v>
      </c>
      <c r="AF516" s="2">
        <v>1</v>
      </c>
      <c r="AJ516" t="s">
        <v>373</v>
      </c>
      <c r="AN516" t="s">
        <v>373</v>
      </c>
      <c r="AR516" t="s">
        <v>373</v>
      </c>
      <c r="AS516" t="s">
        <v>16</v>
      </c>
      <c r="AT516" t="str">
        <f t="shared" si="8"/>
        <v>Richmond SR - 5173AL</v>
      </c>
    </row>
    <row r="517" spans="1:46" x14ac:dyDescent="0.25">
      <c r="A517" t="s">
        <v>316</v>
      </c>
      <c r="B517" t="s">
        <v>261</v>
      </c>
      <c r="C517" t="s">
        <v>222</v>
      </c>
      <c r="D517" s="50">
        <v>46023</v>
      </c>
      <c r="E517" s="2">
        <v>0.98199999999999998</v>
      </c>
      <c r="F517" s="2">
        <v>0.95599999999999996</v>
      </c>
      <c r="G517" t="s">
        <v>373</v>
      </c>
      <c r="H517" t="s">
        <v>373</v>
      </c>
      <c r="I517" s="2">
        <v>0</v>
      </c>
      <c r="J517" s="2">
        <v>0</v>
      </c>
      <c r="K517" s="2">
        <v>0</v>
      </c>
      <c r="L517" s="2">
        <v>0</v>
      </c>
      <c r="M517" s="51">
        <v>2880</v>
      </c>
      <c r="N517" s="51">
        <v>4620</v>
      </c>
      <c r="P517" s="51">
        <v>4620</v>
      </c>
      <c r="Q517" s="51">
        <v>209316</v>
      </c>
      <c r="R517" s="51">
        <v>408750</v>
      </c>
      <c r="T517" s="51">
        <v>408750</v>
      </c>
      <c r="U517" s="2">
        <v>1.4E-2</v>
      </c>
      <c r="V517" s="2">
        <v>1.0999999999999999E-2</v>
      </c>
      <c r="W517" t="s">
        <v>373</v>
      </c>
      <c r="X517" t="s">
        <v>373</v>
      </c>
      <c r="Y517">
        <v>442.05</v>
      </c>
      <c r="Z517">
        <v>456.2</v>
      </c>
      <c r="AB517" s="2">
        <v>1</v>
      </c>
      <c r="AC517">
        <v>203.8</v>
      </c>
      <c r="AD517">
        <v>214.41</v>
      </c>
      <c r="AF517" s="2">
        <v>1</v>
      </c>
      <c r="AJ517" t="s">
        <v>373</v>
      </c>
      <c r="AK517">
        <v>117.35</v>
      </c>
      <c r="AL517">
        <v>124.35</v>
      </c>
      <c r="AN517" s="2">
        <v>1</v>
      </c>
      <c r="AR517" t="s">
        <v>373</v>
      </c>
      <c r="AS517" t="s">
        <v>16</v>
      </c>
      <c r="AT517" t="str">
        <f t="shared" si="8"/>
        <v>Springfield WG - 2429AL</v>
      </c>
    </row>
    <row r="518" spans="1:46" x14ac:dyDescent="0.25">
      <c r="A518" t="s">
        <v>316</v>
      </c>
      <c r="B518" t="s">
        <v>261</v>
      </c>
      <c r="C518" t="s">
        <v>222</v>
      </c>
      <c r="D518" s="50">
        <v>46054</v>
      </c>
      <c r="E518" s="2">
        <v>0.92600000000000005</v>
      </c>
      <c r="F518" s="2">
        <v>0.95599999999999996</v>
      </c>
      <c r="G518" t="s">
        <v>373</v>
      </c>
      <c r="H518" t="s">
        <v>373</v>
      </c>
      <c r="I518" s="2">
        <v>0</v>
      </c>
      <c r="J518" s="2">
        <v>0</v>
      </c>
      <c r="K518" s="2">
        <v>0</v>
      </c>
      <c r="L518" s="2">
        <v>0</v>
      </c>
      <c r="M518" s="51">
        <v>1740</v>
      </c>
      <c r="N518" s="51">
        <v>4620</v>
      </c>
      <c r="P518" s="51">
        <v>4620</v>
      </c>
      <c r="Q518" s="51">
        <v>199434</v>
      </c>
      <c r="R518" s="51">
        <v>408750</v>
      </c>
      <c r="T518" s="51">
        <v>408750</v>
      </c>
      <c r="U518" s="2">
        <v>8.9999999999999993E-3</v>
      </c>
      <c r="V518" s="2">
        <v>1.0999999999999999E-2</v>
      </c>
      <c r="W518" t="s">
        <v>373</v>
      </c>
      <c r="X518" t="s">
        <v>373</v>
      </c>
      <c r="Y518">
        <v>470.35</v>
      </c>
      <c r="Z518">
        <v>456.2</v>
      </c>
      <c r="AB518" s="2">
        <v>1</v>
      </c>
      <c r="AC518">
        <v>225.03</v>
      </c>
      <c r="AD518">
        <v>214.41</v>
      </c>
      <c r="AF518" s="2">
        <v>1</v>
      </c>
      <c r="AJ518" t="s">
        <v>373</v>
      </c>
      <c r="AK518">
        <v>131.36000000000001</v>
      </c>
      <c r="AL518">
        <v>124.35</v>
      </c>
      <c r="AN518" s="2">
        <v>1</v>
      </c>
      <c r="AR518" t="s">
        <v>373</v>
      </c>
      <c r="AS518" t="s">
        <v>16</v>
      </c>
      <c r="AT518" t="str">
        <f t="shared" si="8"/>
        <v>Springfield WG - 2429AL</v>
      </c>
    </row>
    <row r="519" spans="1:46" x14ac:dyDescent="0.25">
      <c r="A519" t="s">
        <v>316</v>
      </c>
      <c r="B519" t="s">
        <v>261</v>
      </c>
      <c r="C519" t="s">
        <v>234</v>
      </c>
      <c r="D519" s="50">
        <v>46023</v>
      </c>
      <c r="E519" s="2">
        <v>0.995</v>
      </c>
      <c r="F519" s="2">
        <v>0.97699999999999998</v>
      </c>
      <c r="G519" t="s">
        <v>373</v>
      </c>
      <c r="H519" t="s">
        <v>373</v>
      </c>
      <c r="I519" s="2">
        <v>0</v>
      </c>
      <c r="J519" s="2">
        <v>0</v>
      </c>
      <c r="K519" s="2">
        <v>0</v>
      </c>
      <c r="L519" s="2">
        <v>0</v>
      </c>
      <c r="M519" s="51">
        <v>0</v>
      </c>
      <c r="N519" s="51">
        <v>0</v>
      </c>
      <c r="P519" s="51">
        <v>0</v>
      </c>
      <c r="Q519" s="51">
        <v>261769</v>
      </c>
      <c r="R519" s="51">
        <v>514041</v>
      </c>
      <c r="T519" s="51">
        <v>514041</v>
      </c>
      <c r="U519" s="2">
        <v>0</v>
      </c>
      <c r="V519" s="2">
        <v>0</v>
      </c>
      <c r="W519" t="s">
        <v>373</v>
      </c>
      <c r="X519" t="s">
        <v>373</v>
      </c>
      <c r="Y519">
        <v>535.94000000000005</v>
      </c>
      <c r="Z519">
        <v>533.91</v>
      </c>
      <c r="AB519" s="2">
        <v>1</v>
      </c>
      <c r="AC519">
        <v>237.52</v>
      </c>
      <c r="AD519">
        <v>250.23</v>
      </c>
      <c r="AF519" s="2">
        <v>1</v>
      </c>
      <c r="AG519">
        <v>290.57</v>
      </c>
      <c r="AH519">
        <v>306.86</v>
      </c>
      <c r="AJ519" s="2">
        <v>1</v>
      </c>
      <c r="AK519">
        <v>131.96</v>
      </c>
      <c r="AL519">
        <v>138.61000000000001</v>
      </c>
      <c r="AN519" s="2">
        <v>1</v>
      </c>
      <c r="AR519" t="s">
        <v>373</v>
      </c>
      <c r="AS519" t="s">
        <v>16</v>
      </c>
      <c r="AT519" t="str">
        <f t="shared" si="8"/>
        <v>Union Township - 434AL</v>
      </c>
    </row>
    <row r="520" spans="1:46" x14ac:dyDescent="0.25">
      <c r="A520" t="s">
        <v>316</v>
      </c>
      <c r="B520" t="s">
        <v>261</v>
      </c>
      <c r="C520" t="s">
        <v>234</v>
      </c>
      <c r="D520" s="50">
        <v>46054</v>
      </c>
      <c r="E520" s="2">
        <v>0.95799999999999996</v>
      </c>
      <c r="F520" s="2">
        <v>0.97699999999999998</v>
      </c>
      <c r="G520" t="s">
        <v>373</v>
      </c>
      <c r="H520" t="s">
        <v>373</v>
      </c>
      <c r="I520" s="2">
        <v>0</v>
      </c>
      <c r="J520" s="2">
        <v>0</v>
      </c>
      <c r="K520" s="2">
        <v>0</v>
      </c>
      <c r="L520" s="2">
        <v>0</v>
      </c>
      <c r="M520" s="51">
        <v>0</v>
      </c>
      <c r="N520" s="51">
        <v>0</v>
      </c>
      <c r="P520" s="51">
        <v>0</v>
      </c>
      <c r="Q520" s="51">
        <v>252272</v>
      </c>
      <c r="R520" s="51">
        <v>514041</v>
      </c>
      <c r="T520" s="51">
        <v>514041</v>
      </c>
      <c r="U520" s="2">
        <v>0</v>
      </c>
      <c r="V520" s="2">
        <v>0</v>
      </c>
      <c r="W520" t="s">
        <v>373</v>
      </c>
      <c r="X520" t="s">
        <v>373</v>
      </c>
      <c r="Y520">
        <v>531.89</v>
      </c>
      <c r="Z520">
        <v>533.91</v>
      </c>
      <c r="AB520" s="2">
        <v>1</v>
      </c>
      <c r="AC520">
        <v>262.94</v>
      </c>
      <c r="AD520">
        <v>250.23</v>
      </c>
      <c r="AF520" s="2">
        <v>1</v>
      </c>
      <c r="AG520">
        <v>323.16000000000003</v>
      </c>
      <c r="AH520">
        <v>306.86</v>
      </c>
      <c r="AJ520" s="2">
        <v>1</v>
      </c>
      <c r="AK520">
        <v>145.25</v>
      </c>
      <c r="AL520">
        <v>138.61000000000001</v>
      </c>
      <c r="AN520" s="2">
        <v>1</v>
      </c>
      <c r="AR520" t="s">
        <v>373</v>
      </c>
      <c r="AS520" t="s">
        <v>16</v>
      </c>
      <c r="AT520" t="str">
        <f t="shared" si="8"/>
        <v>Union Township - 434AL</v>
      </c>
    </row>
    <row r="521" spans="1:46" x14ac:dyDescent="0.25">
      <c r="A521" t="s">
        <v>328</v>
      </c>
      <c r="B521" t="s">
        <v>329</v>
      </c>
      <c r="C521" t="s">
        <v>330</v>
      </c>
      <c r="D521" t="s">
        <v>331</v>
      </c>
      <c r="E521" t="s">
        <v>332</v>
      </c>
      <c r="F521" t="s">
        <v>333</v>
      </c>
      <c r="G521" t="s">
        <v>334</v>
      </c>
      <c r="H521" t="s">
        <v>335</v>
      </c>
      <c r="I521" t="s">
        <v>336</v>
      </c>
      <c r="J521" t="s">
        <v>337</v>
      </c>
      <c r="K521" t="s">
        <v>338</v>
      </c>
      <c r="L521" t="s">
        <v>339</v>
      </c>
      <c r="M521" t="s">
        <v>340</v>
      </c>
      <c r="N521" t="s">
        <v>341</v>
      </c>
      <c r="O521" t="s">
        <v>342</v>
      </c>
      <c r="P521" t="s">
        <v>343</v>
      </c>
      <c r="Q521" t="s">
        <v>344</v>
      </c>
      <c r="R521" t="s">
        <v>345</v>
      </c>
      <c r="S521" t="s">
        <v>346</v>
      </c>
      <c r="T521" t="s">
        <v>347</v>
      </c>
      <c r="U521" t="s">
        <v>348</v>
      </c>
      <c r="V521" t="s">
        <v>349</v>
      </c>
      <c r="W521" t="s">
        <v>350</v>
      </c>
      <c r="X521" t="s">
        <v>351</v>
      </c>
      <c r="Y521" t="s">
        <v>352</v>
      </c>
      <c r="Z521" t="s">
        <v>353</v>
      </c>
      <c r="AA521" t="s">
        <v>354</v>
      </c>
      <c r="AB521" t="s">
        <v>355</v>
      </c>
      <c r="AC521" t="s">
        <v>356</v>
      </c>
      <c r="AD521" t="s">
        <v>357</v>
      </c>
      <c r="AE521" t="s">
        <v>358</v>
      </c>
      <c r="AF521" t="s">
        <v>359</v>
      </c>
      <c r="AG521" t="s">
        <v>360</v>
      </c>
      <c r="AH521" t="s">
        <v>361</v>
      </c>
      <c r="AI521" t="s">
        <v>362</v>
      </c>
      <c r="AJ521" t="s">
        <v>363</v>
      </c>
      <c r="AK521" t="s">
        <v>364</v>
      </c>
      <c r="AL521" t="s">
        <v>365</v>
      </c>
      <c r="AM521" t="s">
        <v>366</v>
      </c>
      <c r="AN521" t="s">
        <v>367</v>
      </c>
      <c r="AO521" t="s">
        <v>368</v>
      </c>
      <c r="AP521" t="s">
        <v>369</v>
      </c>
      <c r="AQ521" t="s">
        <v>370</v>
      </c>
      <c r="AR521" t="s">
        <v>371</v>
      </c>
      <c r="AS521" t="s">
        <v>290</v>
      </c>
      <c r="AT521" t="str">
        <f t="shared" si="8"/>
        <v>locationVI</v>
      </c>
    </row>
    <row r="522" spans="1:46" x14ac:dyDescent="0.25">
      <c r="A522" t="s">
        <v>316</v>
      </c>
      <c r="B522" t="s">
        <v>251</v>
      </c>
      <c r="C522" t="s">
        <v>122</v>
      </c>
      <c r="D522">
        <v>46023</v>
      </c>
      <c r="E522">
        <v>1</v>
      </c>
      <c r="F522">
        <v>0.98799999999999999</v>
      </c>
      <c r="G522" t="s">
        <v>373</v>
      </c>
      <c r="H522" t="s">
        <v>373</v>
      </c>
      <c r="I522">
        <v>0</v>
      </c>
      <c r="J522">
        <v>0</v>
      </c>
      <c r="K522">
        <v>0</v>
      </c>
      <c r="L522">
        <v>0</v>
      </c>
      <c r="M522">
        <v>130</v>
      </c>
      <c r="N522">
        <v>260</v>
      </c>
      <c r="P522">
        <v>260</v>
      </c>
      <c r="Q522">
        <v>78027</v>
      </c>
      <c r="R522">
        <v>154249</v>
      </c>
      <c r="T522">
        <v>154249</v>
      </c>
      <c r="U522">
        <v>2E-3</v>
      </c>
      <c r="V522">
        <v>2E-3</v>
      </c>
      <c r="W522" t="s">
        <v>373</v>
      </c>
      <c r="X522" t="s">
        <v>373</v>
      </c>
      <c r="Y522">
        <v>449.03</v>
      </c>
      <c r="Z522">
        <v>459.03</v>
      </c>
      <c r="AB522">
        <v>1</v>
      </c>
      <c r="AC522">
        <v>195.58</v>
      </c>
      <c r="AD522">
        <v>205.08</v>
      </c>
      <c r="AF522">
        <v>1</v>
      </c>
      <c r="AG522">
        <v>234.57</v>
      </c>
      <c r="AH522">
        <v>246.3</v>
      </c>
      <c r="AJ522">
        <v>1</v>
      </c>
      <c r="AN522" t="s">
        <v>373</v>
      </c>
      <c r="AO522">
        <v>104.88</v>
      </c>
      <c r="AP522">
        <v>110.53</v>
      </c>
      <c r="AR522">
        <v>1</v>
      </c>
      <c r="AS522" t="s">
        <v>290</v>
      </c>
      <c r="AT522" t="str">
        <f t="shared" si="8"/>
        <v>Greenfield - 125VI</v>
      </c>
    </row>
    <row r="523" spans="1:46" x14ac:dyDescent="0.25">
      <c r="A523" t="s">
        <v>316</v>
      </c>
      <c r="B523" t="s">
        <v>251</v>
      </c>
      <c r="C523" t="s">
        <v>122</v>
      </c>
      <c r="D523">
        <v>46054</v>
      </c>
      <c r="E523">
        <v>0.97499999999999998</v>
      </c>
      <c r="F523">
        <v>0.98799999999999999</v>
      </c>
      <c r="G523" t="s">
        <v>373</v>
      </c>
      <c r="H523" t="s">
        <v>373</v>
      </c>
      <c r="I523">
        <v>0</v>
      </c>
      <c r="J523">
        <v>0</v>
      </c>
      <c r="K523">
        <v>0</v>
      </c>
      <c r="L523">
        <v>0</v>
      </c>
      <c r="M523">
        <v>130</v>
      </c>
      <c r="N523">
        <v>260</v>
      </c>
      <c r="P523">
        <v>260</v>
      </c>
      <c r="Q523">
        <v>76222</v>
      </c>
      <c r="R523">
        <v>154249</v>
      </c>
      <c r="T523">
        <v>154249</v>
      </c>
      <c r="U523">
        <v>2E-3</v>
      </c>
      <c r="V523">
        <v>2E-3</v>
      </c>
      <c r="W523" t="s">
        <v>373</v>
      </c>
      <c r="X523" t="s">
        <v>373</v>
      </c>
      <c r="Y523">
        <v>469.02</v>
      </c>
      <c r="Z523">
        <v>459.03</v>
      </c>
      <c r="AB523">
        <v>1</v>
      </c>
      <c r="AC523">
        <v>214.59</v>
      </c>
      <c r="AD523">
        <v>205.08</v>
      </c>
      <c r="AF523">
        <v>1</v>
      </c>
      <c r="AG523">
        <v>258.02999999999997</v>
      </c>
      <c r="AH523">
        <v>246.3</v>
      </c>
      <c r="AJ523">
        <v>1</v>
      </c>
      <c r="AN523" t="s">
        <v>373</v>
      </c>
      <c r="AO523">
        <v>116.19</v>
      </c>
      <c r="AP523">
        <v>110.53</v>
      </c>
      <c r="AR523">
        <v>1</v>
      </c>
      <c r="AS523" t="s">
        <v>290</v>
      </c>
      <c r="AT523" t="str">
        <f t="shared" si="8"/>
        <v>Greenfield - 125VI</v>
      </c>
    </row>
    <row r="524" spans="1:46" x14ac:dyDescent="0.25">
      <c r="A524" t="s">
        <v>316</v>
      </c>
      <c r="B524" t="s">
        <v>252</v>
      </c>
      <c r="C524" t="s">
        <v>243</v>
      </c>
      <c r="D524">
        <v>46023</v>
      </c>
      <c r="E524">
        <v>1</v>
      </c>
      <c r="F524">
        <v>0.97499999999999998</v>
      </c>
      <c r="G524" t="s">
        <v>373</v>
      </c>
      <c r="H524" t="s">
        <v>373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19848</v>
      </c>
      <c r="R524">
        <v>39696</v>
      </c>
      <c r="T524">
        <v>39696</v>
      </c>
      <c r="U524">
        <v>0</v>
      </c>
      <c r="V524">
        <v>0</v>
      </c>
      <c r="W524" t="s">
        <v>373</v>
      </c>
      <c r="X524" t="s">
        <v>373</v>
      </c>
      <c r="Y524">
        <v>514.54999999999995</v>
      </c>
      <c r="Z524">
        <v>514.03</v>
      </c>
      <c r="AB524">
        <v>1</v>
      </c>
      <c r="AC524">
        <v>112.08</v>
      </c>
      <c r="AD524">
        <v>118.42</v>
      </c>
      <c r="AF524">
        <v>1</v>
      </c>
      <c r="AG524">
        <v>200.51</v>
      </c>
      <c r="AH524">
        <v>215.93</v>
      </c>
      <c r="AJ524">
        <v>1</v>
      </c>
      <c r="AN524" t="s">
        <v>373</v>
      </c>
      <c r="AO524">
        <v>80.03</v>
      </c>
      <c r="AP524">
        <v>87.05</v>
      </c>
      <c r="AR524">
        <v>1</v>
      </c>
      <c r="AS524" t="s">
        <v>290</v>
      </c>
      <c r="AT524" t="str">
        <f t="shared" si="8"/>
        <v>Waunakee - 571VI</v>
      </c>
    </row>
    <row r="525" spans="1:46" x14ac:dyDescent="0.25">
      <c r="A525" t="s">
        <v>316</v>
      </c>
      <c r="B525" t="s">
        <v>252</v>
      </c>
      <c r="C525" t="s">
        <v>243</v>
      </c>
      <c r="D525">
        <v>46054</v>
      </c>
      <c r="E525">
        <v>0.94599999999999995</v>
      </c>
      <c r="F525">
        <v>0.97499999999999998</v>
      </c>
      <c r="G525" t="s">
        <v>373</v>
      </c>
      <c r="H525" t="s">
        <v>373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19848</v>
      </c>
      <c r="R525">
        <v>39696</v>
      </c>
      <c r="T525">
        <v>39696</v>
      </c>
      <c r="U525">
        <v>0</v>
      </c>
      <c r="V525">
        <v>0</v>
      </c>
      <c r="W525" t="s">
        <v>373</v>
      </c>
      <c r="X525" t="s">
        <v>373</v>
      </c>
      <c r="Y525">
        <v>513.51</v>
      </c>
      <c r="Z525">
        <v>514.03</v>
      </c>
      <c r="AB525">
        <v>1</v>
      </c>
      <c r="AC525">
        <v>124.77</v>
      </c>
      <c r="AD525">
        <v>118.42</v>
      </c>
      <c r="AF525">
        <v>1</v>
      </c>
      <c r="AG525">
        <v>231.35</v>
      </c>
      <c r="AH525">
        <v>215.93</v>
      </c>
      <c r="AJ525">
        <v>1</v>
      </c>
      <c r="AN525" t="s">
        <v>373</v>
      </c>
      <c r="AO525">
        <v>94.07</v>
      </c>
      <c r="AP525">
        <v>87.05</v>
      </c>
      <c r="AR525">
        <v>1</v>
      </c>
      <c r="AS525" t="s">
        <v>290</v>
      </c>
      <c r="AT525" t="str">
        <f t="shared" si="8"/>
        <v>Waunakee - 571VI</v>
      </c>
    </row>
    <row r="526" spans="1:46" x14ac:dyDescent="0.25">
      <c r="A526" t="s">
        <v>316</v>
      </c>
      <c r="B526" t="s">
        <v>76</v>
      </c>
      <c r="C526" t="s">
        <v>77</v>
      </c>
      <c r="D526">
        <v>46023</v>
      </c>
      <c r="E526">
        <v>0.98899999999999999</v>
      </c>
      <c r="F526">
        <v>0.98299999999999998</v>
      </c>
      <c r="G526" t="s">
        <v>373</v>
      </c>
      <c r="H526" t="s">
        <v>373</v>
      </c>
      <c r="I526">
        <v>0</v>
      </c>
      <c r="J526">
        <v>0</v>
      </c>
      <c r="K526">
        <v>0</v>
      </c>
      <c r="L526">
        <v>0</v>
      </c>
      <c r="M526">
        <v>2174</v>
      </c>
      <c r="N526">
        <v>4501</v>
      </c>
      <c r="P526">
        <v>4501</v>
      </c>
      <c r="Q526">
        <v>131347</v>
      </c>
      <c r="R526">
        <v>260668</v>
      </c>
      <c r="T526">
        <v>260668</v>
      </c>
      <c r="U526">
        <v>1.7000000000000001E-2</v>
      </c>
      <c r="V526">
        <v>1.7000000000000001E-2</v>
      </c>
      <c r="W526" t="s">
        <v>373</v>
      </c>
      <c r="X526" t="s">
        <v>373</v>
      </c>
      <c r="Y526">
        <v>442.97</v>
      </c>
      <c r="Z526">
        <v>443.64</v>
      </c>
      <c r="AB526">
        <v>1</v>
      </c>
      <c r="AC526">
        <v>215.72</v>
      </c>
      <c r="AD526">
        <v>223.33</v>
      </c>
      <c r="AF526">
        <v>1</v>
      </c>
      <c r="AG526">
        <v>252.01</v>
      </c>
      <c r="AH526">
        <v>263.27</v>
      </c>
      <c r="AJ526">
        <v>1</v>
      </c>
      <c r="AN526" t="s">
        <v>373</v>
      </c>
      <c r="AO526">
        <v>101.98</v>
      </c>
      <c r="AP526">
        <v>107.31</v>
      </c>
      <c r="AR526">
        <v>1</v>
      </c>
      <c r="AS526" t="s">
        <v>290</v>
      </c>
      <c r="AT526" t="str">
        <f t="shared" si="8"/>
        <v>Corydon - 2180VI</v>
      </c>
    </row>
    <row r="527" spans="1:46" x14ac:dyDescent="0.25">
      <c r="A527" t="s">
        <v>316</v>
      </c>
      <c r="B527" t="s">
        <v>76</v>
      </c>
      <c r="C527" t="s">
        <v>77</v>
      </c>
      <c r="D527">
        <v>46054</v>
      </c>
      <c r="E527">
        <v>0.97599999999999998</v>
      </c>
      <c r="F527">
        <v>0.98299999999999998</v>
      </c>
      <c r="G527" t="s">
        <v>373</v>
      </c>
      <c r="H527" t="s">
        <v>373</v>
      </c>
      <c r="I527">
        <v>0</v>
      </c>
      <c r="J527">
        <v>0</v>
      </c>
      <c r="K527">
        <v>0</v>
      </c>
      <c r="L527">
        <v>0</v>
      </c>
      <c r="M527">
        <v>2328</v>
      </c>
      <c r="N527">
        <v>4501</v>
      </c>
      <c r="P527">
        <v>4501</v>
      </c>
      <c r="Q527">
        <v>129321</v>
      </c>
      <c r="R527">
        <v>260668</v>
      </c>
      <c r="T527">
        <v>260668</v>
      </c>
      <c r="U527">
        <v>1.7999999999999999E-2</v>
      </c>
      <c r="V527">
        <v>1.7000000000000001E-2</v>
      </c>
      <c r="W527" t="s">
        <v>373</v>
      </c>
      <c r="X527" t="s">
        <v>373</v>
      </c>
      <c r="Y527">
        <v>444.31</v>
      </c>
      <c r="Z527">
        <v>443.64</v>
      </c>
      <c r="AB527">
        <v>1</v>
      </c>
      <c r="AC527">
        <v>230.94</v>
      </c>
      <c r="AD527">
        <v>223.33</v>
      </c>
      <c r="AF527">
        <v>1</v>
      </c>
      <c r="AG527">
        <v>274.52999999999997</v>
      </c>
      <c r="AH527">
        <v>263.27</v>
      </c>
      <c r="AJ527">
        <v>1</v>
      </c>
      <c r="AN527" t="s">
        <v>373</v>
      </c>
      <c r="AO527">
        <v>112.65</v>
      </c>
      <c r="AP527">
        <v>107.31</v>
      </c>
      <c r="AR527">
        <v>1</v>
      </c>
      <c r="AS527" t="s">
        <v>290</v>
      </c>
      <c r="AT527" t="str">
        <f t="shared" si="8"/>
        <v>Corydon - 2180VI</v>
      </c>
    </row>
    <row r="528" spans="1:46" x14ac:dyDescent="0.25">
      <c r="A528" t="s">
        <v>316</v>
      </c>
      <c r="B528" t="s">
        <v>76</v>
      </c>
      <c r="C528" t="s">
        <v>168</v>
      </c>
      <c r="D528">
        <v>46023</v>
      </c>
      <c r="E528">
        <v>0.97099999999999997</v>
      </c>
      <c r="F528">
        <v>0.97099999999999997</v>
      </c>
      <c r="G528" t="s">
        <v>373</v>
      </c>
      <c r="H528" t="s">
        <v>373</v>
      </c>
      <c r="I528">
        <v>0</v>
      </c>
      <c r="J528">
        <v>0</v>
      </c>
      <c r="K528">
        <v>0</v>
      </c>
      <c r="L528">
        <v>0</v>
      </c>
      <c r="M528">
        <v>1000</v>
      </c>
      <c r="N528">
        <v>2000</v>
      </c>
      <c r="P528">
        <v>2000</v>
      </c>
      <c r="Q528">
        <v>122087</v>
      </c>
      <c r="R528">
        <v>244174</v>
      </c>
      <c r="T528">
        <v>244174</v>
      </c>
      <c r="U528">
        <v>8.0000000000000002E-3</v>
      </c>
      <c r="V528">
        <v>8.0000000000000002E-3</v>
      </c>
      <c r="W528" t="s">
        <v>373</v>
      </c>
      <c r="X528" t="s">
        <v>373</v>
      </c>
      <c r="Y528">
        <v>491.64</v>
      </c>
      <c r="Z528">
        <v>492.22</v>
      </c>
      <c r="AB528">
        <v>1</v>
      </c>
      <c r="AC528">
        <v>203.31</v>
      </c>
      <c r="AD528">
        <v>215.9</v>
      </c>
      <c r="AF528">
        <v>1</v>
      </c>
      <c r="AG528">
        <v>257.81</v>
      </c>
      <c r="AH528">
        <v>271.64</v>
      </c>
      <c r="AJ528">
        <v>1</v>
      </c>
      <c r="AN528" t="s">
        <v>373</v>
      </c>
      <c r="AO528">
        <v>119.34</v>
      </c>
      <c r="AP528">
        <v>125.74</v>
      </c>
      <c r="AR528">
        <v>1</v>
      </c>
      <c r="AS528" t="s">
        <v>290</v>
      </c>
      <c r="AT528" t="str">
        <f t="shared" si="8"/>
        <v>Louisville FS - 2154VI</v>
      </c>
    </row>
    <row r="529" spans="1:46" x14ac:dyDescent="0.25">
      <c r="A529" t="s">
        <v>316</v>
      </c>
      <c r="B529" t="s">
        <v>76</v>
      </c>
      <c r="C529" t="s">
        <v>168</v>
      </c>
      <c r="D529">
        <v>46054</v>
      </c>
      <c r="E529">
        <v>0.97099999999999997</v>
      </c>
      <c r="F529">
        <v>0.97099999999999997</v>
      </c>
      <c r="G529" t="s">
        <v>373</v>
      </c>
      <c r="H529" t="s">
        <v>373</v>
      </c>
      <c r="I529">
        <v>0</v>
      </c>
      <c r="J529">
        <v>0</v>
      </c>
      <c r="K529">
        <v>0</v>
      </c>
      <c r="L529">
        <v>0</v>
      </c>
      <c r="M529">
        <v>1000</v>
      </c>
      <c r="N529">
        <v>2000</v>
      </c>
      <c r="P529">
        <v>2000</v>
      </c>
      <c r="Q529">
        <v>122087</v>
      </c>
      <c r="R529">
        <v>244174</v>
      </c>
      <c r="T529">
        <v>244174</v>
      </c>
      <c r="U529">
        <v>8.0000000000000002E-3</v>
      </c>
      <c r="V529">
        <v>8.0000000000000002E-3</v>
      </c>
      <c r="W529" t="s">
        <v>373</v>
      </c>
      <c r="X529" t="s">
        <v>373</v>
      </c>
      <c r="Y529">
        <v>492.8</v>
      </c>
      <c r="Z529">
        <v>492.22</v>
      </c>
      <c r="AB529">
        <v>1</v>
      </c>
      <c r="AC529">
        <v>228.49</v>
      </c>
      <c r="AD529">
        <v>215.9</v>
      </c>
      <c r="AF529">
        <v>1</v>
      </c>
      <c r="AG529">
        <v>285.48</v>
      </c>
      <c r="AH529">
        <v>271.64</v>
      </c>
      <c r="AJ529">
        <v>1</v>
      </c>
      <c r="AN529" t="s">
        <v>373</v>
      </c>
      <c r="AO529">
        <v>132.13</v>
      </c>
      <c r="AP529">
        <v>125.74</v>
      </c>
      <c r="AR529">
        <v>1</v>
      </c>
      <c r="AS529" t="s">
        <v>290</v>
      </c>
      <c r="AT529" t="str">
        <f t="shared" si="8"/>
        <v>Louisville FS - 2154VI</v>
      </c>
    </row>
    <row r="530" spans="1:46" x14ac:dyDescent="0.25">
      <c r="A530" t="s">
        <v>316</v>
      </c>
      <c r="B530" t="s">
        <v>76</v>
      </c>
      <c r="C530" t="s">
        <v>176</v>
      </c>
      <c r="D530">
        <v>46023</v>
      </c>
      <c r="E530">
        <v>0.99299999999999999</v>
      </c>
      <c r="F530">
        <v>0.99399999999999999</v>
      </c>
      <c r="G530" t="s">
        <v>373</v>
      </c>
      <c r="H530" t="s">
        <v>373</v>
      </c>
      <c r="I530">
        <v>0</v>
      </c>
      <c r="J530">
        <v>0</v>
      </c>
      <c r="K530">
        <v>0</v>
      </c>
      <c r="L530">
        <v>0</v>
      </c>
      <c r="M530">
        <v>950</v>
      </c>
      <c r="N530">
        <v>1900</v>
      </c>
      <c r="P530">
        <v>1900</v>
      </c>
      <c r="Q530">
        <v>131665</v>
      </c>
      <c r="R530">
        <v>267868</v>
      </c>
      <c r="T530">
        <v>267868</v>
      </c>
      <c r="U530">
        <v>7.0000000000000001E-3</v>
      </c>
      <c r="V530">
        <v>7.0000000000000001E-3</v>
      </c>
      <c r="W530" t="s">
        <v>373</v>
      </c>
      <c r="X530" t="s">
        <v>373</v>
      </c>
      <c r="Y530">
        <v>562.89</v>
      </c>
      <c r="Z530">
        <v>543.65</v>
      </c>
      <c r="AB530">
        <v>1</v>
      </c>
      <c r="AC530">
        <v>174.57</v>
      </c>
      <c r="AD530">
        <v>182.99</v>
      </c>
      <c r="AF530">
        <v>1</v>
      </c>
      <c r="AG530">
        <v>247.03</v>
      </c>
      <c r="AH530">
        <v>261.02</v>
      </c>
      <c r="AJ530">
        <v>1</v>
      </c>
      <c r="AK530">
        <v>102.94</v>
      </c>
      <c r="AL530">
        <v>102.97</v>
      </c>
      <c r="AN530">
        <v>1</v>
      </c>
      <c r="AO530">
        <v>75.069999999999993</v>
      </c>
      <c r="AP530">
        <v>79.67</v>
      </c>
      <c r="AR530">
        <v>1</v>
      </c>
      <c r="AS530" t="s">
        <v>290</v>
      </c>
      <c r="AT530" t="str">
        <f t="shared" si="8"/>
        <v>Louisville WS - 190VI</v>
      </c>
    </row>
    <row r="531" spans="1:46" x14ac:dyDescent="0.25">
      <c r="A531" t="s">
        <v>316</v>
      </c>
      <c r="B531" t="s">
        <v>76</v>
      </c>
      <c r="C531" t="s">
        <v>176</v>
      </c>
      <c r="D531">
        <v>46054</v>
      </c>
      <c r="E531">
        <v>0.995</v>
      </c>
      <c r="F531">
        <v>0.99399999999999999</v>
      </c>
      <c r="G531" t="s">
        <v>373</v>
      </c>
      <c r="H531" t="s">
        <v>373</v>
      </c>
      <c r="I531">
        <v>0</v>
      </c>
      <c r="J531">
        <v>0</v>
      </c>
      <c r="K531">
        <v>0</v>
      </c>
      <c r="L531">
        <v>0</v>
      </c>
      <c r="M531">
        <v>950</v>
      </c>
      <c r="N531">
        <v>1900</v>
      </c>
      <c r="P531">
        <v>1900</v>
      </c>
      <c r="Q531">
        <v>136202</v>
      </c>
      <c r="R531">
        <v>267868</v>
      </c>
      <c r="T531">
        <v>267868</v>
      </c>
      <c r="U531">
        <v>7.0000000000000001E-3</v>
      </c>
      <c r="V531">
        <v>7.0000000000000001E-3</v>
      </c>
      <c r="W531" t="s">
        <v>373</v>
      </c>
      <c r="X531" t="s">
        <v>373</v>
      </c>
      <c r="Y531">
        <v>524.41</v>
      </c>
      <c r="Z531">
        <v>543.65</v>
      </c>
      <c r="AB531">
        <v>1</v>
      </c>
      <c r="AC531">
        <v>191.41</v>
      </c>
      <c r="AD531">
        <v>182.99</v>
      </c>
      <c r="AF531">
        <v>1</v>
      </c>
      <c r="AG531">
        <v>275.02</v>
      </c>
      <c r="AH531">
        <v>261.02</v>
      </c>
      <c r="AJ531">
        <v>1</v>
      </c>
      <c r="AK531">
        <v>102.99</v>
      </c>
      <c r="AL531">
        <v>102.97</v>
      </c>
      <c r="AN531">
        <v>1</v>
      </c>
      <c r="AO531">
        <v>84.28</v>
      </c>
      <c r="AP531">
        <v>79.67</v>
      </c>
      <c r="AR531">
        <v>1</v>
      </c>
      <c r="AS531" t="s">
        <v>290</v>
      </c>
      <c r="AT531" t="str">
        <f t="shared" si="8"/>
        <v>Louisville WS - 190VI</v>
      </c>
    </row>
    <row r="532" spans="1:46" x14ac:dyDescent="0.25">
      <c r="A532" t="s">
        <v>316</v>
      </c>
      <c r="B532" t="s">
        <v>76</v>
      </c>
      <c r="C532" t="s">
        <v>195</v>
      </c>
      <c r="D532">
        <v>46023</v>
      </c>
      <c r="E532">
        <v>0.86699999999999999</v>
      </c>
      <c r="F532">
        <v>0.86699999999999999</v>
      </c>
      <c r="G532" t="s">
        <v>373</v>
      </c>
      <c r="H532" t="s">
        <v>373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50688</v>
      </c>
      <c r="R532">
        <v>101248</v>
      </c>
      <c r="T532">
        <v>101248</v>
      </c>
      <c r="U532">
        <v>0</v>
      </c>
      <c r="V532">
        <v>0</v>
      </c>
      <c r="W532" t="s">
        <v>373</v>
      </c>
      <c r="X532" t="s">
        <v>373</v>
      </c>
      <c r="AB532" t="s">
        <v>373</v>
      </c>
      <c r="AC532">
        <v>184.28</v>
      </c>
      <c r="AD532">
        <v>195.42</v>
      </c>
      <c r="AF532">
        <v>1</v>
      </c>
      <c r="AG532">
        <v>246.79</v>
      </c>
      <c r="AH532">
        <v>255.65</v>
      </c>
      <c r="AJ532">
        <v>1</v>
      </c>
      <c r="AN532" t="s">
        <v>373</v>
      </c>
      <c r="AO532">
        <v>117.88</v>
      </c>
      <c r="AP532">
        <v>124.09</v>
      </c>
      <c r="AR532">
        <v>1</v>
      </c>
      <c r="AS532" t="s">
        <v>290</v>
      </c>
      <c r="AT532" t="str">
        <f t="shared" si="8"/>
        <v>New Albany RC - 236VI</v>
      </c>
    </row>
    <row r="533" spans="1:46" x14ac:dyDescent="0.25">
      <c r="A533" t="s">
        <v>316</v>
      </c>
      <c r="B533" t="s">
        <v>76</v>
      </c>
      <c r="C533" t="s">
        <v>195</v>
      </c>
      <c r="D533">
        <v>46054</v>
      </c>
      <c r="E533">
        <v>0.86599999999999999</v>
      </c>
      <c r="F533">
        <v>0.86699999999999999</v>
      </c>
      <c r="G533" t="s">
        <v>373</v>
      </c>
      <c r="H533" t="s">
        <v>373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50560</v>
      </c>
      <c r="R533">
        <v>101248</v>
      </c>
      <c r="T533">
        <v>101248</v>
      </c>
      <c r="U533">
        <v>0</v>
      </c>
      <c r="V533">
        <v>0</v>
      </c>
      <c r="W533" t="s">
        <v>373</v>
      </c>
      <c r="X533" t="s">
        <v>373</v>
      </c>
      <c r="AB533" t="s">
        <v>373</v>
      </c>
      <c r="AC533">
        <v>206.57</v>
      </c>
      <c r="AD533">
        <v>195.42</v>
      </c>
      <c r="AF533">
        <v>1</v>
      </c>
      <c r="AG533">
        <v>264.51</v>
      </c>
      <c r="AH533">
        <v>255.65</v>
      </c>
      <c r="AJ533">
        <v>1</v>
      </c>
      <c r="AN533" t="s">
        <v>373</v>
      </c>
      <c r="AO533">
        <v>130.31</v>
      </c>
      <c r="AP533">
        <v>124.09</v>
      </c>
      <c r="AR533">
        <v>1</v>
      </c>
      <c r="AS533" t="s">
        <v>290</v>
      </c>
      <c r="AT533" t="str">
        <f t="shared" si="8"/>
        <v>New Albany RC - 236VI</v>
      </c>
    </row>
    <row r="534" spans="1:46" x14ac:dyDescent="0.25">
      <c r="A534" t="s">
        <v>316</v>
      </c>
      <c r="B534" t="s">
        <v>76</v>
      </c>
      <c r="C534" t="s">
        <v>197</v>
      </c>
      <c r="D534">
        <v>46023</v>
      </c>
      <c r="E534">
        <v>0.85799999999999998</v>
      </c>
      <c r="F534">
        <v>0.85399999999999998</v>
      </c>
      <c r="G534" t="s">
        <v>373</v>
      </c>
      <c r="H534" t="s">
        <v>373</v>
      </c>
      <c r="I534">
        <v>0</v>
      </c>
      <c r="J534">
        <v>0</v>
      </c>
      <c r="K534">
        <v>0</v>
      </c>
      <c r="L534">
        <v>0</v>
      </c>
      <c r="M534">
        <v>512</v>
      </c>
      <c r="N534">
        <v>1782</v>
      </c>
      <c r="P534">
        <v>1782</v>
      </c>
      <c r="Q534">
        <v>111766</v>
      </c>
      <c r="R534">
        <v>221561</v>
      </c>
      <c r="T534">
        <v>221561</v>
      </c>
      <c r="U534">
        <v>5.0000000000000001E-3</v>
      </c>
      <c r="V534">
        <v>8.0000000000000002E-3</v>
      </c>
      <c r="W534" t="s">
        <v>373</v>
      </c>
      <c r="X534" t="s">
        <v>373</v>
      </c>
      <c r="Y534">
        <v>456.94</v>
      </c>
      <c r="Z534">
        <v>460.28</v>
      </c>
      <c r="AB534">
        <v>1</v>
      </c>
      <c r="AC534">
        <v>203.62</v>
      </c>
      <c r="AD534">
        <v>214.3</v>
      </c>
      <c r="AF534">
        <v>1</v>
      </c>
      <c r="AJ534" t="s">
        <v>373</v>
      </c>
      <c r="AN534" t="s">
        <v>373</v>
      </c>
      <c r="AO534">
        <v>104.94</v>
      </c>
      <c r="AP534">
        <v>110.14</v>
      </c>
      <c r="AR534">
        <v>1</v>
      </c>
      <c r="AS534" t="s">
        <v>290</v>
      </c>
      <c r="AT534" t="str">
        <f t="shared" si="8"/>
        <v>New Albany SC - 5151VI</v>
      </c>
    </row>
    <row r="535" spans="1:46" x14ac:dyDescent="0.25">
      <c r="A535" t="s">
        <v>316</v>
      </c>
      <c r="B535" t="s">
        <v>76</v>
      </c>
      <c r="C535" t="s">
        <v>197</v>
      </c>
      <c r="D535">
        <v>46054</v>
      </c>
      <c r="E535">
        <v>0.85</v>
      </c>
      <c r="F535">
        <v>0.85399999999999998</v>
      </c>
      <c r="G535" t="s">
        <v>373</v>
      </c>
      <c r="H535" t="s">
        <v>373</v>
      </c>
      <c r="I535">
        <v>0</v>
      </c>
      <c r="J535">
        <v>0</v>
      </c>
      <c r="K535">
        <v>0</v>
      </c>
      <c r="L535">
        <v>0</v>
      </c>
      <c r="M535">
        <v>1270</v>
      </c>
      <c r="N535">
        <v>1782</v>
      </c>
      <c r="P535">
        <v>1782</v>
      </c>
      <c r="Q535">
        <v>109795</v>
      </c>
      <c r="R535">
        <v>221561</v>
      </c>
      <c r="T535">
        <v>221561</v>
      </c>
      <c r="U535">
        <v>1.2E-2</v>
      </c>
      <c r="V535">
        <v>8.0000000000000002E-3</v>
      </c>
      <c r="W535" t="s">
        <v>373</v>
      </c>
      <c r="X535" t="s">
        <v>373</v>
      </c>
      <c r="Y535">
        <v>463.62</v>
      </c>
      <c r="Z535">
        <v>460.28</v>
      </c>
      <c r="AB535">
        <v>1</v>
      </c>
      <c r="AC535">
        <v>224.98</v>
      </c>
      <c r="AD535">
        <v>214.3</v>
      </c>
      <c r="AF535">
        <v>1</v>
      </c>
      <c r="AJ535" t="s">
        <v>373</v>
      </c>
      <c r="AN535" t="s">
        <v>373</v>
      </c>
      <c r="AO535">
        <v>115.33</v>
      </c>
      <c r="AP535">
        <v>110.14</v>
      </c>
      <c r="AR535">
        <v>1</v>
      </c>
      <c r="AS535" t="s">
        <v>290</v>
      </c>
      <c r="AT535" t="str">
        <f t="shared" si="8"/>
        <v>New Albany SC - 5151VI</v>
      </c>
    </row>
    <row r="536" spans="1:46" x14ac:dyDescent="0.25">
      <c r="A536" t="s">
        <v>316</v>
      </c>
      <c r="B536" t="s">
        <v>72</v>
      </c>
      <c r="C536" t="s">
        <v>73</v>
      </c>
      <c r="D536">
        <v>46023</v>
      </c>
      <c r="E536">
        <v>0.85799999999999998</v>
      </c>
      <c r="F536">
        <v>0.86</v>
      </c>
      <c r="G536" t="s">
        <v>373</v>
      </c>
      <c r="H536" t="s">
        <v>373</v>
      </c>
      <c r="I536">
        <v>0</v>
      </c>
      <c r="J536">
        <v>0.33300000000000002</v>
      </c>
      <c r="K536">
        <v>0</v>
      </c>
      <c r="L536">
        <v>0.33300000000000002</v>
      </c>
      <c r="M536">
        <v>4479</v>
      </c>
      <c r="N536">
        <v>4716</v>
      </c>
      <c r="P536">
        <v>4716</v>
      </c>
      <c r="Q536">
        <v>118614</v>
      </c>
      <c r="R536">
        <v>238964</v>
      </c>
      <c r="T536">
        <v>238964</v>
      </c>
      <c r="U536">
        <v>3.7999999999999999E-2</v>
      </c>
      <c r="V536">
        <v>0.02</v>
      </c>
      <c r="W536" t="s">
        <v>373</v>
      </c>
      <c r="X536" t="s">
        <v>373</v>
      </c>
      <c r="Y536">
        <v>524.03</v>
      </c>
      <c r="Z536">
        <v>523.47</v>
      </c>
      <c r="AB536">
        <v>1</v>
      </c>
      <c r="AC536">
        <v>248.21</v>
      </c>
      <c r="AD536">
        <v>257.83</v>
      </c>
      <c r="AF536">
        <v>1</v>
      </c>
      <c r="AG536">
        <v>249.68</v>
      </c>
      <c r="AH536">
        <v>263.52</v>
      </c>
      <c r="AJ536">
        <v>1</v>
      </c>
      <c r="AN536" t="s">
        <v>373</v>
      </c>
      <c r="AO536">
        <v>131.21</v>
      </c>
      <c r="AP536">
        <v>138.9</v>
      </c>
      <c r="AR536">
        <v>1</v>
      </c>
      <c r="AS536" t="s">
        <v>290</v>
      </c>
      <c r="AT536" t="str">
        <f t="shared" si="8"/>
        <v>Commerce - 503VI</v>
      </c>
    </row>
    <row r="537" spans="1:46" x14ac:dyDescent="0.25">
      <c r="A537" t="s">
        <v>316</v>
      </c>
      <c r="B537" t="s">
        <v>72</v>
      </c>
      <c r="C537" t="s">
        <v>73</v>
      </c>
      <c r="D537">
        <v>46054</v>
      </c>
      <c r="E537">
        <v>0.86199999999999999</v>
      </c>
      <c r="F537">
        <v>0.86</v>
      </c>
      <c r="G537" t="s">
        <v>373</v>
      </c>
      <c r="H537" t="s">
        <v>373</v>
      </c>
      <c r="I537">
        <v>1</v>
      </c>
      <c r="J537">
        <v>0.33300000000000002</v>
      </c>
      <c r="K537">
        <v>0</v>
      </c>
      <c r="L537">
        <v>0.33300000000000002</v>
      </c>
      <c r="M537">
        <v>237</v>
      </c>
      <c r="N537">
        <v>4716</v>
      </c>
      <c r="P537">
        <v>4716</v>
      </c>
      <c r="Q537">
        <v>120350</v>
      </c>
      <c r="R537">
        <v>238964</v>
      </c>
      <c r="T537">
        <v>238964</v>
      </c>
      <c r="U537">
        <v>2E-3</v>
      </c>
      <c r="V537">
        <v>0.02</v>
      </c>
      <c r="W537" t="s">
        <v>373</v>
      </c>
      <c r="X537" t="s">
        <v>373</v>
      </c>
      <c r="Y537">
        <v>522.91</v>
      </c>
      <c r="Z537">
        <v>523.47</v>
      </c>
      <c r="AB537">
        <v>1</v>
      </c>
      <c r="AC537">
        <v>267.45</v>
      </c>
      <c r="AD537">
        <v>257.83</v>
      </c>
      <c r="AF537">
        <v>1</v>
      </c>
      <c r="AG537">
        <v>277.36</v>
      </c>
      <c r="AH537">
        <v>263.52</v>
      </c>
      <c r="AJ537">
        <v>1</v>
      </c>
      <c r="AN537" t="s">
        <v>373</v>
      </c>
      <c r="AO537">
        <v>146.59</v>
      </c>
      <c r="AP537">
        <v>138.9</v>
      </c>
      <c r="AR537">
        <v>1</v>
      </c>
      <c r="AS537" t="s">
        <v>290</v>
      </c>
      <c r="AT537" t="str">
        <f t="shared" si="8"/>
        <v>Commerce - 503VI</v>
      </c>
    </row>
    <row r="538" spans="1:46" x14ac:dyDescent="0.25">
      <c r="A538" t="s">
        <v>316</v>
      </c>
      <c r="B538" t="s">
        <v>253</v>
      </c>
      <c r="C538" t="s">
        <v>9</v>
      </c>
      <c r="D538">
        <v>46023</v>
      </c>
      <c r="E538">
        <v>0.875</v>
      </c>
      <c r="F538">
        <v>0.876</v>
      </c>
      <c r="G538" t="s">
        <v>373</v>
      </c>
      <c r="H538" t="s">
        <v>373</v>
      </c>
      <c r="I538">
        <v>0</v>
      </c>
      <c r="J538">
        <v>0</v>
      </c>
      <c r="K538">
        <v>0</v>
      </c>
      <c r="L538">
        <v>0</v>
      </c>
      <c r="M538">
        <v>1500</v>
      </c>
      <c r="N538">
        <v>1500</v>
      </c>
      <c r="P538">
        <v>1500</v>
      </c>
      <c r="Q538">
        <v>66943</v>
      </c>
      <c r="R538">
        <v>130359</v>
      </c>
      <c r="T538">
        <v>130359</v>
      </c>
      <c r="U538">
        <v>2.1999999999999999E-2</v>
      </c>
      <c r="V538">
        <v>1.2E-2</v>
      </c>
      <c r="W538" t="s">
        <v>373</v>
      </c>
      <c r="X538" t="s">
        <v>373</v>
      </c>
      <c r="Y538">
        <v>401.95</v>
      </c>
      <c r="Z538">
        <v>396.48</v>
      </c>
      <c r="AB538">
        <v>1</v>
      </c>
      <c r="AC538">
        <v>173.98</v>
      </c>
      <c r="AD538">
        <v>181.68</v>
      </c>
      <c r="AF538">
        <v>1</v>
      </c>
      <c r="AG538">
        <v>220.11</v>
      </c>
      <c r="AH538">
        <v>230.56</v>
      </c>
      <c r="AJ538">
        <v>1</v>
      </c>
      <c r="AN538" t="s">
        <v>373</v>
      </c>
      <c r="AO538">
        <v>94.95</v>
      </c>
      <c r="AP538">
        <v>101.31</v>
      </c>
      <c r="AR538">
        <v>1</v>
      </c>
      <c r="AS538" t="s">
        <v>290</v>
      </c>
      <c r="AT538" t="str">
        <f t="shared" si="8"/>
        <v>Anderson - 112VI</v>
      </c>
    </row>
    <row r="539" spans="1:46" x14ac:dyDescent="0.25">
      <c r="A539" t="s">
        <v>316</v>
      </c>
      <c r="B539" t="s">
        <v>253</v>
      </c>
      <c r="C539" t="s">
        <v>9</v>
      </c>
      <c r="D539">
        <v>46054</v>
      </c>
      <c r="E539">
        <v>0.876</v>
      </c>
      <c r="F539">
        <v>0.876</v>
      </c>
      <c r="G539" t="s">
        <v>373</v>
      </c>
      <c r="H539" t="s">
        <v>373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1500</v>
      </c>
      <c r="P539">
        <v>1500</v>
      </c>
      <c r="Q539">
        <v>63416</v>
      </c>
      <c r="R539">
        <v>130359</v>
      </c>
      <c r="T539">
        <v>130359</v>
      </c>
      <c r="U539">
        <v>0</v>
      </c>
      <c r="V539">
        <v>1.2E-2</v>
      </c>
      <c r="W539" t="s">
        <v>373</v>
      </c>
      <c r="X539" t="s">
        <v>373</v>
      </c>
      <c r="Y539">
        <v>391.02</v>
      </c>
      <c r="Z539">
        <v>396.48</v>
      </c>
      <c r="AB539">
        <v>1</v>
      </c>
      <c r="AC539">
        <v>189.38</v>
      </c>
      <c r="AD539">
        <v>181.68</v>
      </c>
      <c r="AF539">
        <v>1</v>
      </c>
      <c r="AG539">
        <v>241.01</v>
      </c>
      <c r="AH539">
        <v>230.56</v>
      </c>
      <c r="AJ539">
        <v>1</v>
      </c>
      <c r="AN539" t="s">
        <v>373</v>
      </c>
      <c r="AO539">
        <v>107.67</v>
      </c>
      <c r="AP539">
        <v>101.31</v>
      </c>
      <c r="AR539">
        <v>1</v>
      </c>
      <c r="AS539" t="s">
        <v>290</v>
      </c>
      <c r="AT539" t="str">
        <f t="shared" si="8"/>
        <v>Anderson - 112VI</v>
      </c>
    </row>
    <row r="540" spans="1:46" x14ac:dyDescent="0.25">
      <c r="A540" t="s">
        <v>316</v>
      </c>
      <c r="B540" t="s">
        <v>253</v>
      </c>
      <c r="C540" t="s">
        <v>139</v>
      </c>
      <c r="D540">
        <v>46023</v>
      </c>
      <c r="E540">
        <v>0.70599999999999996</v>
      </c>
      <c r="F540">
        <v>0.72299999999999998</v>
      </c>
      <c r="G540" t="s">
        <v>373</v>
      </c>
      <c r="H540" t="s">
        <v>373</v>
      </c>
      <c r="I540">
        <v>0</v>
      </c>
      <c r="J540">
        <v>0</v>
      </c>
      <c r="K540">
        <v>0</v>
      </c>
      <c r="L540">
        <v>0</v>
      </c>
      <c r="M540">
        <v>5409</v>
      </c>
      <c r="N540">
        <v>9350</v>
      </c>
      <c r="P540">
        <v>9350</v>
      </c>
      <c r="Q540">
        <v>94598</v>
      </c>
      <c r="R540">
        <v>195250</v>
      </c>
      <c r="T540">
        <v>195250</v>
      </c>
      <c r="U540">
        <v>5.7000000000000002E-2</v>
      </c>
      <c r="V540">
        <v>4.8000000000000001E-2</v>
      </c>
      <c r="W540" t="s">
        <v>373</v>
      </c>
      <c r="X540" t="s">
        <v>373</v>
      </c>
      <c r="Y540">
        <v>356.61</v>
      </c>
      <c r="Z540">
        <v>345.6</v>
      </c>
      <c r="AB540">
        <v>1</v>
      </c>
      <c r="AC540">
        <v>164.61</v>
      </c>
      <c r="AD540">
        <v>172.97</v>
      </c>
      <c r="AF540">
        <v>1</v>
      </c>
      <c r="AG540">
        <v>240.5</v>
      </c>
      <c r="AH540">
        <v>253.03</v>
      </c>
      <c r="AJ540">
        <v>1</v>
      </c>
      <c r="AN540" t="s">
        <v>373</v>
      </c>
      <c r="AO540">
        <v>98.23</v>
      </c>
      <c r="AP540">
        <v>104.18</v>
      </c>
      <c r="AR540">
        <v>1</v>
      </c>
      <c r="AS540" t="s">
        <v>290</v>
      </c>
      <c r="AT540" t="str">
        <f t="shared" si="8"/>
        <v>Kokomo WP - 106VI</v>
      </c>
    </row>
    <row r="541" spans="1:46" x14ac:dyDescent="0.25">
      <c r="A541" t="s">
        <v>316</v>
      </c>
      <c r="B541" t="s">
        <v>253</v>
      </c>
      <c r="C541" t="s">
        <v>139</v>
      </c>
      <c r="D541">
        <v>46054</v>
      </c>
      <c r="E541">
        <v>0.74299999999999999</v>
      </c>
      <c r="F541">
        <v>0.72299999999999998</v>
      </c>
      <c r="G541" t="s">
        <v>373</v>
      </c>
      <c r="H541" t="s">
        <v>373</v>
      </c>
      <c r="I541">
        <v>0</v>
      </c>
      <c r="J541">
        <v>0</v>
      </c>
      <c r="K541">
        <v>0</v>
      </c>
      <c r="L541">
        <v>0</v>
      </c>
      <c r="M541">
        <v>3941</v>
      </c>
      <c r="N541">
        <v>9350</v>
      </c>
      <c r="P541">
        <v>9350</v>
      </c>
      <c r="Q541">
        <v>100652</v>
      </c>
      <c r="R541">
        <v>195250</v>
      </c>
      <c r="T541">
        <v>195250</v>
      </c>
      <c r="U541">
        <v>3.9E-2</v>
      </c>
      <c r="V541">
        <v>4.8000000000000001E-2</v>
      </c>
      <c r="W541" t="s">
        <v>373</v>
      </c>
      <c r="X541" t="s">
        <v>373</v>
      </c>
      <c r="Y541">
        <v>334.58</v>
      </c>
      <c r="Z541">
        <v>345.6</v>
      </c>
      <c r="AB541">
        <v>1</v>
      </c>
      <c r="AC541">
        <v>181.34</v>
      </c>
      <c r="AD541">
        <v>172.97</v>
      </c>
      <c r="AF541">
        <v>1</v>
      </c>
      <c r="AG541">
        <v>265.57</v>
      </c>
      <c r="AH541">
        <v>253.03</v>
      </c>
      <c r="AJ541">
        <v>1</v>
      </c>
      <c r="AN541" t="s">
        <v>373</v>
      </c>
      <c r="AO541">
        <v>110.12</v>
      </c>
      <c r="AP541">
        <v>104.18</v>
      </c>
      <c r="AR541">
        <v>1</v>
      </c>
      <c r="AS541" t="s">
        <v>290</v>
      </c>
      <c r="AT541" t="str">
        <f t="shared" si="8"/>
        <v>Kokomo WP - 106VI</v>
      </c>
    </row>
    <row r="542" spans="1:46" x14ac:dyDescent="0.25">
      <c r="A542" t="s">
        <v>316</v>
      </c>
      <c r="B542" t="s">
        <v>253</v>
      </c>
      <c r="C542" t="s">
        <v>143</v>
      </c>
      <c r="D542">
        <v>46023</v>
      </c>
      <c r="E542">
        <v>0.995</v>
      </c>
      <c r="F542">
        <v>0.997</v>
      </c>
      <c r="G542" t="s">
        <v>373</v>
      </c>
      <c r="H542" t="s">
        <v>373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85305</v>
      </c>
      <c r="R542">
        <v>171014</v>
      </c>
      <c r="T542">
        <v>171014</v>
      </c>
      <c r="U542">
        <v>0</v>
      </c>
      <c r="V542">
        <v>0</v>
      </c>
      <c r="W542" t="s">
        <v>373</v>
      </c>
      <c r="X542" t="s">
        <v>373</v>
      </c>
      <c r="Y542">
        <v>449.75</v>
      </c>
      <c r="Z542">
        <v>456.64</v>
      </c>
      <c r="AB542">
        <v>1</v>
      </c>
      <c r="AC542">
        <v>189.44</v>
      </c>
      <c r="AD542">
        <v>198.88</v>
      </c>
      <c r="AF542">
        <v>1</v>
      </c>
      <c r="AG542">
        <v>267.75</v>
      </c>
      <c r="AH542">
        <v>281.45999999999998</v>
      </c>
      <c r="AJ542">
        <v>1</v>
      </c>
      <c r="AN542" t="s">
        <v>373</v>
      </c>
      <c r="AO542">
        <v>115.28</v>
      </c>
      <c r="AP542">
        <v>121.41</v>
      </c>
      <c r="AR542">
        <v>1</v>
      </c>
      <c r="AS542" t="s">
        <v>290</v>
      </c>
      <c r="AT542" t="str">
        <f t="shared" si="8"/>
        <v>Lafayette CS - 133VI</v>
      </c>
    </row>
    <row r="543" spans="1:46" x14ac:dyDescent="0.25">
      <c r="A543" t="s">
        <v>316</v>
      </c>
      <c r="B543" t="s">
        <v>253</v>
      </c>
      <c r="C543" t="s">
        <v>143</v>
      </c>
      <c r="D543">
        <v>46054</v>
      </c>
      <c r="E543">
        <v>1</v>
      </c>
      <c r="F543">
        <v>0.997</v>
      </c>
      <c r="G543" t="s">
        <v>373</v>
      </c>
      <c r="H543" t="s">
        <v>373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85709</v>
      </c>
      <c r="R543">
        <v>171014</v>
      </c>
      <c r="T543">
        <v>171014</v>
      </c>
      <c r="U543">
        <v>0</v>
      </c>
      <c r="V543">
        <v>0</v>
      </c>
      <c r="W543" t="s">
        <v>373</v>
      </c>
      <c r="X543" t="s">
        <v>373</v>
      </c>
      <c r="Y543">
        <v>463.54</v>
      </c>
      <c r="Z543">
        <v>456.64</v>
      </c>
      <c r="AB543">
        <v>1</v>
      </c>
      <c r="AC543">
        <v>208.31</v>
      </c>
      <c r="AD543">
        <v>198.88</v>
      </c>
      <c r="AF543">
        <v>1</v>
      </c>
      <c r="AG543">
        <v>295.16000000000003</v>
      </c>
      <c r="AH543">
        <v>281.45999999999998</v>
      </c>
      <c r="AJ543">
        <v>1</v>
      </c>
      <c r="AN543" t="s">
        <v>373</v>
      </c>
      <c r="AO543">
        <v>127.54</v>
      </c>
      <c r="AP543">
        <v>121.41</v>
      </c>
      <c r="AR543">
        <v>1</v>
      </c>
      <c r="AS543" t="s">
        <v>290</v>
      </c>
      <c r="AT543" t="str">
        <f t="shared" si="8"/>
        <v>Lafayette CS - 133VI</v>
      </c>
    </row>
    <row r="544" spans="1:46" x14ac:dyDescent="0.25">
      <c r="A544" t="s">
        <v>316</v>
      </c>
      <c r="B544" t="s">
        <v>253</v>
      </c>
      <c r="C544" t="s">
        <v>190</v>
      </c>
      <c r="D544">
        <v>46023</v>
      </c>
      <c r="E544">
        <v>0.96699999999999997</v>
      </c>
      <c r="F544">
        <v>0.97199999999999998</v>
      </c>
      <c r="G544" t="s">
        <v>373</v>
      </c>
      <c r="H544" t="s">
        <v>373</v>
      </c>
      <c r="I544">
        <v>0</v>
      </c>
      <c r="J544">
        <v>0</v>
      </c>
      <c r="K544">
        <v>0</v>
      </c>
      <c r="L544">
        <v>0</v>
      </c>
      <c r="M544">
        <v>848</v>
      </c>
      <c r="N544">
        <v>1696</v>
      </c>
      <c r="P544">
        <v>1696</v>
      </c>
      <c r="Q544">
        <v>101208</v>
      </c>
      <c r="R544">
        <v>203640</v>
      </c>
      <c r="T544">
        <v>203640</v>
      </c>
      <c r="U544">
        <v>8.0000000000000002E-3</v>
      </c>
      <c r="V544">
        <v>8.0000000000000002E-3</v>
      </c>
      <c r="W544" t="s">
        <v>373</v>
      </c>
      <c r="X544" t="s">
        <v>373</v>
      </c>
      <c r="Y544">
        <v>409.6</v>
      </c>
      <c r="Z544">
        <v>403.62</v>
      </c>
      <c r="AB544">
        <v>1</v>
      </c>
      <c r="AC544">
        <v>230.74</v>
      </c>
      <c r="AD544">
        <v>242.21</v>
      </c>
      <c r="AF544">
        <v>1</v>
      </c>
      <c r="AG544">
        <v>248.58</v>
      </c>
      <c r="AH544">
        <v>261.83</v>
      </c>
      <c r="AJ544">
        <v>1</v>
      </c>
      <c r="AN544" t="s">
        <v>373</v>
      </c>
      <c r="AO544">
        <v>112.58</v>
      </c>
      <c r="AP544">
        <v>118.52</v>
      </c>
      <c r="AR544">
        <v>1</v>
      </c>
      <c r="AS544" t="s">
        <v>290</v>
      </c>
      <c r="AT544" t="str">
        <f t="shared" si="8"/>
        <v>Muncie - 128VI</v>
      </c>
    </row>
    <row r="545" spans="1:46" x14ac:dyDescent="0.25">
      <c r="A545" t="s">
        <v>316</v>
      </c>
      <c r="B545" t="s">
        <v>253</v>
      </c>
      <c r="C545" t="s">
        <v>190</v>
      </c>
      <c r="D545">
        <v>46054</v>
      </c>
      <c r="E545">
        <v>0.97899999999999998</v>
      </c>
      <c r="F545">
        <v>0.97199999999999998</v>
      </c>
      <c r="G545" t="s">
        <v>373</v>
      </c>
      <c r="H545" t="s">
        <v>373</v>
      </c>
      <c r="I545">
        <v>0</v>
      </c>
      <c r="J545">
        <v>0</v>
      </c>
      <c r="K545">
        <v>0</v>
      </c>
      <c r="L545">
        <v>0</v>
      </c>
      <c r="M545">
        <v>848</v>
      </c>
      <c r="N545">
        <v>1696</v>
      </c>
      <c r="P545">
        <v>1696</v>
      </c>
      <c r="Q545">
        <v>102432</v>
      </c>
      <c r="R545">
        <v>203640</v>
      </c>
      <c r="T545">
        <v>203640</v>
      </c>
      <c r="U545">
        <v>8.0000000000000002E-3</v>
      </c>
      <c r="V545">
        <v>8.0000000000000002E-3</v>
      </c>
      <c r="W545" t="s">
        <v>373</v>
      </c>
      <c r="X545" t="s">
        <v>373</v>
      </c>
      <c r="Y545">
        <v>397.65</v>
      </c>
      <c r="Z545">
        <v>403.62</v>
      </c>
      <c r="AB545">
        <v>1</v>
      </c>
      <c r="AC545">
        <v>253.69</v>
      </c>
      <c r="AD545">
        <v>242.21</v>
      </c>
      <c r="AF545">
        <v>1</v>
      </c>
      <c r="AG545">
        <v>275.08</v>
      </c>
      <c r="AH545">
        <v>261.83</v>
      </c>
      <c r="AJ545">
        <v>1</v>
      </c>
      <c r="AN545" t="s">
        <v>373</v>
      </c>
      <c r="AO545">
        <v>124.46</v>
      </c>
      <c r="AP545">
        <v>118.52</v>
      </c>
      <c r="AR545">
        <v>1</v>
      </c>
      <c r="AS545" t="s">
        <v>290</v>
      </c>
      <c r="AT545" t="str">
        <f t="shared" si="8"/>
        <v>Muncie - 128VI</v>
      </c>
    </row>
    <row r="546" spans="1:46" x14ac:dyDescent="0.25">
      <c r="A546" t="s">
        <v>316</v>
      </c>
      <c r="B546" t="s">
        <v>255</v>
      </c>
      <c r="C546" t="s">
        <v>42</v>
      </c>
      <c r="D546">
        <v>46023</v>
      </c>
      <c r="E546">
        <v>0.95799999999999996</v>
      </c>
      <c r="F546">
        <v>0.95</v>
      </c>
      <c r="G546" t="s">
        <v>373</v>
      </c>
      <c r="H546" t="s">
        <v>373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53686</v>
      </c>
      <c r="R546">
        <v>106103</v>
      </c>
      <c r="T546">
        <v>106103</v>
      </c>
      <c r="U546">
        <v>0</v>
      </c>
      <c r="V546">
        <v>0</v>
      </c>
      <c r="W546" t="s">
        <v>373</v>
      </c>
      <c r="X546" t="s">
        <v>373</v>
      </c>
      <c r="Y546">
        <v>444.85</v>
      </c>
      <c r="Z546">
        <v>444.68</v>
      </c>
      <c r="AB546">
        <v>1</v>
      </c>
      <c r="AC546">
        <v>233.75</v>
      </c>
      <c r="AD546">
        <v>244.69</v>
      </c>
      <c r="AF546">
        <v>1</v>
      </c>
      <c r="AG546">
        <v>255.57</v>
      </c>
      <c r="AH546">
        <v>276.73</v>
      </c>
      <c r="AJ546">
        <v>1</v>
      </c>
      <c r="AN546" t="s">
        <v>373</v>
      </c>
      <c r="AO546">
        <v>75.3</v>
      </c>
      <c r="AP546">
        <v>79.12</v>
      </c>
      <c r="AR546">
        <v>1</v>
      </c>
      <c r="AS546" t="s">
        <v>290</v>
      </c>
      <c r="AT546" t="str">
        <f t="shared" si="8"/>
        <v>Bellevue - 414VI</v>
      </c>
    </row>
    <row r="547" spans="1:46" x14ac:dyDescent="0.25">
      <c r="A547" t="s">
        <v>316</v>
      </c>
      <c r="B547" t="s">
        <v>255</v>
      </c>
      <c r="C547" t="s">
        <v>42</v>
      </c>
      <c r="D547">
        <v>46054</v>
      </c>
      <c r="E547">
        <v>0.94</v>
      </c>
      <c r="F547">
        <v>0.95</v>
      </c>
      <c r="G547" t="s">
        <v>373</v>
      </c>
      <c r="H547" t="s">
        <v>373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52417</v>
      </c>
      <c r="R547">
        <v>106103</v>
      </c>
      <c r="T547">
        <v>106103</v>
      </c>
      <c r="U547">
        <v>0</v>
      </c>
      <c r="V547">
        <v>0</v>
      </c>
      <c r="W547" t="s">
        <v>373</v>
      </c>
      <c r="X547" t="s">
        <v>373</v>
      </c>
      <c r="Y547">
        <v>444.52</v>
      </c>
      <c r="Z547">
        <v>444.68</v>
      </c>
      <c r="AB547">
        <v>1</v>
      </c>
      <c r="AC547">
        <v>255.64</v>
      </c>
      <c r="AD547">
        <v>244.69</v>
      </c>
      <c r="AF547">
        <v>1</v>
      </c>
      <c r="AG547">
        <v>297.89</v>
      </c>
      <c r="AH547">
        <v>276.73</v>
      </c>
      <c r="AJ547">
        <v>1</v>
      </c>
      <c r="AN547" t="s">
        <v>373</v>
      </c>
      <c r="AO547">
        <v>82.94</v>
      </c>
      <c r="AP547">
        <v>79.12</v>
      </c>
      <c r="AR547">
        <v>1</v>
      </c>
      <c r="AS547" t="s">
        <v>290</v>
      </c>
      <c r="AT547" t="str">
        <f t="shared" si="8"/>
        <v>Bellevue - 414VI</v>
      </c>
    </row>
    <row r="548" spans="1:46" x14ac:dyDescent="0.25">
      <c r="A548" t="s">
        <v>316</v>
      </c>
      <c r="B548" t="s">
        <v>255</v>
      </c>
      <c r="C548" t="s">
        <v>152</v>
      </c>
      <c r="D548">
        <v>46023</v>
      </c>
      <c r="E548">
        <v>0.93300000000000005</v>
      </c>
      <c r="F548">
        <v>0.93300000000000005</v>
      </c>
      <c r="G548" t="s">
        <v>373</v>
      </c>
      <c r="H548" t="s">
        <v>373</v>
      </c>
      <c r="I548">
        <v>0</v>
      </c>
      <c r="J548">
        <v>0</v>
      </c>
      <c r="K548">
        <v>0</v>
      </c>
      <c r="L548">
        <v>0</v>
      </c>
      <c r="M548">
        <v>1123</v>
      </c>
      <c r="N548">
        <v>2245</v>
      </c>
      <c r="P548">
        <v>2245</v>
      </c>
      <c r="Q548">
        <v>61927</v>
      </c>
      <c r="R548">
        <v>124760</v>
      </c>
      <c r="T548">
        <v>124760</v>
      </c>
      <c r="U548">
        <v>1.7999999999999999E-2</v>
      </c>
      <c r="V548">
        <v>1.7999999999999999E-2</v>
      </c>
      <c r="W548" t="s">
        <v>373</v>
      </c>
      <c r="X548" t="s">
        <v>373</v>
      </c>
      <c r="Y548">
        <v>385.37</v>
      </c>
      <c r="Z548">
        <v>375.33</v>
      </c>
      <c r="AB548">
        <v>1</v>
      </c>
      <c r="AC548">
        <v>176.66</v>
      </c>
      <c r="AD548">
        <v>185.16</v>
      </c>
      <c r="AF548">
        <v>1</v>
      </c>
      <c r="AJ548" t="s">
        <v>373</v>
      </c>
      <c r="AN548" t="s">
        <v>373</v>
      </c>
      <c r="AO548">
        <v>48.68</v>
      </c>
      <c r="AP548">
        <v>51.08</v>
      </c>
      <c r="AR548">
        <v>1</v>
      </c>
      <c r="AS548" t="s">
        <v>290</v>
      </c>
      <c r="AT548" t="str">
        <f t="shared" si="8"/>
        <v>Leipsic - 409VI</v>
      </c>
    </row>
    <row r="549" spans="1:46" x14ac:dyDescent="0.25">
      <c r="A549" t="s">
        <v>316</v>
      </c>
      <c r="B549" t="s">
        <v>255</v>
      </c>
      <c r="C549" t="s">
        <v>152</v>
      </c>
      <c r="D549">
        <v>46054</v>
      </c>
      <c r="E549">
        <v>0.93300000000000005</v>
      </c>
      <c r="F549">
        <v>0.93300000000000005</v>
      </c>
      <c r="G549" t="s">
        <v>373</v>
      </c>
      <c r="H549" t="s">
        <v>373</v>
      </c>
      <c r="I549">
        <v>0</v>
      </c>
      <c r="J549">
        <v>0</v>
      </c>
      <c r="K549">
        <v>0</v>
      </c>
      <c r="L549">
        <v>0</v>
      </c>
      <c r="M549">
        <v>1123</v>
      </c>
      <c r="N549">
        <v>2245</v>
      </c>
      <c r="P549">
        <v>2245</v>
      </c>
      <c r="Q549">
        <v>62833</v>
      </c>
      <c r="R549">
        <v>124760</v>
      </c>
      <c r="T549">
        <v>124760</v>
      </c>
      <c r="U549">
        <v>1.7999999999999999E-2</v>
      </c>
      <c r="V549">
        <v>1.7999999999999999E-2</v>
      </c>
      <c r="W549" t="s">
        <v>373</v>
      </c>
      <c r="X549" t="s">
        <v>373</v>
      </c>
      <c r="Y549">
        <v>365.29</v>
      </c>
      <c r="Z549">
        <v>375.33</v>
      </c>
      <c r="AB549">
        <v>1</v>
      </c>
      <c r="AC549">
        <v>193.66</v>
      </c>
      <c r="AD549">
        <v>185.16</v>
      </c>
      <c r="AF549">
        <v>1</v>
      </c>
      <c r="AJ549" t="s">
        <v>373</v>
      </c>
      <c r="AN549" t="s">
        <v>373</v>
      </c>
      <c r="AO549">
        <v>53.48</v>
      </c>
      <c r="AP549">
        <v>51.08</v>
      </c>
      <c r="AR549">
        <v>1</v>
      </c>
      <c r="AS549" t="s">
        <v>290</v>
      </c>
      <c r="AT549" t="str">
        <f t="shared" si="8"/>
        <v>Leipsic - 409VI</v>
      </c>
    </row>
    <row r="550" spans="1:46" x14ac:dyDescent="0.25">
      <c r="A550" t="s">
        <v>316</v>
      </c>
      <c r="B550" t="s">
        <v>255</v>
      </c>
      <c r="C550" t="s">
        <v>185</v>
      </c>
      <c r="D550">
        <v>46023</v>
      </c>
      <c r="E550">
        <v>1</v>
      </c>
      <c r="F550">
        <v>0.995</v>
      </c>
      <c r="G550" t="s">
        <v>373</v>
      </c>
      <c r="H550" t="s">
        <v>373</v>
      </c>
      <c r="I550">
        <v>0</v>
      </c>
      <c r="J550">
        <v>0</v>
      </c>
      <c r="K550">
        <v>0</v>
      </c>
      <c r="L550">
        <v>0</v>
      </c>
      <c r="M550">
        <v>1231</v>
      </c>
      <c r="N550">
        <v>2462</v>
      </c>
      <c r="P550">
        <v>2462</v>
      </c>
      <c r="Q550">
        <v>107652</v>
      </c>
      <c r="R550">
        <v>213904</v>
      </c>
      <c r="T550">
        <v>213904</v>
      </c>
      <c r="U550">
        <v>1.0999999999999999E-2</v>
      </c>
      <c r="V550">
        <v>1.2E-2</v>
      </c>
      <c r="W550" t="s">
        <v>373</v>
      </c>
      <c r="X550" t="s">
        <v>373</v>
      </c>
      <c r="Y550">
        <v>504.3</v>
      </c>
      <c r="Z550">
        <v>503.29</v>
      </c>
      <c r="AB550">
        <v>1</v>
      </c>
      <c r="AC550">
        <v>176.66</v>
      </c>
      <c r="AD550">
        <v>186.12</v>
      </c>
      <c r="AF550">
        <v>1</v>
      </c>
      <c r="AG550">
        <v>243.31</v>
      </c>
      <c r="AH550">
        <v>257.02999999999997</v>
      </c>
      <c r="AJ550">
        <v>1</v>
      </c>
      <c r="AN550" t="s">
        <v>373</v>
      </c>
      <c r="AO550">
        <v>102.14</v>
      </c>
      <c r="AP550">
        <v>107.47</v>
      </c>
      <c r="AR550">
        <v>1</v>
      </c>
      <c r="AS550" t="s">
        <v>290</v>
      </c>
      <c r="AT550" t="str">
        <f t="shared" si="8"/>
        <v>Monclova - 2422VI</v>
      </c>
    </row>
    <row r="551" spans="1:46" x14ac:dyDescent="0.25">
      <c r="A551" t="s">
        <v>316</v>
      </c>
      <c r="B551" t="s">
        <v>255</v>
      </c>
      <c r="C551" t="s">
        <v>185</v>
      </c>
      <c r="D551">
        <v>46054</v>
      </c>
      <c r="E551">
        <v>0.98899999999999999</v>
      </c>
      <c r="F551">
        <v>0.995</v>
      </c>
      <c r="G551" t="s">
        <v>373</v>
      </c>
      <c r="H551" t="s">
        <v>373</v>
      </c>
      <c r="I551">
        <v>0</v>
      </c>
      <c r="J551">
        <v>0</v>
      </c>
      <c r="K551">
        <v>0</v>
      </c>
      <c r="L551">
        <v>0</v>
      </c>
      <c r="M551">
        <v>1231</v>
      </c>
      <c r="N551">
        <v>2462</v>
      </c>
      <c r="P551">
        <v>2462</v>
      </c>
      <c r="Q551">
        <v>106252</v>
      </c>
      <c r="R551">
        <v>213904</v>
      </c>
      <c r="T551">
        <v>213904</v>
      </c>
      <c r="U551">
        <v>1.2E-2</v>
      </c>
      <c r="V551">
        <v>1.2E-2</v>
      </c>
      <c r="W551" t="s">
        <v>373</v>
      </c>
      <c r="X551" t="s">
        <v>373</v>
      </c>
      <c r="Y551">
        <v>502.28</v>
      </c>
      <c r="Z551">
        <v>503.29</v>
      </c>
      <c r="AB551">
        <v>1</v>
      </c>
      <c r="AC551">
        <v>195.59</v>
      </c>
      <c r="AD551">
        <v>186.12</v>
      </c>
      <c r="AF551">
        <v>1</v>
      </c>
      <c r="AG551">
        <v>270.76</v>
      </c>
      <c r="AH551">
        <v>257.02999999999997</v>
      </c>
      <c r="AJ551">
        <v>1</v>
      </c>
      <c r="AN551" t="s">
        <v>373</v>
      </c>
      <c r="AO551">
        <v>112.79</v>
      </c>
      <c r="AP551">
        <v>107.47</v>
      </c>
      <c r="AR551">
        <v>1</v>
      </c>
      <c r="AS551" t="s">
        <v>290</v>
      </c>
      <c r="AT551" t="str">
        <f t="shared" si="8"/>
        <v>Monclova - 2422VI</v>
      </c>
    </row>
    <row r="552" spans="1:46" x14ac:dyDescent="0.25">
      <c r="A552" t="s">
        <v>316</v>
      </c>
      <c r="B552" t="s">
        <v>255</v>
      </c>
      <c r="C552" t="s">
        <v>205</v>
      </c>
      <c r="D552">
        <v>46023</v>
      </c>
      <c r="E552" t="s">
        <v>373</v>
      </c>
      <c r="F552">
        <v>0.253</v>
      </c>
      <c r="G552" t="s">
        <v>373</v>
      </c>
      <c r="H552" t="s">
        <v>373</v>
      </c>
      <c r="I552">
        <v>0</v>
      </c>
      <c r="J552">
        <v>8.3000000000000004E-2</v>
      </c>
      <c r="K552">
        <v>0</v>
      </c>
      <c r="L552">
        <v>8.3000000000000004E-2</v>
      </c>
      <c r="N552">
        <v>107</v>
      </c>
      <c r="P552">
        <v>107</v>
      </c>
      <c r="R552">
        <v>9372</v>
      </c>
      <c r="T552">
        <v>9372</v>
      </c>
      <c r="U552" t="s">
        <v>373</v>
      </c>
      <c r="V552">
        <v>1.0999999999999999E-2</v>
      </c>
      <c r="W552" t="s">
        <v>373</v>
      </c>
      <c r="X552" t="s">
        <v>373</v>
      </c>
      <c r="Z552">
        <v>429.47</v>
      </c>
      <c r="AB552">
        <v>1</v>
      </c>
      <c r="AD552">
        <v>236.01</v>
      </c>
      <c r="AF552">
        <v>1</v>
      </c>
      <c r="AJ552" t="s">
        <v>373</v>
      </c>
      <c r="AN552" t="s">
        <v>373</v>
      </c>
      <c r="AP552">
        <v>176.82</v>
      </c>
      <c r="AR552">
        <v>1</v>
      </c>
      <c r="AS552" t="s">
        <v>290</v>
      </c>
      <c r="AT552" t="str">
        <f t="shared" si="8"/>
        <v>Ottawa MO - 430VI</v>
      </c>
    </row>
    <row r="553" spans="1:46" x14ac:dyDescent="0.25">
      <c r="A553" t="s">
        <v>316</v>
      </c>
      <c r="B553" t="s">
        <v>255</v>
      </c>
      <c r="C553" t="s">
        <v>205</v>
      </c>
      <c r="D553">
        <v>46054</v>
      </c>
      <c r="E553">
        <v>0.253</v>
      </c>
      <c r="F553">
        <v>0.253</v>
      </c>
      <c r="G553" t="s">
        <v>373</v>
      </c>
      <c r="H553" t="s">
        <v>373</v>
      </c>
      <c r="I553">
        <v>8.3000000000000004E-2</v>
      </c>
      <c r="J553">
        <v>8.3000000000000004E-2</v>
      </c>
      <c r="K553">
        <v>0</v>
      </c>
      <c r="L553">
        <v>8.3000000000000004E-2</v>
      </c>
      <c r="M553">
        <v>107</v>
      </c>
      <c r="N553">
        <v>107</v>
      </c>
      <c r="P553">
        <v>107</v>
      </c>
      <c r="Q553">
        <v>9372</v>
      </c>
      <c r="R553">
        <v>9372</v>
      </c>
      <c r="T553">
        <v>9372</v>
      </c>
      <c r="U553">
        <v>1.0999999999999999E-2</v>
      </c>
      <c r="V553">
        <v>1.0999999999999999E-2</v>
      </c>
      <c r="W553" t="s">
        <v>373</v>
      </c>
      <c r="X553" t="s">
        <v>373</v>
      </c>
      <c r="Y553">
        <v>429.47</v>
      </c>
      <c r="Z553">
        <v>429.47</v>
      </c>
      <c r="AB553">
        <v>1</v>
      </c>
      <c r="AC553">
        <v>236.01</v>
      </c>
      <c r="AD553">
        <v>236.01</v>
      </c>
      <c r="AF553">
        <v>1</v>
      </c>
      <c r="AJ553" t="s">
        <v>373</v>
      </c>
      <c r="AN553" t="s">
        <v>373</v>
      </c>
      <c r="AO553">
        <v>176.82</v>
      </c>
      <c r="AP553">
        <v>176.82</v>
      </c>
      <c r="AR553">
        <v>1</v>
      </c>
      <c r="AS553" t="s">
        <v>290</v>
      </c>
      <c r="AT553" t="str">
        <f t="shared" si="8"/>
        <v>Ottawa MO - 430VI</v>
      </c>
    </row>
    <row r="554" spans="1:46" x14ac:dyDescent="0.25">
      <c r="A554" t="s">
        <v>316</v>
      </c>
      <c r="B554" t="s">
        <v>255</v>
      </c>
      <c r="C554" t="s">
        <v>226</v>
      </c>
      <c r="D554">
        <v>46023</v>
      </c>
      <c r="E554">
        <v>0.86799999999999999</v>
      </c>
      <c r="F554">
        <v>0.64500000000000002</v>
      </c>
      <c r="G554" t="s">
        <v>373</v>
      </c>
      <c r="H554" t="s">
        <v>373</v>
      </c>
      <c r="I554">
        <v>0</v>
      </c>
      <c r="J554">
        <v>0</v>
      </c>
      <c r="K554">
        <v>0</v>
      </c>
      <c r="L554">
        <v>0</v>
      </c>
      <c r="M554">
        <v>110</v>
      </c>
      <c r="N554">
        <v>220</v>
      </c>
      <c r="P554">
        <v>220</v>
      </c>
      <c r="Q554">
        <v>93375</v>
      </c>
      <c r="R554">
        <v>196638</v>
      </c>
      <c r="T554">
        <v>196638</v>
      </c>
      <c r="U554">
        <v>1E-3</v>
      </c>
      <c r="V554">
        <v>1E-3</v>
      </c>
      <c r="W554" t="s">
        <v>373</v>
      </c>
      <c r="X554" t="s">
        <v>373</v>
      </c>
      <c r="Y554">
        <v>498.94</v>
      </c>
      <c r="Z554">
        <v>495.66</v>
      </c>
      <c r="AB554">
        <v>1</v>
      </c>
      <c r="AC554">
        <v>191.76</v>
      </c>
      <c r="AD554">
        <v>202.19</v>
      </c>
      <c r="AF554">
        <v>1</v>
      </c>
      <c r="AJ554" t="s">
        <v>373</v>
      </c>
      <c r="AN554" t="s">
        <v>373</v>
      </c>
      <c r="AO554">
        <v>115.71</v>
      </c>
      <c r="AP554">
        <v>122.15</v>
      </c>
      <c r="AR554">
        <v>1</v>
      </c>
      <c r="AS554" t="s">
        <v>290</v>
      </c>
      <c r="AT554" t="str">
        <f t="shared" si="8"/>
        <v>Sylvania - 2427VI</v>
      </c>
    </row>
    <row r="555" spans="1:46" x14ac:dyDescent="0.25">
      <c r="A555" t="s">
        <v>316</v>
      </c>
      <c r="B555" t="s">
        <v>255</v>
      </c>
      <c r="C555" t="s">
        <v>226</v>
      </c>
      <c r="D555">
        <v>46054</v>
      </c>
      <c r="E555">
        <v>0.51200000000000001</v>
      </c>
      <c r="F555">
        <v>0.64500000000000002</v>
      </c>
      <c r="G555" t="s">
        <v>373</v>
      </c>
      <c r="H555" t="s">
        <v>373</v>
      </c>
      <c r="I555">
        <v>0</v>
      </c>
      <c r="J555">
        <v>0</v>
      </c>
      <c r="K555">
        <v>0</v>
      </c>
      <c r="L555">
        <v>0</v>
      </c>
      <c r="M555">
        <v>110</v>
      </c>
      <c r="N555">
        <v>220</v>
      </c>
      <c r="P555">
        <v>220</v>
      </c>
      <c r="Q555">
        <v>103262</v>
      </c>
      <c r="R555">
        <v>196638</v>
      </c>
      <c r="T555">
        <v>196638</v>
      </c>
      <c r="U555">
        <v>1E-3</v>
      </c>
      <c r="V555">
        <v>1E-3</v>
      </c>
      <c r="W555" t="s">
        <v>373</v>
      </c>
      <c r="X555" t="s">
        <v>373</v>
      </c>
      <c r="Y555">
        <v>492.39</v>
      </c>
      <c r="Z555">
        <v>495.66</v>
      </c>
      <c r="AB555">
        <v>1</v>
      </c>
      <c r="AC555">
        <v>212.61</v>
      </c>
      <c r="AD555">
        <v>202.19</v>
      </c>
      <c r="AF555">
        <v>1</v>
      </c>
      <c r="AJ555" t="s">
        <v>373</v>
      </c>
      <c r="AN555" t="s">
        <v>373</v>
      </c>
      <c r="AO555">
        <v>128.6</v>
      </c>
      <c r="AP555">
        <v>122.15</v>
      </c>
      <c r="AR555">
        <v>1</v>
      </c>
      <c r="AS555" t="s">
        <v>290</v>
      </c>
      <c r="AT555" t="str">
        <f t="shared" si="8"/>
        <v>Sylvania - 2427VI</v>
      </c>
    </row>
    <row r="556" spans="1:46" x14ac:dyDescent="0.25">
      <c r="A556" t="s">
        <v>316</v>
      </c>
      <c r="B556" t="s">
        <v>255</v>
      </c>
      <c r="C556" t="s">
        <v>248</v>
      </c>
      <c r="D556">
        <v>46023</v>
      </c>
      <c r="E556">
        <v>1</v>
      </c>
      <c r="F556">
        <v>1</v>
      </c>
      <c r="G556" t="s">
        <v>373</v>
      </c>
      <c r="H556" t="s">
        <v>373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71175</v>
      </c>
      <c r="R556">
        <v>142350</v>
      </c>
      <c r="T556">
        <v>142350</v>
      </c>
      <c r="U556">
        <v>0</v>
      </c>
      <c r="V556">
        <v>0</v>
      </c>
      <c r="W556" t="s">
        <v>373</v>
      </c>
      <c r="X556" t="s">
        <v>373</v>
      </c>
      <c r="Y556">
        <v>400.7</v>
      </c>
      <c r="Z556">
        <v>404.52</v>
      </c>
      <c r="AB556">
        <v>1</v>
      </c>
      <c r="AC556">
        <v>202.12</v>
      </c>
      <c r="AD556">
        <v>212.9</v>
      </c>
      <c r="AF556">
        <v>1</v>
      </c>
      <c r="AG556">
        <v>234.04</v>
      </c>
      <c r="AH556">
        <v>246</v>
      </c>
      <c r="AJ556">
        <v>1</v>
      </c>
      <c r="AN556" t="s">
        <v>373</v>
      </c>
      <c r="AO556">
        <v>88.31</v>
      </c>
      <c r="AP556">
        <v>93.04</v>
      </c>
      <c r="AR556">
        <v>1</v>
      </c>
      <c r="AS556" t="s">
        <v>290</v>
      </c>
      <c r="AT556" t="str">
        <f t="shared" si="8"/>
        <v>Willard - 2424VI</v>
      </c>
    </row>
    <row r="557" spans="1:46" x14ac:dyDescent="0.25">
      <c r="A557" t="s">
        <v>316</v>
      </c>
      <c r="B557" t="s">
        <v>255</v>
      </c>
      <c r="C557" t="s">
        <v>248</v>
      </c>
      <c r="D557">
        <v>46054</v>
      </c>
      <c r="E557">
        <v>1</v>
      </c>
      <c r="F557">
        <v>1</v>
      </c>
      <c r="G557" t="s">
        <v>373</v>
      </c>
      <c r="H557" t="s">
        <v>373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71175</v>
      </c>
      <c r="R557">
        <v>142350</v>
      </c>
      <c r="T557">
        <v>142350</v>
      </c>
      <c r="U557">
        <v>0</v>
      </c>
      <c r="V557">
        <v>0</v>
      </c>
      <c r="W557" t="s">
        <v>373</v>
      </c>
      <c r="X557" t="s">
        <v>373</v>
      </c>
      <c r="Y557">
        <v>408.33</v>
      </c>
      <c r="Z557">
        <v>404.52</v>
      </c>
      <c r="AB557">
        <v>1</v>
      </c>
      <c r="AC557">
        <v>223.69</v>
      </c>
      <c r="AD557">
        <v>212.9</v>
      </c>
      <c r="AF557">
        <v>1</v>
      </c>
      <c r="AG557">
        <v>257.95999999999998</v>
      </c>
      <c r="AH557">
        <v>246</v>
      </c>
      <c r="AJ557">
        <v>1</v>
      </c>
      <c r="AN557" t="s">
        <v>373</v>
      </c>
      <c r="AO557">
        <v>97.77</v>
      </c>
      <c r="AP557">
        <v>93.04</v>
      </c>
      <c r="AR557">
        <v>1</v>
      </c>
      <c r="AS557" t="s">
        <v>290</v>
      </c>
      <c r="AT557" t="str">
        <f t="shared" si="8"/>
        <v>Willard - 2424VI</v>
      </c>
    </row>
    <row r="558" spans="1:46" x14ac:dyDescent="0.25">
      <c r="A558" t="s">
        <v>316</v>
      </c>
      <c r="B558" t="s">
        <v>256</v>
      </c>
      <c r="C558" t="s">
        <v>208</v>
      </c>
      <c r="D558">
        <v>46023</v>
      </c>
      <c r="E558">
        <v>1</v>
      </c>
      <c r="F558">
        <v>1</v>
      </c>
      <c r="G558" t="s">
        <v>373</v>
      </c>
      <c r="H558" t="s">
        <v>373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19213</v>
      </c>
      <c r="R558">
        <v>38426</v>
      </c>
      <c r="T558">
        <v>38426</v>
      </c>
      <c r="U558">
        <v>0</v>
      </c>
      <c r="V558">
        <v>0</v>
      </c>
      <c r="W558" t="s">
        <v>373</v>
      </c>
      <c r="X558" t="s">
        <v>373</v>
      </c>
      <c r="Y558">
        <v>401.66</v>
      </c>
      <c r="Z558">
        <v>405.69</v>
      </c>
      <c r="AB558">
        <v>1</v>
      </c>
      <c r="AC558">
        <v>163.92</v>
      </c>
      <c r="AD558">
        <v>171.87</v>
      </c>
      <c r="AF558">
        <v>1</v>
      </c>
      <c r="AJ558" t="s">
        <v>373</v>
      </c>
      <c r="AN558" t="s">
        <v>373</v>
      </c>
      <c r="AO558">
        <v>103.3</v>
      </c>
      <c r="AP558">
        <v>108.83</v>
      </c>
      <c r="AR558">
        <v>1</v>
      </c>
      <c r="AS558" t="s">
        <v>290</v>
      </c>
      <c r="AT558" t="str">
        <f t="shared" si="8"/>
        <v>Peru - 2144VI</v>
      </c>
    </row>
    <row r="559" spans="1:46" x14ac:dyDescent="0.25">
      <c r="A559" t="s">
        <v>316</v>
      </c>
      <c r="B559" t="s">
        <v>256</v>
      </c>
      <c r="C559" t="s">
        <v>208</v>
      </c>
      <c r="D559">
        <v>46054</v>
      </c>
      <c r="E559">
        <v>1</v>
      </c>
      <c r="F559">
        <v>1</v>
      </c>
      <c r="G559" t="s">
        <v>373</v>
      </c>
      <c r="H559" t="s">
        <v>373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19213</v>
      </c>
      <c r="R559">
        <v>38426</v>
      </c>
      <c r="T559">
        <v>38426</v>
      </c>
      <c r="U559">
        <v>0</v>
      </c>
      <c r="V559">
        <v>0</v>
      </c>
      <c r="W559" t="s">
        <v>373</v>
      </c>
      <c r="X559" t="s">
        <v>373</v>
      </c>
      <c r="Y559">
        <v>409.72</v>
      </c>
      <c r="Z559">
        <v>405.69</v>
      </c>
      <c r="AB559">
        <v>1</v>
      </c>
      <c r="AC559">
        <v>179.81</v>
      </c>
      <c r="AD559">
        <v>171.87</v>
      </c>
      <c r="AF559">
        <v>1</v>
      </c>
      <c r="AJ559" t="s">
        <v>373</v>
      </c>
      <c r="AN559" t="s">
        <v>373</v>
      </c>
      <c r="AO559">
        <v>114.36</v>
      </c>
      <c r="AP559">
        <v>108.83</v>
      </c>
      <c r="AR559">
        <v>1</v>
      </c>
      <c r="AS559" t="s">
        <v>290</v>
      </c>
      <c r="AT559" t="str">
        <f t="shared" si="8"/>
        <v>Peru - 2144VI</v>
      </c>
    </row>
    <row r="560" spans="1:46" x14ac:dyDescent="0.25">
      <c r="A560" t="s">
        <v>316</v>
      </c>
      <c r="B560" t="s">
        <v>257</v>
      </c>
      <c r="C560" t="s">
        <v>128</v>
      </c>
      <c r="D560">
        <v>46023</v>
      </c>
      <c r="E560" t="s">
        <v>373</v>
      </c>
      <c r="F560">
        <v>0.30399999999999999</v>
      </c>
      <c r="G560" t="s">
        <v>373</v>
      </c>
      <c r="H560" t="s">
        <v>373</v>
      </c>
      <c r="I560">
        <v>0</v>
      </c>
      <c r="J560">
        <v>0.6</v>
      </c>
      <c r="K560">
        <v>0</v>
      </c>
      <c r="L560">
        <v>0.6</v>
      </c>
      <c r="M560">
        <v>0</v>
      </c>
      <c r="N560">
        <v>466</v>
      </c>
      <c r="P560">
        <v>466</v>
      </c>
      <c r="Q560">
        <v>0</v>
      </c>
      <c r="R560">
        <v>9667</v>
      </c>
      <c r="T560">
        <v>9667</v>
      </c>
      <c r="U560" t="s">
        <v>374</v>
      </c>
      <c r="V560">
        <v>4.8000000000000001E-2</v>
      </c>
      <c r="W560" t="s">
        <v>373</v>
      </c>
      <c r="X560" t="s">
        <v>373</v>
      </c>
      <c r="Y560">
        <v>416.84</v>
      </c>
      <c r="Z560">
        <v>418.64</v>
      </c>
      <c r="AB560">
        <v>1</v>
      </c>
      <c r="AC560">
        <v>178.57</v>
      </c>
      <c r="AD560">
        <v>185.98</v>
      </c>
      <c r="AF560">
        <v>1</v>
      </c>
      <c r="AJ560" t="s">
        <v>373</v>
      </c>
      <c r="AK560">
        <v>113.13</v>
      </c>
      <c r="AL560">
        <v>123.21</v>
      </c>
      <c r="AN560">
        <v>1</v>
      </c>
      <c r="AP560">
        <v>113.73</v>
      </c>
      <c r="AR560">
        <v>1</v>
      </c>
      <c r="AS560" t="s">
        <v>290</v>
      </c>
      <c r="AT560" t="str">
        <f t="shared" si="8"/>
        <v>Harrodsburg - 2187VI</v>
      </c>
    </row>
    <row r="561" spans="1:46" x14ac:dyDescent="0.25">
      <c r="A561" t="s">
        <v>316</v>
      </c>
      <c r="B561" t="s">
        <v>257</v>
      </c>
      <c r="C561" t="s">
        <v>128</v>
      </c>
      <c r="D561">
        <v>46054</v>
      </c>
      <c r="E561">
        <v>0.30399999999999999</v>
      </c>
      <c r="F561">
        <v>0.30399999999999999</v>
      </c>
      <c r="G561" t="s">
        <v>373</v>
      </c>
      <c r="H561" t="s">
        <v>373</v>
      </c>
      <c r="I561">
        <v>0.6</v>
      </c>
      <c r="J561">
        <v>0.6</v>
      </c>
      <c r="K561">
        <v>0</v>
      </c>
      <c r="L561">
        <v>0.6</v>
      </c>
      <c r="M561">
        <v>466</v>
      </c>
      <c r="N561">
        <v>466</v>
      </c>
      <c r="P561">
        <v>466</v>
      </c>
      <c r="Q561">
        <v>9667</v>
      </c>
      <c r="R561">
        <v>9667</v>
      </c>
      <c r="T561">
        <v>9667</v>
      </c>
      <c r="U561">
        <v>4.8000000000000001E-2</v>
      </c>
      <c r="V561">
        <v>4.8000000000000001E-2</v>
      </c>
      <c r="W561" t="s">
        <v>373</v>
      </c>
      <c r="X561" t="s">
        <v>373</v>
      </c>
      <c r="Y561">
        <v>420.43</v>
      </c>
      <c r="Z561">
        <v>418.64</v>
      </c>
      <c r="AB561">
        <v>1</v>
      </c>
      <c r="AC561">
        <v>193.39</v>
      </c>
      <c r="AD561">
        <v>185.98</v>
      </c>
      <c r="AF561">
        <v>1</v>
      </c>
      <c r="AJ561" t="s">
        <v>373</v>
      </c>
      <c r="AK561">
        <v>133.30000000000001</v>
      </c>
      <c r="AL561">
        <v>123.21</v>
      </c>
      <c r="AN561">
        <v>1</v>
      </c>
      <c r="AO561">
        <v>113.73</v>
      </c>
      <c r="AP561">
        <v>113.73</v>
      </c>
      <c r="AR561">
        <v>1</v>
      </c>
      <c r="AS561" t="s">
        <v>290</v>
      </c>
      <c r="AT561" t="str">
        <f t="shared" si="8"/>
        <v>Harrodsburg - 2187VI</v>
      </c>
    </row>
    <row r="562" spans="1:46" x14ac:dyDescent="0.25">
      <c r="A562" t="s">
        <v>316</v>
      </c>
      <c r="B562" t="s">
        <v>258</v>
      </c>
      <c r="C562" t="s">
        <v>219</v>
      </c>
      <c r="D562">
        <v>46023</v>
      </c>
      <c r="E562">
        <v>0.86399999999999999</v>
      </c>
      <c r="F562">
        <v>0.83099999999999996</v>
      </c>
      <c r="G562" t="s">
        <v>373</v>
      </c>
      <c r="H562" t="s">
        <v>373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51278</v>
      </c>
      <c r="R562">
        <v>99107</v>
      </c>
      <c r="T562">
        <v>99107</v>
      </c>
      <c r="U562">
        <v>0</v>
      </c>
      <c r="V562">
        <v>0</v>
      </c>
      <c r="W562" t="s">
        <v>373</v>
      </c>
      <c r="X562" t="s">
        <v>373</v>
      </c>
      <c r="Y562">
        <v>394.19</v>
      </c>
      <c r="Z562">
        <v>391.58</v>
      </c>
      <c r="AB562">
        <v>1</v>
      </c>
      <c r="AC562">
        <v>203.28</v>
      </c>
      <c r="AD562">
        <v>214.08</v>
      </c>
      <c r="AF562">
        <v>1</v>
      </c>
      <c r="AG562">
        <v>257.23</v>
      </c>
      <c r="AH562">
        <v>270.08999999999997</v>
      </c>
      <c r="AJ562">
        <v>1</v>
      </c>
      <c r="AN562" t="s">
        <v>373</v>
      </c>
      <c r="AO562">
        <v>100.74</v>
      </c>
      <c r="AP562">
        <v>106.91</v>
      </c>
      <c r="AR562">
        <v>1</v>
      </c>
      <c r="AS562" t="s">
        <v>290</v>
      </c>
      <c r="AT562" t="str">
        <f t="shared" si="8"/>
        <v>Shelbyville - 118VI</v>
      </c>
    </row>
    <row r="563" spans="1:46" x14ac:dyDescent="0.25">
      <c r="A563" t="s">
        <v>316</v>
      </c>
      <c r="B563" t="s">
        <v>258</v>
      </c>
      <c r="C563" t="s">
        <v>219</v>
      </c>
      <c r="D563">
        <v>46054</v>
      </c>
      <c r="E563">
        <v>0.79500000000000004</v>
      </c>
      <c r="F563">
        <v>0.83099999999999996</v>
      </c>
      <c r="G563" t="s">
        <v>373</v>
      </c>
      <c r="H563" t="s">
        <v>373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47829</v>
      </c>
      <c r="R563">
        <v>99107</v>
      </c>
      <c r="T563">
        <v>99107</v>
      </c>
      <c r="U563">
        <v>0</v>
      </c>
      <c r="V563">
        <v>0</v>
      </c>
      <c r="W563" t="s">
        <v>373</v>
      </c>
      <c r="X563" t="s">
        <v>373</v>
      </c>
      <c r="Y563">
        <v>388.98</v>
      </c>
      <c r="Z563">
        <v>391.58</v>
      </c>
      <c r="AB563">
        <v>1</v>
      </c>
      <c r="AC563">
        <v>224.87</v>
      </c>
      <c r="AD563">
        <v>214.08</v>
      </c>
      <c r="AF563">
        <v>1</v>
      </c>
      <c r="AG563">
        <v>282.95</v>
      </c>
      <c r="AH563">
        <v>270.08999999999997</v>
      </c>
      <c r="AJ563">
        <v>1</v>
      </c>
      <c r="AN563" t="s">
        <v>373</v>
      </c>
      <c r="AO563">
        <v>113.07</v>
      </c>
      <c r="AP563">
        <v>106.91</v>
      </c>
      <c r="AR563">
        <v>1</v>
      </c>
      <c r="AS563" t="s">
        <v>290</v>
      </c>
      <c r="AT563" t="str">
        <f t="shared" si="8"/>
        <v>Shelbyville - 118VI</v>
      </c>
    </row>
    <row r="564" spans="1:46" x14ac:dyDescent="0.25">
      <c r="A564" t="s">
        <v>316</v>
      </c>
      <c r="B564" t="s">
        <v>260</v>
      </c>
      <c r="C564" t="s">
        <v>96</v>
      </c>
      <c r="D564">
        <v>46023</v>
      </c>
      <c r="E564">
        <v>1</v>
      </c>
      <c r="F564">
        <v>1</v>
      </c>
      <c r="G564" t="s">
        <v>373</v>
      </c>
      <c r="H564" t="s">
        <v>373</v>
      </c>
      <c r="I564">
        <v>0</v>
      </c>
      <c r="J564">
        <v>0</v>
      </c>
      <c r="K564">
        <v>0</v>
      </c>
      <c r="L564">
        <v>0</v>
      </c>
      <c r="M564">
        <v>1500</v>
      </c>
      <c r="N564">
        <v>1500</v>
      </c>
      <c r="P564">
        <v>1500</v>
      </c>
      <c r="Q564">
        <v>92945</v>
      </c>
      <c r="R564">
        <v>187554</v>
      </c>
      <c r="T564">
        <v>187554</v>
      </c>
      <c r="U564">
        <v>1.6E-2</v>
      </c>
      <c r="V564">
        <v>8.0000000000000002E-3</v>
      </c>
      <c r="W564" t="s">
        <v>373</v>
      </c>
      <c r="X564" t="s">
        <v>373</v>
      </c>
      <c r="Y564">
        <v>454.6</v>
      </c>
      <c r="Z564">
        <v>452.87</v>
      </c>
      <c r="AB564">
        <v>1</v>
      </c>
      <c r="AC564">
        <v>236.3</v>
      </c>
      <c r="AD564">
        <v>247.55</v>
      </c>
      <c r="AF564">
        <v>1</v>
      </c>
      <c r="AG564">
        <v>291.17</v>
      </c>
      <c r="AH564">
        <v>306.83</v>
      </c>
      <c r="AJ564">
        <v>1</v>
      </c>
      <c r="AN564" t="s">
        <v>373</v>
      </c>
      <c r="AO564">
        <v>102.48</v>
      </c>
      <c r="AP564">
        <v>107.55</v>
      </c>
      <c r="AR564">
        <v>1</v>
      </c>
      <c r="AS564" t="s">
        <v>290</v>
      </c>
      <c r="AT564" t="str">
        <f t="shared" si="8"/>
        <v>Evansville NR - 2186VI</v>
      </c>
    </row>
    <row r="565" spans="1:46" x14ac:dyDescent="0.25">
      <c r="A565" t="s">
        <v>316</v>
      </c>
      <c r="B565" t="s">
        <v>260</v>
      </c>
      <c r="C565" t="s">
        <v>96</v>
      </c>
      <c r="D565">
        <v>46054</v>
      </c>
      <c r="E565">
        <v>1</v>
      </c>
      <c r="F565">
        <v>1</v>
      </c>
      <c r="G565" t="s">
        <v>373</v>
      </c>
      <c r="H565" t="s">
        <v>373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1500</v>
      </c>
      <c r="P565">
        <v>1500</v>
      </c>
      <c r="Q565">
        <v>94609</v>
      </c>
      <c r="R565">
        <v>187554</v>
      </c>
      <c r="T565">
        <v>187554</v>
      </c>
      <c r="U565">
        <v>0</v>
      </c>
      <c r="V565">
        <v>8.0000000000000002E-3</v>
      </c>
      <c r="W565" t="s">
        <v>373</v>
      </c>
      <c r="X565" t="s">
        <v>373</v>
      </c>
      <c r="Y565">
        <v>451.14</v>
      </c>
      <c r="Z565">
        <v>452.87</v>
      </c>
      <c r="AB565">
        <v>1</v>
      </c>
      <c r="AC565">
        <v>258.8</v>
      </c>
      <c r="AD565">
        <v>247.55</v>
      </c>
      <c r="AF565">
        <v>1</v>
      </c>
      <c r="AG565">
        <v>322.49</v>
      </c>
      <c r="AH565">
        <v>306.83</v>
      </c>
      <c r="AJ565">
        <v>1</v>
      </c>
      <c r="AN565" t="s">
        <v>373</v>
      </c>
      <c r="AO565">
        <v>112.63</v>
      </c>
      <c r="AP565">
        <v>107.55</v>
      </c>
      <c r="AR565">
        <v>1</v>
      </c>
      <c r="AS565" t="s">
        <v>290</v>
      </c>
      <c r="AT565" t="str">
        <f t="shared" si="8"/>
        <v>Evansville NR - 2186VI</v>
      </c>
    </row>
    <row r="566" spans="1:46" x14ac:dyDescent="0.25">
      <c r="A566" t="s">
        <v>316</v>
      </c>
      <c r="B566" t="s">
        <v>260</v>
      </c>
      <c r="C566" t="s">
        <v>135</v>
      </c>
      <c r="D566">
        <v>46023</v>
      </c>
      <c r="E566">
        <v>0.995</v>
      </c>
      <c r="F566">
        <v>0.95799999999999996</v>
      </c>
      <c r="G566" t="s">
        <v>373</v>
      </c>
      <c r="H566" t="s">
        <v>373</v>
      </c>
      <c r="I566">
        <v>1</v>
      </c>
      <c r="J566">
        <v>1</v>
      </c>
      <c r="K566">
        <v>0</v>
      </c>
      <c r="L566">
        <v>1</v>
      </c>
      <c r="M566">
        <v>62</v>
      </c>
      <c r="N566">
        <v>125</v>
      </c>
      <c r="P566">
        <v>125</v>
      </c>
      <c r="Q566">
        <v>63240</v>
      </c>
      <c r="R566">
        <v>124341</v>
      </c>
      <c r="T566">
        <v>124341</v>
      </c>
      <c r="U566">
        <v>1E-3</v>
      </c>
      <c r="V566">
        <v>1E-3</v>
      </c>
      <c r="W566" t="s">
        <v>373</v>
      </c>
      <c r="X566" t="s">
        <v>373</v>
      </c>
      <c r="Y566">
        <v>440.95</v>
      </c>
      <c r="Z566">
        <v>444.74</v>
      </c>
      <c r="AB566">
        <v>1</v>
      </c>
      <c r="AC566">
        <v>210.09</v>
      </c>
      <c r="AD566">
        <v>221.2</v>
      </c>
      <c r="AF566">
        <v>1</v>
      </c>
      <c r="AJ566" t="s">
        <v>373</v>
      </c>
      <c r="AN566" t="s">
        <v>373</v>
      </c>
      <c r="AO566">
        <v>85.46</v>
      </c>
      <c r="AP566">
        <v>90.17</v>
      </c>
      <c r="AR566">
        <v>1</v>
      </c>
      <c r="AS566" t="s">
        <v>290</v>
      </c>
      <c r="AT566" t="str">
        <f t="shared" si="8"/>
        <v>Jasper - 108VI</v>
      </c>
    </row>
    <row r="567" spans="1:46" x14ac:dyDescent="0.25">
      <c r="A567" t="s">
        <v>316</v>
      </c>
      <c r="B567" t="s">
        <v>260</v>
      </c>
      <c r="C567" t="s">
        <v>135</v>
      </c>
      <c r="D567">
        <v>46054</v>
      </c>
      <c r="E567">
        <v>0.92</v>
      </c>
      <c r="F567">
        <v>0.95799999999999996</v>
      </c>
      <c r="G567" t="s">
        <v>373</v>
      </c>
      <c r="H567" t="s">
        <v>373</v>
      </c>
      <c r="I567">
        <v>0</v>
      </c>
      <c r="J567">
        <v>1</v>
      </c>
      <c r="K567">
        <v>0</v>
      </c>
      <c r="L567">
        <v>1</v>
      </c>
      <c r="M567">
        <v>63</v>
      </c>
      <c r="N567">
        <v>125</v>
      </c>
      <c r="P567">
        <v>125</v>
      </c>
      <c r="Q567">
        <v>61100</v>
      </c>
      <c r="R567">
        <v>124341</v>
      </c>
      <c r="T567">
        <v>124341</v>
      </c>
      <c r="U567">
        <v>1E-3</v>
      </c>
      <c r="V567">
        <v>1E-3</v>
      </c>
      <c r="W567" t="s">
        <v>373</v>
      </c>
      <c r="X567" t="s">
        <v>373</v>
      </c>
      <c r="Y567">
        <v>448.52</v>
      </c>
      <c r="Z567">
        <v>444.74</v>
      </c>
      <c r="AB567">
        <v>1</v>
      </c>
      <c r="AC567">
        <v>232.32</v>
      </c>
      <c r="AD567">
        <v>221.2</v>
      </c>
      <c r="AF567">
        <v>1</v>
      </c>
      <c r="AJ567" t="s">
        <v>373</v>
      </c>
      <c r="AN567" t="s">
        <v>373</v>
      </c>
      <c r="AO567">
        <v>94.88</v>
      </c>
      <c r="AP567">
        <v>90.17</v>
      </c>
      <c r="AR567">
        <v>1</v>
      </c>
      <c r="AS567" t="s">
        <v>290</v>
      </c>
      <c r="AT567" t="str">
        <f t="shared" si="8"/>
        <v>Jasper - 108VI</v>
      </c>
    </row>
    <row r="568" spans="1:46" x14ac:dyDescent="0.25">
      <c r="A568" t="s">
        <v>316</v>
      </c>
      <c r="B568" t="s">
        <v>260</v>
      </c>
      <c r="C568" t="s">
        <v>228</v>
      </c>
      <c r="D568">
        <v>46023</v>
      </c>
      <c r="E568">
        <v>0.94599999999999995</v>
      </c>
      <c r="F568">
        <v>0.93400000000000005</v>
      </c>
      <c r="G568" t="s">
        <v>373</v>
      </c>
      <c r="H568" t="s">
        <v>373</v>
      </c>
      <c r="I568">
        <v>0</v>
      </c>
      <c r="J568">
        <v>0</v>
      </c>
      <c r="K568">
        <v>0</v>
      </c>
      <c r="L568">
        <v>0</v>
      </c>
      <c r="M568">
        <v>3361</v>
      </c>
      <c r="N568">
        <v>3722</v>
      </c>
      <c r="P568">
        <v>3722</v>
      </c>
      <c r="Q568">
        <v>37162</v>
      </c>
      <c r="R568">
        <v>80322</v>
      </c>
      <c r="T568">
        <v>80322</v>
      </c>
      <c r="U568">
        <v>0.09</v>
      </c>
      <c r="V568">
        <v>4.5999999999999999E-2</v>
      </c>
      <c r="W568" t="s">
        <v>373</v>
      </c>
      <c r="X568" t="s">
        <v>373</v>
      </c>
      <c r="Y568">
        <v>380.79</v>
      </c>
      <c r="Z568">
        <v>389.77</v>
      </c>
      <c r="AB568">
        <v>1</v>
      </c>
      <c r="AC568">
        <v>211.5</v>
      </c>
      <c r="AD568">
        <v>220.46</v>
      </c>
      <c r="AF568">
        <v>1</v>
      </c>
      <c r="AJ568" t="s">
        <v>373</v>
      </c>
      <c r="AN568" t="s">
        <v>373</v>
      </c>
      <c r="AO568">
        <v>74.77</v>
      </c>
      <c r="AP568">
        <v>83.79</v>
      </c>
      <c r="AR568">
        <v>1</v>
      </c>
      <c r="AS568" t="s">
        <v>290</v>
      </c>
      <c r="AT568" t="str">
        <f t="shared" si="8"/>
        <v>Tell City - 103VI</v>
      </c>
    </row>
    <row r="569" spans="1:46" x14ac:dyDescent="0.25">
      <c r="A569" t="s">
        <v>316</v>
      </c>
      <c r="B569" t="s">
        <v>260</v>
      </c>
      <c r="C569" t="s">
        <v>228</v>
      </c>
      <c r="D569">
        <v>46054</v>
      </c>
      <c r="E569">
        <v>0.92100000000000004</v>
      </c>
      <c r="F569">
        <v>0.93400000000000005</v>
      </c>
      <c r="G569" t="s">
        <v>373</v>
      </c>
      <c r="H569" t="s">
        <v>373</v>
      </c>
      <c r="I569">
        <v>0</v>
      </c>
      <c r="J569">
        <v>0</v>
      </c>
      <c r="K569">
        <v>0</v>
      </c>
      <c r="L569">
        <v>0</v>
      </c>
      <c r="M569">
        <v>361</v>
      </c>
      <c r="N569">
        <v>3722</v>
      </c>
      <c r="P569">
        <v>3722</v>
      </c>
      <c r="Q569">
        <v>43160</v>
      </c>
      <c r="R569">
        <v>80322</v>
      </c>
      <c r="T569">
        <v>80322</v>
      </c>
      <c r="U569">
        <v>8.0000000000000002E-3</v>
      </c>
      <c r="V569">
        <v>4.5999999999999999E-2</v>
      </c>
      <c r="W569" t="s">
        <v>373</v>
      </c>
      <c r="X569" t="s">
        <v>373</v>
      </c>
      <c r="Y569">
        <v>398.76</v>
      </c>
      <c r="Z569">
        <v>389.77</v>
      </c>
      <c r="AB569">
        <v>1</v>
      </c>
      <c r="AC569">
        <v>229.42</v>
      </c>
      <c r="AD569">
        <v>220.46</v>
      </c>
      <c r="AF569">
        <v>1</v>
      </c>
      <c r="AJ569" t="s">
        <v>373</v>
      </c>
      <c r="AN569" t="s">
        <v>373</v>
      </c>
      <c r="AO569">
        <v>92.82</v>
      </c>
      <c r="AP569">
        <v>83.79</v>
      </c>
      <c r="AR569">
        <v>1</v>
      </c>
      <c r="AS569" t="s">
        <v>290</v>
      </c>
      <c r="AT569" t="str">
        <f t="shared" si="8"/>
        <v>Tell City - 103VI</v>
      </c>
    </row>
    <row r="570" spans="1:46" x14ac:dyDescent="0.25">
      <c r="A570" t="s">
        <v>316</v>
      </c>
      <c r="B570" t="s">
        <v>260</v>
      </c>
      <c r="C570" t="s">
        <v>229</v>
      </c>
      <c r="D570">
        <v>46023</v>
      </c>
      <c r="E570">
        <v>0.86799999999999999</v>
      </c>
      <c r="F570">
        <v>0.871</v>
      </c>
      <c r="G570" t="s">
        <v>373</v>
      </c>
      <c r="H570" t="s">
        <v>373</v>
      </c>
      <c r="I570">
        <v>0</v>
      </c>
      <c r="J570">
        <v>0</v>
      </c>
      <c r="K570">
        <v>0</v>
      </c>
      <c r="L570">
        <v>0</v>
      </c>
      <c r="M570">
        <v>1000</v>
      </c>
      <c r="N570">
        <v>1000</v>
      </c>
      <c r="P570">
        <v>1000</v>
      </c>
      <c r="Q570">
        <v>62040</v>
      </c>
      <c r="R570">
        <v>125564</v>
      </c>
      <c r="T570">
        <v>125564</v>
      </c>
      <c r="U570">
        <v>1.6E-2</v>
      </c>
      <c r="V570">
        <v>8.0000000000000002E-3</v>
      </c>
      <c r="W570" t="s">
        <v>373</v>
      </c>
      <c r="X570" t="s">
        <v>373</v>
      </c>
      <c r="Y570">
        <v>371.98</v>
      </c>
      <c r="Z570">
        <v>396.56</v>
      </c>
      <c r="AB570">
        <v>1</v>
      </c>
      <c r="AC570">
        <v>176.21</v>
      </c>
      <c r="AD570">
        <v>185.79</v>
      </c>
      <c r="AF570">
        <v>1</v>
      </c>
      <c r="AG570">
        <v>277.52</v>
      </c>
      <c r="AH570">
        <v>292.39</v>
      </c>
      <c r="AJ570">
        <v>1</v>
      </c>
      <c r="AN570" t="s">
        <v>373</v>
      </c>
      <c r="AO570">
        <v>96.04</v>
      </c>
      <c r="AP570">
        <v>102.04</v>
      </c>
      <c r="AR570">
        <v>1</v>
      </c>
      <c r="AS570" t="s">
        <v>290</v>
      </c>
      <c r="AT570" t="str">
        <f t="shared" si="8"/>
        <v>Terre Haute CC - 129VI</v>
      </c>
    </row>
    <row r="571" spans="1:46" x14ac:dyDescent="0.25">
      <c r="A571" t="s">
        <v>316</v>
      </c>
      <c r="B571" t="s">
        <v>260</v>
      </c>
      <c r="C571" t="s">
        <v>229</v>
      </c>
      <c r="D571">
        <v>46054</v>
      </c>
      <c r="E571">
        <v>0.875</v>
      </c>
      <c r="F571">
        <v>0.871</v>
      </c>
      <c r="G571" t="s">
        <v>373</v>
      </c>
      <c r="H571" t="s">
        <v>373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1000</v>
      </c>
      <c r="P571">
        <v>1000</v>
      </c>
      <c r="Q571">
        <v>63524</v>
      </c>
      <c r="R571">
        <v>125564</v>
      </c>
      <c r="T571">
        <v>125564</v>
      </c>
      <c r="U571">
        <v>0</v>
      </c>
      <c r="V571">
        <v>8.0000000000000002E-3</v>
      </c>
      <c r="W571" t="s">
        <v>373</v>
      </c>
      <c r="X571" t="s">
        <v>373</v>
      </c>
      <c r="Y571">
        <v>421.15</v>
      </c>
      <c r="Z571">
        <v>396.56</v>
      </c>
      <c r="AB571">
        <v>1</v>
      </c>
      <c r="AC571">
        <v>195.37</v>
      </c>
      <c r="AD571">
        <v>185.79</v>
      </c>
      <c r="AF571">
        <v>1</v>
      </c>
      <c r="AG571">
        <v>307.26</v>
      </c>
      <c r="AH571">
        <v>292.39</v>
      </c>
      <c r="AJ571">
        <v>1</v>
      </c>
      <c r="AN571" t="s">
        <v>373</v>
      </c>
      <c r="AO571">
        <v>108.03</v>
      </c>
      <c r="AP571">
        <v>102.04</v>
      </c>
      <c r="AR571">
        <v>1</v>
      </c>
      <c r="AS571" t="s">
        <v>290</v>
      </c>
      <c r="AT571" t="str">
        <f t="shared" si="8"/>
        <v>Terre Haute CC - 129VI</v>
      </c>
    </row>
    <row r="572" spans="1:46" x14ac:dyDescent="0.25">
      <c r="A572" t="s">
        <v>316</v>
      </c>
      <c r="B572" t="s">
        <v>260</v>
      </c>
      <c r="C572" t="s">
        <v>242</v>
      </c>
      <c r="D572">
        <v>46023</v>
      </c>
      <c r="E572">
        <v>1</v>
      </c>
      <c r="F572">
        <v>1</v>
      </c>
      <c r="G572" t="s">
        <v>373</v>
      </c>
      <c r="H572" t="s">
        <v>373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79970</v>
      </c>
      <c r="R572">
        <v>159941</v>
      </c>
      <c r="T572">
        <v>159941</v>
      </c>
      <c r="U572">
        <v>0</v>
      </c>
      <c r="V572">
        <v>0</v>
      </c>
      <c r="W572" t="s">
        <v>373</v>
      </c>
      <c r="X572" t="s">
        <v>373</v>
      </c>
      <c r="Y572">
        <v>360.78</v>
      </c>
      <c r="Z572">
        <v>382.35</v>
      </c>
      <c r="AB572">
        <v>1</v>
      </c>
      <c r="AC572">
        <v>176.84</v>
      </c>
      <c r="AD572">
        <v>183.11</v>
      </c>
      <c r="AF572">
        <v>1</v>
      </c>
      <c r="AG572">
        <v>202.92</v>
      </c>
      <c r="AH572">
        <v>214.2</v>
      </c>
      <c r="AJ572">
        <v>1</v>
      </c>
      <c r="AN572" t="s">
        <v>373</v>
      </c>
      <c r="AO572">
        <v>85.99</v>
      </c>
      <c r="AP572">
        <v>90.6</v>
      </c>
      <c r="AR572">
        <v>1</v>
      </c>
      <c r="AS572" t="s">
        <v>290</v>
      </c>
      <c r="AT572" t="str">
        <f t="shared" si="8"/>
        <v>Washington - 305VI</v>
      </c>
    </row>
    <row r="573" spans="1:46" x14ac:dyDescent="0.25">
      <c r="A573" t="s">
        <v>316</v>
      </c>
      <c r="B573" t="s">
        <v>260</v>
      </c>
      <c r="C573" t="s">
        <v>242</v>
      </c>
      <c r="D573">
        <v>46054</v>
      </c>
      <c r="E573">
        <v>1</v>
      </c>
      <c r="F573">
        <v>1</v>
      </c>
      <c r="G573" t="s">
        <v>373</v>
      </c>
      <c r="H573" t="s">
        <v>373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79971</v>
      </c>
      <c r="R573">
        <v>159941</v>
      </c>
      <c r="T573">
        <v>159941</v>
      </c>
      <c r="U573">
        <v>0</v>
      </c>
      <c r="V573">
        <v>0</v>
      </c>
      <c r="W573" t="s">
        <v>373</v>
      </c>
      <c r="X573" t="s">
        <v>373</v>
      </c>
      <c r="Y573">
        <v>403.92</v>
      </c>
      <c r="Z573">
        <v>382.35</v>
      </c>
      <c r="AB573">
        <v>1</v>
      </c>
      <c r="AC573">
        <v>189.37</v>
      </c>
      <c r="AD573">
        <v>183.11</v>
      </c>
      <c r="AF573">
        <v>1</v>
      </c>
      <c r="AG573">
        <v>225.47</v>
      </c>
      <c r="AH573">
        <v>214.2</v>
      </c>
      <c r="AJ573">
        <v>1</v>
      </c>
      <c r="AN573" t="s">
        <v>373</v>
      </c>
      <c r="AO573">
        <v>95.2</v>
      </c>
      <c r="AP573">
        <v>90.6</v>
      </c>
      <c r="AR573">
        <v>1</v>
      </c>
      <c r="AS573" t="s">
        <v>290</v>
      </c>
      <c r="AT573" t="str">
        <f t="shared" si="8"/>
        <v>Washington - 305VI</v>
      </c>
    </row>
    <row r="574" spans="1:46" x14ac:dyDescent="0.25">
      <c r="A574" t="s">
        <v>316</v>
      </c>
      <c r="B574" t="s">
        <v>261</v>
      </c>
      <c r="C574" t="s">
        <v>66</v>
      </c>
      <c r="D574">
        <v>46023</v>
      </c>
      <c r="E574">
        <v>0.85699999999999998</v>
      </c>
      <c r="F574">
        <v>0.85699999999999998</v>
      </c>
      <c r="G574" t="s">
        <v>373</v>
      </c>
      <c r="H574" t="s">
        <v>373</v>
      </c>
      <c r="I574">
        <v>0</v>
      </c>
      <c r="J574">
        <v>0</v>
      </c>
      <c r="K574">
        <v>0</v>
      </c>
      <c r="L574">
        <v>0</v>
      </c>
      <c r="M574">
        <v>366</v>
      </c>
      <c r="N574">
        <v>732</v>
      </c>
      <c r="P574">
        <v>732</v>
      </c>
      <c r="Q574">
        <v>79747</v>
      </c>
      <c r="R574">
        <v>159494</v>
      </c>
      <c r="T574">
        <v>159494</v>
      </c>
      <c r="U574">
        <v>5.0000000000000001E-3</v>
      </c>
      <c r="V574">
        <v>5.0000000000000001E-3</v>
      </c>
      <c r="W574" t="s">
        <v>373</v>
      </c>
      <c r="X574" t="s">
        <v>373</v>
      </c>
      <c r="Y574">
        <v>480.86</v>
      </c>
      <c r="Z574">
        <v>489.31</v>
      </c>
      <c r="AB574">
        <v>1</v>
      </c>
      <c r="AC574">
        <v>203.25</v>
      </c>
      <c r="AD574">
        <v>212.75</v>
      </c>
      <c r="AF574">
        <v>1</v>
      </c>
      <c r="AG574">
        <v>260.57</v>
      </c>
      <c r="AH574">
        <v>273.7</v>
      </c>
      <c r="AJ574">
        <v>1</v>
      </c>
      <c r="AN574" t="s">
        <v>373</v>
      </c>
      <c r="AO574">
        <v>107.19</v>
      </c>
      <c r="AP574">
        <v>112.93</v>
      </c>
      <c r="AR574">
        <v>1</v>
      </c>
      <c r="AS574" t="s">
        <v>290</v>
      </c>
      <c r="AT574" t="str">
        <f t="shared" si="8"/>
        <v>Colerain - 412VI</v>
      </c>
    </row>
    <row r="575" spans="1:46" x14ac:dyDescent="0.25">
      <c r="A575" t="s">
        <v>316</v>
      </c>
      <c r="B575" t="s">
        <v>261</v>
      </c>
      <c r="C575" t="s">
        <v>66</v>
      </c>
      <c r="D575">
        <v>46054</v>
      </c>
      <c r="E575">
        <v>0.85699999999999998</v>
      </c>
      <c r="F575">
        <v>0.85699999999999998</v>
      </c>
      <c r="G575" t="s">
        <v>373</v>
      </c>
      <c r="H575" t="s">
        <v>373</v>
      </c>
      <c r="I575">
        <v>0</v>
      </c>
      <c r="J575">
        <v>0</v>
      </c>
      <c r="K575">
        <v>0</v>
      </c>
      <c r="L575">
        <v>0</v>
      </c>
      <c r="M575">
        <v>366</v>
      </c>
      <c r="N575">
        <v>732</v>
      </c>
      <c r="P575">
        <v>732</v>
      </c>
      <c r="Q575">
        <v>79747</v>
      </c>
      <c r="R575">
        <v>159494</v>
      </c>
      <c r="T575">
        <v>159494</v>
      </c>
      <c r="U575">
        <v>5.0000000000000001E-3</v>
      </c>
      <c r="V575">
        <v>5.0000000000000001E-3</v>
      </c>
      <c r="W575" t="s">
        <v>373</v>
      </c>
      <c r="X575" t="s">
        <v>373</v>
      </c>
      <c r="Y575">
        <v>497.77</v>
      </c>
      <c r="Z575">
        <v>489.31</v>
      </c>
      <c r="AB575">
        <v>1</v>
      </c>
      <c r="AC575">
        <v>222.25</v>
      </c>
      <c r="AD575">
        <v>212.75</v>
      </c>
      <c r="AF575">
        <v>1</v>
      </c>
      <c r="AG575">
        <v>286.83999999999997</v>
      </c>
      <c r="AH575">
        <v>273.7</v>
      </c>
      <c r="AJ575">
        <v>1</v>
      </c>
      <c r="AN575" t="s">
        <v>373</v>
      </c>
      <c r="AO575">
        <v>118.67</v>
      </c>
      <c r="AP575">
        <v>112.93</v>
      </c>
      <c r="AR575">
        <v>1</v>
      </c>
      <c r="AS575" t="s">
        <v>290</v>
      </c>
      <c r="AT575" t="str">
        <f t="shared" si="8"/>
        <v>Colerain - 412VI</v>
      </c>
    </row>
    <row r="576" spans="1:46" x14ac:dyDescent="0.25">
      <c r="A576" t="s">
        <v>316</v>
      </c>
      <c r="B576" t="s">
        <v>261</v>
      </c>
      <c r="C576" t="s">
        <v>94</v>
      </c>
      <c r="D576">
        <v>46023</v>
      </c>
      <c r="E576">
        <v>1</v>
      </c>
      <c r="F576">
        <v>0.998</v>
      </c>
      <c r="G576" t="s">
        <v>373</v>
      </c>
      <c r="H576" t="s">
        <v>373</v>
      </c>
      <c r="I576">
        <v>0</v>
      </c>
      <c r="J576">
        <v>0</v>
      </c>
      <c r="K576">
        <v>0</v>
      </c>
      <c r="L576">
        <v>0</v>
      </c>
      <c r="M576">
        <v>614</v>
      </c>
      <c r="N576">
        <v>1228</v>
      </c>
      <c r="P576">
        <v>1228</v>
      </c>
      <c r="Q576">
        <v>94819</v>
      </c>
      <c r="R576">
        <v>189270</v>
      </c>
      <c r="T576">
        <v>189270</v>
      </c>
      <c r="U576">
        <v>6.0000000000000001E-3</v>
      </c>
      <c r="V576">
        <v>6.0000000000000001E-3</v>
      </c>
      <c r="W576" t="s">
        <v>373</v>
      </c>
      <c r="X576" t="s">
        <v>373</v>
      </c>
      <c r="Y576">
        <v>491.86</v>
      </c>
      <c r="Z576">
        <v>488.89</v>
      </c>
      <c r="AB576">
        <v>1</v>
      </c>
      <c r="AC576">
        <v>215.45</v>
      </c>
      <c r="AD576">
        <v>226.98</v>
      </c>
      <c r="AF576">
        <v>1</v>
      </c>
      <c r="AG576">
        <v>278.27999999999997</v>
      </c>
      <c r="AH576">
        <v>291.99</v>
      </c>
      <c r="AJ576">
        <v>1</v>
      </c>
      <c r="AN576" t="s">
        <v>373</v>
      </c>
      <c r="AO576">
        <v>101.96</v>
      </c>
      <c r="AP576">
        <v>107.4</v>
      </c>
      <c r="AR576">
        <v>1</v>
      </c>
      <c r="AS576" t="s">
        <v>290</v>
      </c>
      <c r="AT576" t="str">
        <f t="shared" si="8"/>
        <v>Englewood - 416VI</v>
      </c>
    </row>
    <row r="577" spans="1:46" x14ac:dyDescent="0.25">
      <c r="A577" t="s">
        <v>316</v>
      </c>
      <c r="B577" t="s">
        <v>261</v>
      </c>
      <c r="C577" t="s">
        <v>94</v>
      </c>
      <c r="D577">
        <v>46054</v>
      </c>
      <c r="E577">
        <v>0.996</v>
      </c>
      <c r="F577">
        <v>0.998</v>
      </c>
      <c r="G577" t="s">
        <v>373</v>
      </c>
      <c r="H577" t="s">
        <v>373</v>
      </c>
      <c r="I577">
        <v>0</v>
      </c>
      <c r="J577">
        <v>0</v>
      </c>
      <c r="K577">
        <v>0</v>
      </c>
      <c r="L577">
        <v>0</v>
      </c>
      <c r="M577">
        <v>614</v>
      </c>
      <c r="N577">
        <v>1228</v>
      </c>
      <c r="P577">
        <v>1228</v>
      </c>
      <c r="Q577">
        <v>94451</v>
      </c>
      <c r="R577">
        <v>189270</v>
      </c>
      <c r="T577">
        <v>189270</v>
      </c>
      <c r="U577">
        <v>7.0000000000000001E-3</v>
      </c>
      <c r="V577">
        <v>6.0000000000000001E-3</v>
      </c>
      <c r="W577" t="s">
        <v>373</v>
      </c>
      <c r="X577" t="s">
        <v>373</v>
      </c>
      <c r="Y577">
        <v>485.92</v>
      </c>
      <c r="Z577">
        <v>488.89</v>
      </c>
      <c r="AB577">
        <v>1</v>
      </c>
      <c r="AC577">
        <v>238.52</v>
      </c>
      <c r="AD577">
        <v>226.98</v>
      </c>
      <c r="AF577">
        <v>1</v>
      </c>
      <c r="AG577">
        <v>305.69</v>
      </c>
      <c r="AH577">
        <v>291.99</v>
      </c>
      <c r="AJ577">
        <v>1</v>
      </c>
      <c r="AN577" t="s">
        <v>373</v>
      </c>
      <c r="AO577">
        <v>112.85</v>
      </c>
      <c r="AP577">
        <v>107.4</v>
      </c>
      <c r="AR577">
        <v>1</v>
      </c>
      <c r="AS577" t="s">
        <v>290</v>
      </c>
      <c r="AT577" t="str">
        <f t="shared" si="8"/>
        <v>Englewood - 416VI</v>
      </c>
    </row>
    <row r="578" spans="1:46" x14ac:dyDescent="0.25">
      <c r="A578" t="s">
        <v>328</v>
      </c>
      <c r="B578" t="s">
        <v>329</v>
      </c>
      <c r="C578" t="s">
        <v>330</v>
      </c>
      <c r="D578" t="s">
        <v>331</v>
      </c>
      <c r="E578" t="s">
        <v>332</v>
      </c>
      <c r="F578" t="s">
        <v>333</v>
      </c>
      <c r="G578" t="s">
        <v>334</v>
      </c>
      <c r="H578" t="s">
        <v>335</v>
      </c>
      <c r="I578" t="s">
        <v>336</v>
      </c>
      <c r="J578" t="s">
        <v>337</v>
      </c>
      <c r="K578" t="s">
        <v>338</v>
      </c>
      <c r="L578" t="s">
        <v>339</v>
      </c>
      <c r="M578" t="s">
        <v>340</v>
      </c>
      <c r="N578" t="s">
        <v>341</v>
      </c>
      <c r="O578" t="s">
        <v>342</v>
      </c>
      <c r="P578" t="s">
        <v>343</v>
      </c>
      <c r="Q578" t="s">
        <v>344</v>
      </c>
      <c r="R578" t="s">
        <v>345</v>
      </c>
      <c r="S578" t="s">
        <v>346</v>
      </c>
      <c r="T578" t="s">
        <v>347</v>
      </c>
      <c r="U578" t="s">
        <v>348</v>
      </c>
      <c r="V578" t="s">
        <v>349</v>
      </c>
      <c r="W578" t="s">
        <v>350</v>
      </c>
      <c r="X578" t="s">
        <v>351</v>
      </c>
      <c r="Y578" t="s">
        <v>352</v>
      </c>
      <c r="Z578" t="s">
        <v>353</v>
      </c>
      <c r="AA578" t="s">
        <v>354</v>
      </c>
      <c r="AB578" t="s">
        <v>355</v>
      </c>
      <c r="AC578" t="s">
        <v>356</v>
      </c>
      <c r="AD578" t="s">
        <v>357</v>
      </c>
      <c r="AE578" t="s">
        <v>358</v>
      </c>
      <c r="AF578" t="s">
        <v>359</v>
      </c>
      <c r="AG578" t="s">
        <v>360</v>
      </c>
      <c r="AH578" t="s">
        <v>361</v>
      </c>
      <c r="AI578" t="s">
        <v>362</v>
      </c>
      <c r="AJ578" t="s">
        <v>363</v>
      </c>
      <c r="AK578" t="s">
        <v>364</v>
      </c>
      <c r="AL578" t="s">
        <v>365</v>
      </c>
      <c r="AM578" t="s">
        <v>366</v>
      </c>
      <c r="AN578" t="s">
        <v>367</v>
      </c>
      <c r="AO578" t="s">
        <v>368</v>
      </c>
      <c r="AP578" t="s">
        <v>369</v>
      </c>
      <c r="AQ578" t="s">
        <v>370</v>
      </c>
      <c r="AR578" t="s">
        <v>371</v>
      </c>
      <c r="AS578" t="s">
        <v>46</v>
      </c>
      <c r="AT578" t="str">
        <f t="shared" si="8"/>
        <v>locationSL</v>
      </c>
    </row>
    <row r="579" spans="1:46" x14ac:dyDescent="0.25">
      <c r="A579" t="s">
        <v>316</v>
      </c>
      <c r="B579" t="s">
        <v>251</v>
      </c>
      <c r="C579" t="s">
        <v>200</v>
      </c>
      <c r="D579" s="50">
        <v>46023</v>
      </c>
      <c r="E579" s="2">
        <v>0.91</v>
      </c>
      <c r="F579" s="2">
        <v>0.90900000000000003</v>
      </c>
      <c r="G579" t="s">
        <v>373</v>
      </c>
      <c r="H579" t="s">
        <v>373</v>
      </c>
      <c r="I579" s="2">
        <v>0.5</v>
      </c>
      <c r="J579" s="2">
        <v>0.5</v>
      </c>
      <c r="K579" s="2">
        <v>0</v>
      </c>
      <c r="L579" s="2">
        <v>0.5</v>
      </c>
      <c r="M579" s="51">
        <v>300</v>
      </c>
      <c r="N579" s="51">
        <v>869</v>
      </c>
      <c r="P579" s="51">
        <v>869</v>
      </c>
      <c r="Q579" s="51">
        <v>164882</v>
      </c>
      <c r="R579" s="51">
        <v>325517</v>
      </c>
      <c r="T579" s="51">
        <v>325517</v>
      </c>
      <c r="U579" s="2">
        <v>2E-3</v>
      </c>
      <c r="V579" s="2">
        <v>3.0000000000000001E-3</v>
      </c>
      <c r="W579" t="s">
        <v>373</v>
      </c>
      <c r="X579" t="s">
        <v>373</v>
      </c>
      <c r="AB579" t="s">
        <v>373</v>
      </c>
      <c r="AF579" t="s">
        <v>373</v>
      </c>
      <c r="AJ579" t="s">
        <v>373</v>
      </c>
      <c r="AK579">
        <v>99.09</v>
      </c>
      <c r="AL579">
        <v>103.12</v>
      </c>
      <c r="AN579" s="2">
        <v>1</v>
      </c>
      <c r="AR579" t="s">
        <v>373</v>
      </c>
      <c r="AS579" t="s">
        <v>46</v>
      </c>
      <c r="AT579" t="str">
        <f t="shared" ref="AT579:AT638" si="9">C579&amp;AS579</f>
        <v>New Castle SL - 2152SL</v>
      </c>
    </row>
    <row r="580" spans="1:46" x14ac:dyDescent="0.25">
      <c r="A580" t="s">
        <v>316</v>
      </c>
      <c r="B580" t="s">
        <v>251</v>
      </c>
      <c r="C580" t="s">
        <v>200</v>
      </c>
      <c r="D580" s="50">
        <v>46054</v>
      </c>
      <c r="E580" s="2">
        <v>0.90700000000000003</v>
      </c>
      <c r="F580" s="2">
        <v>0.90900000000000003</v>
      </c>
      <c r="G580" t="s">
        <v>373</v>
      </c>
      <c r="H580" t="s">
        <v>373</v>
      </c>
      <c r="I580" s="2">
        <v>0</v>
      </c>
      <c r="J580" s="2">
        <v>0.5</v>
      </c>
      <c r="K580" s="2">
        <v>0</v>
      </c>
      <c r="L580" s="2">
        <v>0.5</v>
      </c>
      <c r="M580" s="51">
        <v>569</v>
      </c>
      <c r="N580" s="51">
        <v>869</v>
      </c>
      <c r="P580" s="51">
        <v>869</v>
      </c>
      <c r="Q580" s="51">
        <v>160635</v>
      </c>
      <c r="R580" s="51">
        <v>325517</v>
      </c>
      <c r="T580" s="51">
        <v>325517</v>
      </c>
      <c r="U580" s="2">
        <v>4.0000000000000001E-3</v>
      </c>
      <c r="V580" s="2">
        <v>3.0000000000000001E-3</v>
      </c>
      <c r="W580" t="s">
        <v>373</v>
      </c>
      <c r="X580" t="s">
        <v>373</v>
      </c>
      <c r="AB580" t="s">
        <v>373</v>
      </c>
      <c r="AF580" t="s">
        <v>373</v>
      </c>
      <c r="AJ580" t="s">
        <v>373</v>
      </c>
      <c r="AK580">
        <v>107.16</v>
      </c>
      <c r="AL580">
        <v>103.12</v>
      </c>
      <c r="AN580" s="2">
        <v>1</v>
      </c>
      <c r="AR580" t="s">
        <v>373</v>
      </c>
      <c r="AS580" t="s">
        <v>46</v>
      </c>
      <c r="AT580" t="str">
        <f t="shared" si="9"/>
        <v>New Castle SL - 2152SL</v>
      </c>
    </row>
    <row r="581" spans="1:46" x14ac:dyDescent="0.25">
      <c r="A581" t="s">
        <v>316</v>
      </c>
      <c r="B581" t="s">
        <v>252</v>
      </c>
      <c r="C581" t="s">
        <v>43</v>
      </c>
      <c r="D581" s="50">
        <v>46023</v>
      </c>
      <c r="E581" s="2">
        <v>0.97799999999999998</v>
      </c>
      <c r="F581" s="2">
        <v>0.98899999999999999</v>
      </c>
      <c r="G581" t="s">
        <v>373</v>
      </c>
      <c r="H581" t="s">
        <v>373</v>
      </c>
      <c r="I581" s="2">
        <v>0.66700000000000004</v>
      </c>
      <c r="J581" s="2">
        <v>0.66700000000000004</v>
      </c>
      <c r="K581" s="2">
        <v>0</v>
      </c>
      <c r="L581" s="2">
        <v>0.66700000000000004</v>
      </c>
      <c r="M581" s="51">
        <v>2500</v>
      </c>
      <c r="N581" s="51">
        <v>2500</v>
      </c>
      <c r="P581" s="51">
        <v>2500</v>
      </c>
      <c r="Q581" s="51">
        <v>109430</v>
      </c>
      <c r="R581" s="51">
        <v>222736</v>
      </c>
      <c r="T581" s="51">
        <v>222736</v>
      </c>
      <c r="U581" s="2">
        <v>2.3E-2</v>
      </c>
      <c r="V581" s="2">
        <v>1.0999999999999999E-2</v>
      </c>
      <c r="W581" t="s">
        <v>373</v>
      </c>
      <c r="X581" t="s">
        <v>373</v>
      </c>
      <c r="Y581">
        <v>456.47</v>
      </c>
      <c r="Z581">
        <v>454.4</v>
      </c>
      <c r="AB581" s="2">
        <v>1</v>
      </c>
      <c r="AC581">
        <v>220.76</v>
      </c>
      <c r="AD581">
        <v>240.11</v>
      </c>
      <c r="AF581" s="2">
        <v>1</v>
      </c>
      <c r="AG581">
        <v>264.19</v>
      </c>
      <c r="AH581">
        <v>277.57</v>
      </c>
      <c r="AJ581" s="2">
        <v>1</v>
      </c>
      <c r="AK581">
        <v>150.11000000000001</v>
      </c>
      <c r="AL581">
        <v>159.99</v>
      </c>
      <c r="AN581" s="2">
        <v>1</v>
      </c>
      <c r="AR581" t="s">
        <v>373</v>
      </c>
      <c r="AS581" t="s">
        <v>46</v>
      </c>
      <c r="AT581" t="str">
        <f t="shared" si="9"/>
        <v>Belmont - 519SL</v>
      </c>
    </row>
    <row r="582" spans="1:46" x14ac:dyDescent="0.25">
      <c r="A582" t="s">
        <v>316</v>
      </c>
      <c r="B582" t="s">
        <v>252</v>
      </c>
      <c r="C582" t="s">
        <v>43</v>
      </c>
      <c r="D582" s="50">
        <v>46054</v>
      </c>
      <c r="E582" s="2">
        <v>1</v>
      </c>
      <c r="F582" s="2">
        <v>0.98899999999999999</v>
      </c>
      <c r="G582" t="s">
        <v>373</v>
      </c>
      <c r="H582" t="s">
        <v>373</v>
      </c>
      <c r="I582" s="2">
        <v>0</v>
      </c>
      <c r="J582" s="2">
        <v>0.66700000000000004</v>
      </c>
      <c r="K582" s="2">
        <v>0</v>
      </c>
      <c r="L582" s="2">
        <v>0.66700000000000004</v>
      </c>
      <c r="M582" s="51">
        <v>0</v>
      </c>
      <c r="N582" s="51">
        <v>2500</v>
      </c>
      <c r="P582" s="51">
        <v>2500</v>
      </c>
      <c r="Q582" s="51">
        <v>113306</v>
      </c>
      <c r="R582" s="51">
        <v>222736</v>
      </c>
      <c r="T582" s="51">
        <v>222736</v>
      </c>
      <c r="U582" s="2">
        <v>0</v>
      </c>
      <c r="V582" s="2">
        <v>1.0999999999999999E-2</v>
      </c>
      <c r="W582" t="s">
        <v>373</v>
      </c>
      <c r="X582" t="s">
        <v>373</v>
      </c>
      <c r="Y582">
        <v>452.32</v>
      </c>
      <c r="Z582">
        <v>454.4</v>
      </c>
      <c r="AB582" s="2">
        <v>1</v>
      </c>
      <c r="AC582">
        <v>259.47000000000003</v>
      </c>
      <c r="AD582">
        <v>240.11</v>
      </c>
      <c r="AF582" s="2">
        <v>1</v>
      </c>
      <c r="AG582">
        <v>290.95999999999998</v>
      </c>
      <c r="AH582">
        <v>277.57</v>
      </c>
      <c r="AJ582" s="2">
        <v>1</v>
      </c>
      <c r="AK582">
        <v>169.87</v>
      </c>
      <c r="AL582">
        <v>159.99</v>
      </c>
      <c r="AN582" s="2">
        <v>1</v>
      </c>
      <c r="AR582" t="s">
        <v>373</v>
      </c>
      <c r="AS582" t="s">
        <v>46</v>
      </c>
      <c r="AT582" t="str">
        <f t="shared" si="9"/>
        <v>Belmont - 519SL</v>
      </c>
    </row>
    <row r="583" spans="1:46" x14ac:dyDescent="0.25">
      <c r="A583" t="s">
        <v>316</v>
      </c>
      <c r="B583" t="s">
        <v>252</v>
      </c>
      <c r="C583" t="s">
        <v>61</v>
      </c>
      <c r="D583" s="50">
        <v>46023</v>
      </c>
      <c r="E583" s="2">
        <v>1</v>
      </c>
      <c r="F583" s="2">
        <v>1</v>
      </c>
      <c r="G583" t="s">
        <v>373</v>
      </c>
      <c r="H583" t="s">
        <v>373</v>
      </c>
      <c r="I583" s="2">
        <v>0</v>
      </c>
      <c r="J583" s="2">
        <v>0</v>
      </c>
      <c r="K583" s="2">
        <v>0</v>
      </c>
      <c r="L583" s="2">
        <v>0</v>
      </c>
      <c r="M583" s="51">
        <v>0</v>
      </c>
      <c r="N583" s="51">
        <v>0</v>
      </c>
      <c r="P583" s="51">
        <v>0</v>
      </c>
      <c r="Q583" s="51">
        <v>96679</v>
      </c>
      <c r="R583" s="51">
        <v>193299</v>
      </c>
      <c r="T583" s="51">
        <v>193299</v>
      </c>
      <c r="U583" s="2">
        <v>0</v>
      </c>
      <c r="V583" s="2">
        <v>0</v>
      </c>
      <c r="W583" t="s">
        <v>373</v>
      </c>
      <c r="X583" t="s">
        <v>373</v>
      </c>
      <c r="Y583">
        <v>499.41</v>
      </c>
      <c r="Z583">
        <v>520.29</v>
      </c>
      <c r="AB583" s="2">
        <v>1</v>
      </c>
      <c r="AC583">
        <v>243.9</v>
      </c>
      <c r="AD583">
        <v>257.24</v>
      </c>
      <c r="AF583" s="2">
        <v>1</v>
      </c>
      <c r="AG583">
        <v>273.73</v>
      </c>
      <c r="AH583">
        <v>287.95999999999998</v>
      </c>
      <c r="AJ583" s="2">
        <v>1</v>
      </c>
      <c r="AK583">
        <v>141.76</v>
      </c>
      <c r="AL583">
        <v>149.30000000000001</v>
      </c>
      <c r="AN583" s="2">
        <v>1</v>
      </c>
      <c r="AR583" t="s">
        <v>373</v>
      </c>
      <c r="AS583" t="s">
        <v>46</v>
      </c>
      <c r="AT583" t="str">
        <f t="shared" si="9"/>
        <v>Byron Center - 518SL</v>
      </c>
    </row>
    <row r="584" spans="1:46" x14ac:dyDescent="0.25">
      <c r="A584" t="s">
        <v>316</v>
      </c>
      <c r="B584" t="s">
        <v>252</v>
      </c>
      <c r="C584" t="s">
        <v>61</v>
      </c>
      <c r="D584" s="50">
        <v>46054</v>
      </c>
      <c r="E584" s="2">
        <v>1</v>
      </c>
      <c r="F584" s="2">
        <v>1</v>
      </c>
      <c r="G584" t="s">
        <v>373</v>
      </c>
      <c r="H584" t="s">
        <v>373</v>
      </c>
      <c r="I584" s="2">
        <v>0</v>
      </c>
      <c r="J584" s="2">
        <v>0</v>
      </c>
      <c r="K584" s="2">
        <v>0</v>
      </c>
      <c r="L584" s="2">
        <v>0</v>
      </c>
      <c r="M584" s="51">
        <v>0</v>
      </c>
      <c r="N584" s="51">
        <v>0</v>
      </c>
      <c r="P584" s="51">
        <v>0</v>
      </c>
      <c r="Q584" s="51">
        <v>96620</v>
      </c>
      <c r="R584" s="51">
        <v>193299</v>
      </c>
      <c r="T584" s="51">
        <v>193299</v>
      </c>
      <c r="U584" s="2">
        <v>0</v>
      </c>
      <c r="V584" s="2">
        <v>0</v>
      </c>
      <c r="W584" t="s">
        <v>373</v>
      </c>
      <c r="X584" t="s">
        <v>373</v>
      </c>
      <c r="Y584">
        <v>541.16999999999996</v>
      </c>
      <c r="Z584">
        <v>520.29</v>
      </c>
      <c r="AB584" s="2">
        <v>1</v>
      </c>
      <c r="AC584">
        <v>270.58</v>
      </c>
      <c r="AD584">
        <v>257.24</v>
      </c>
      <c r="AF584" s="2">
        <v>1</v>
      </c>
      <c r="AG584">
        <v>302.18</v>
      </c>
      <c r="AH584">
        <v>287.95999999999998</v>
      </c>
      <c r="AJ584" s="2">
        <v>1</v>
      </c>
      <c r="AK584">
        <v>156.85</v>
      </c>
      <c r="AL584">
        <v>149.30000000000001</v>
      </c>
      <c r="AN584" s="2">
        <v>1</v>
      </c>
      <c r="AR584" t="s">
        <v>373</v>
      </c>
      <c r="AS584" t="s">
        <v>46</v>
      </c>
      <c r="AT584" t="str">
        <f t="shared" si="9"/>
        <v>Byron Center - 518SL</v>
      </c>
    </row>
    <row r="585" spans="1:46" x14ac:dyDescent="0.25">
      <c r="A585" t="s">
        <v>316</v>
      </c>
      <c r="B585" t="s">
        <v>252</v>
      </c>
      <c r="C585" t="s">
        <v>132</v>
      </c>
      <c r="D585" s="50">
        <v>46023</v>
      </c>
      <c r="E585" s="2">
        <v>0.96099999999999997</v>
      </c>
      <c r="F585" s="2">
        <v>0.97599999999999998</v>
      </c>
      <c r="G585" t="s">
        <v>373</v>
      </c>
      <c r="H585" t="s">
        <v>373</v>
      </c>
      <c r="I585" s="2">
        <v>0</v>
      </c>
      <c r="J585" s="2">
        <v>0</v>
      </c>
      <c r="K585" s="2">
        <v>0</v>
      </c>
      <c r="L585" s="2">
        <v>0</v>
      </c>
      <c r="M585" s="51">
        <v>0</v>
      </c>
      <c r="N585" s="51">
        <v>0</v>
      </c>
      <c r="P585" s="51">
        <v>0</v>
      </c>
      <c r="Q585" s="51">
        <v>102569</v>
      </c>
      <c r="R585" s="51">
        <v>208198</v>
      </c>
      <c r="T585" s="51">
        <v>208198</v>
      </c>
      <c r="U585" s="2">
        <v>0</v>
      </c>
      <c r="V585" s="2">
        <v>0</v>
      </c>
      <c r="W585" t="s">
        <v>373</v>
      </c>
      <c r="X585" t="s">
        <v>373</v>
      </c>
      <c r="Y585">
        <v>489.11</v>
      </c>
      <c r="Z585">
        <v>477.24</v>
      </c>
      <c r="AB585" s="2">
        <v>1</v>
      </c>
      <c r="AC585">
        <v>225.58</v>
      </c>
      <c r="AD585">
        <v>236.54</v>
      </c>
      <c r="AF585" s="2">
        <v>1</v>
      </c>
      <c r="AG585">
        <v>253.83</v>
      </c>
      <c r="AH585">
        <v>267.06</v>
      </c>
      <c r="AJ585" s="2">
        <v>1</v>
      </c>
      <c r="AK585">
        <v>137.68</v>
      </c>
      <c r="AL585">
        <v>144.83000000000001</v>
      </c>
      <c r="AN585" s="2">
        <v>1</v>
      </c>
      <c r="AR585" t="s">
        <v>373</v>
      </c>
      <c r="AS585" t="s">
        <v>46</v>
      </c>
      <c r="AT585" t="str">
        <f t="shared" si="9"/>
        <v>Hudsonville - 524SL</v>
      </c>
    </row>
    <row r="586" spans="1:46" x14ac:dyDescent="0.25">
      <c r="A586" t="s">
        <v>316</v>
      </c>
      <c r="B586" t="s">
        <v>252</v>
      </c>
      <c r="C586" t="s">
        <v>132</v>
      </c>
      <c r="D586" s="50">
        <v>46054</v>
      </c>
      <c r="E586" s="2">
        <v>0.99299999999999999</v>
      </c>
      <c r="F586" s="2">
        <v>0.97599999999999998</v>
      </c>
      <c r="G586" t="s">
        <v>373</v>
      </c>
      <c r="H586" t="s">
        <v>373</v>
      </c>
      <c r="I586" s="2">
        <v>0</v>
      </c>
      <c r="J586" s="2">
        <v>0</v>
      </c>
      <c r="K586" s="2">
        <v>0</v>
      </c>
      <c r="L586" s="2">
        <v>0</v>
      </c>
      <c r="M586" s="51">
        <v>0</v>
      </c>
      <c r="N586" s="51">
        <v>0</v>
      </c>
      <c r="P586" s="51">
        <v>0</v>
      </c>
      <c r="Q586" s="51">
        <v>105629</v>
      </c>
      <c r="R586" s="51">
        <v>208198</v>
      </c>
      <c r="T586" s="51">
        <v>208198</v>
      </c>
      <c r="U586" s="2">
        <v>0</v>
      </c>
      <c r="V586" s="2">
        <v>0</v>
      </c>
      <c r="W586" t="s">
        <v>373</v>
      </c>
      <c r="X586" t="s">
        <v>373</v>
      </c>
      <c r="Y586">
        <v>465.38</v>
      </c>
      <c r="Z586">
        <v>477.24</v>
      </c>
      <c r="AB586" s="2">
        <v>1</v>
      </c>
      <c r="AC586">
        <v>247.5</v>
      </c>
      <c r="AD586">
        <v>236.54</v>
      </c>
      <c r="AF586" s="2">
        <v>1</v>
      </c>
      <c r="AG586">
        <v>280.29000000000002</v>
      </c>
      <c r="AH586">
        <v>267.06</v>
      </c>
      <c r="AJ586" s="2">
        <v>1</v>
      </c>
      <c r="AK586">
        <v>151.97999999999999</v>
      </c>
      <c r="AL586">
        <v>144.83000000000001</v>
      </c>
      <c r="AN586" s="2">
        <v>1</v>
      </c>
      <c r="AR586" t="s">
        <v>373</v>
      </c>
      <c r="AS586" t="s">
        <v>46</v>
      </c>
      <c r="AT586" t="str">
        <f t="shared" si="9"/>
        <v>Hudsonville - 524SL</v>
      </c>
    </row>
    <row r="587" spans="1:46" x14ac:dyDescent="0.25">
      <c r="A587" t="s">
        <v>316</v>
      </c>
      <c r="B587" t="s">
        <v>252</v>
      </c>
      <c r="C587" t="s">
        <v>193</v>
      </c>
      <c r="D587" s="50">
        <v>46023</v>
      </c>
      <c r="E587" s="2">
        <v>0.879</v>
      </c>
      <c r="F587" s="2">
        <v>0.871</v>
      </c>
      <c r="G587" t="s">
        <v>373</v>
      </c>
      <c r="H587" t="s">
        <v>373</v>
      </c>
      <c r="I587" s="2">
        <v>0</v>
      </c>
      <c r="J587" s="2">
        <v>0</v>
      </c>
      <c r="K587" s="2">
        <v>0</v>
      </c>
      <c r="L587" s="2">
        <v>0</v>
      </c>
      <c r="M587" s="51">
        <v>6</v>
      </c>
      <c r="N587" s="51">
        <v>1439</v>
      </c>
      <c r="P587" s="51">
        <v>1439</v>
      </c>
      <c r="Q587" s="51">
        <v>93314</v>
      </c>
      <c r="R587" s="51">
        <v>183141</v>
      </c>
      <c r="T587" s="51">
        <v>183141</v>
      </c>
      <c r="U587" s="2">
        <v>0</v>
      </c>
      <c r="V587" s="2">
        <v>8.0000000000000002E-3</v>
      </c>
      <c r="W587" t="s">
        <v>373</v>
      </c>
      <c r="X587" t="s">
        <v>373</v>
      </c>
      <c r="Y587">
        <v>481.21</v>
      </c>
      <c r="Z587">
        <v>487.81</v>
      </c>
      <c r="AB587" s="2">
        <v>1</v>
      </c>
      <c r="AC587">
        <v>220.66</v>
      </c>
      <c r="AD587">
        <v>232.52</v>
      </c>
      <c r="AF587" s="2">
        <v>1</v>
      </c>
      <c r="AG587">
        <v>243.47</v>
      </c>
      <c r="AH587">
        <v>255.88</v>
      </c>
      <c r="AJ587" s="2">
        <v>1</v>
      </c>
      <c r="AK587">
        <v>136.82</v>
      </c>
      <c r="AL587">
        <v>142.9</v>
      </c>
      <c r="AN587" s="2">
        <v>1</v>
      </c>
      <c r="AR587" t="s">
        <v>373</v>
      </c>
      <c r="AS587" t="s">
        <v>46</v>
      </c>
      <c r="AT587" t="str">
        <f t="shared" si="9"/>
        <v>Muskegon - 525SL</v>
      </c>
    </row>
    <row r="588" spans="1:46" x14ac:dyDescent="0.25">
      <c r="A588" t="s">
        <v>316</v>
      </c>
      <c r="B588" t="s">
        <v>252</v>
      </c>
      <c r="C588" t="s">
        <v>193</v>
      </c>
      <c r="D588" s="50">
        <v>46054</v>
      </c>
      <c r="E588" s="2">
        <v>0.86299999999999999</v>
      </c>
      <c r="F588" s="2">
        <v>0.871</v>
      </c>
      <c r="G588" t="s">
        <v>373</v>
      </c>
      <c r="H588" t="s">
        <v>373</v>
      </c>
      <c r="I588" s="2">
        <v>0</v>
      </c>
      <c r="J588" s="2">
        <v>0</v>
      </c>
      <c r="K588" s="2">
        <v>0</v>
      </c>
      <c r="L588" s="2">
        <v>0</v>
      </c>
      <c r="M588" s="51">
        <v>1433</v>
      </c>
      <c r="N588" s="51">
        <v>1439</v>
      </c>
      <c r="P588" s="51">
        <v>1439</v>
      </c>
      <c r="Q588" s="51">
        <v>89828</v>
      </c>
      <c r="R588" s="51">
        <v>183141</v>
      </c>
      <c r="T588" s="51">
        <v>183141</v>
      </c>
      <c r="U588" s="2">
        <v>1.6E-2</v>
      </c>
      <c r="V588" s="2">
        <v>8.0000000000000002E-3</v>
      </c>
      <c r="W588" t="s">
        <v>373</v>
      </c>
      <c r="X588" t="s">
        <v>373</v>
      </c>
      <c r="Y588">
        <v>494.41</v>
      </c>
      <c r="Z588">
        <v>487.81</v>
      </c>
      <c r="AB588" s="2">
        <v>1</v>
      </c>
      <c r="AC588">
        <v>244.37</v>
      </c>
      <c r="AD588">
        <v>232.52</v>
      </c>
      <c r="AF588" s="2">
        <v>1</v>
      </c>
      <c r="AG588">
        <v>268.27999999999997</v>
      </c>
      <c r="AH588">
        <v>255.88</v>
      </c>
      <c r="AJ588" s="2">
        <v>1</v>
      </c>
      <c r="AK588">
        <v>148.97</v>
      </c>
      <c r="AL588">
        <v>142.9</v>
      </c>
      <c r="AN588" s="2">
        <v>1</v>
      </c>
      <c r="AR588" t="s">
        <v>373</v>
      </c>
      <c r="AS588" t="s">
        <v>46</v>
      </c>
      <c r="AT588" t="str">
        <f t="shared" si="9"/>
        <v>Muskegon - 525SL</v>
      </c>
    </row>
    <row r="589" spans="1:46" x14ac:dyDescent="0.25">
      <c r="A589" t="s">
        <v>316</v>
      </c>
      <c r="B589" t="s">
        <v>76</v>
      </c>
      <c r="C589" t="s">
        <v>172</v>
      </c>
      <c r="D589" s="50">
        <v>46023</v>
      </c>
      <c r="E589" s="2">
        <v>0.96499999999999997</v>
      </c>
      <c r="F589" s="2">
        <v>0.96599999999999997</v>
      </c>
      <c r="G589" t="s">
        <v>373</v>
      </c>
      <c r="H589" t="s">
        <v>373</v>
      </c>
      <c r="I589" s="2">
        <v>0</v>
      </c>
      <c r="J589" s="2">
        <v>0</v>
      </c>
      <c r="K589" s="2">
        <v>0</v>
      </c>
      <c r="L589" s="2">
        <v>0</v>
      </c>
      <c r="M589" s="51">
        <v>0</v>
      </c>
      <c r="N589" s="51">
        <v>-210</v>
      </c>
      <c r="P589" s="51">
        <v>-210</v>
      </c>
      <c r="Q589" s="51">
        <v>79972</v>
      </c>
      <c r="R589" s="51">
        <v>159121</v>
      </c>
      <c r="T589" s="51">
        <v>159121</v>
      </c>
      <c r="U589" s="2">
        <v>0</v>
      </c>
      <c r="V589" s="2">
        <v>-1E-3</v>
      </c>
      <c r="W589" t="s">
        <v>373</v>
      </c>
      <c r="X589" t="s">
        <v>373</v>
      </c>
      <c r="Y589">
        <v>475.45</v>
      </c>
      <c r="Z589">
        <v>472.72</v>
      </c>
      <c r="AB589" s="2">
        <v>1</v>
      </c>
      <c r="AC589">
        <v>205.84</v>
      </c>
      <c r="AD589">
        <v>213.33</v>
      </c>
      <c r="AF589" s="2">
        <v>1</v>
      </c>
      <c r="AJ589" t="s">
        <v>373</v>
      </c>
      <c r="AK589">
        <v>119.9</v>
      </c>
      <c r="AL589">
        <v>127.37</v>
      </c>
      <c r="AN589" s="2">
        <v>1</v>
      </c>
      <c r="AR589" t="s">
        <v>373</v>
      </c>
      <c r="AS589" t="s">
        <v>46</v>
      </c>
      <c r="AT589" t="str">
        <f t="shared" si="9"/>
        <v>Louisville SB - 175SL</v>
      </c>
    </row>
    <row r="590" spans="1:46" x14ac:dyDescent="0.25">
      <c r="A590" t="s">
        <v>316</v>
      </c>
      <c r="B590" t="s">
        <v>76</v>
      </c>
      <c r="C590" t="s">
        <v>172</v>
      </c>
      <c r="D590" s="50">
        <v>46054</v>
      </c>
      <c r="E590" s="2">
        <v>0.96799999999999997</v>
      </c>
      <c r="F590" s="2">
        <v>0.96599999999999997</v>
      </c>
      <c r="G590" t="s">
        <v>373</v>
      </c>
      <c r="H590" t="s">
        <v>373</v>
      </c>
      <c r="I590" s="2">
        <v>0</v>
      </c>
      <c r="J590" s="2">
        <v>0</v>
      </c>
      <c r="K590" s="2">
        <v>0</v>
      </c>
      <c r="L590" s="2">
        <v>0</v>
      </c>
      <c r="M590" s="51">
        <v>-210</v>
      </c>
      <c r="N590" s="51">
        <v>-210</v>
      </c>
      <c r="P590" s="51">
        <v>-210</v>
      </c>
      <c r="Q590" s="51">
        <v>79149</v>
      </c>
      <c r="R590" s="51">
        <v>159121</v>
      </c>
      <c r="T590" s="51">
        <v>159121</v>
      </c>
      <c r="U590" s="2">
        <v>-3.0000000000000001E-3</v>
      </c>
      <c r="V590" s="2">
        <v>-1E-3</v>
      </c>
      <c r="W590" t="s">
        <v>373</v>
      </c>
      <c r="X590" t="s">
        <v>373</v>
      </c>
      <c r="Y590">
        <v>469.99</v>
      </c>
      <c r="Z590">
        <v>472.72</v>
      </c>
      <c r="AB590" s="2">
        <v>1</v>
      </c>
      <c r="AC590">
        <v>220.82</v>
      </c>
      <c r="AD590">
        <v>213.33</v>
      </c>
      <c r="AF590" s="2">
        <v>1</v>
      </c>
      <c r="AJ590" t="s">
        <v>373</v>
      </c>
      <c r="AK590">
        <v>134.84</v>
      </c>
      <c r="AL590">
        <v>127.37</v>
      </c>
      <c r="AN590" s="2">
        <v>1</v>
      </c>
      <c r="AR590" t="s">
        <v>373</v>
      </c>
      <c r="AS590" t="s">
        <v>46</v>
      </c>
      <c r="AT590" t="str">
        <f t="shared" si="9"/>
        <v>Louisville SB - 175SL</v>
      </c>
    </row>
    <row r="591" spans="1:46" x14ac:dyDescent="0.25">
      <c r="A591" t="s">
        <v>316</v>
      </c>
      <c r="B591" t="s">
        <v>76</v>
      </c>
      <c r="C591" t="s">
        <v>176</v>
      </c>
      <c r="D591" s="50">
        <v>46023</v>
      </c>
      <c r="E591" s="2">
        <v>0.73099999999999998</v>
      </c>
      <c r="F591" s="2">
        <v>0.747</v>
      </c>
      <c r="G591" t="s">
        <v>373</v>
      </c>
      <c r="H591" t="s">
        <v>373</v>
      </c>
      <c r="I591" s="2">
        <v>0</v>
      </c>
      <c r="J591" s="2">
        <v>0</v>
      </c>
      <c r="K591" s="2">
        <v>0</v>
      </c>
      <c r="L591" s="2">
        <v>0</v>
      </c>
      <c r="M591" s="51">
        <v>0</v>
      </c>
      <c r="N591" s="51">
        <v>0</v>
      </c>
      <c r="P591" s="51">
        <v>0</v>
      </c>
      <c r="Q591" s="51">
        <v>39633</v>
      </c>
      <c r="R591" s="51">
        <v>77121</v>
      </c>
      <c r="T591" s="51">
        <v>77121</v>
      </c>
      <c r="U591" s="2">
        <v>0</v>
      </c>
      <c r="V591" s="2">
        <v>0</v>
      </c>
      <c r="W591" t="s">
        <v>373</v>
      </c>
      <c r="X591" t="s">
        <v>373</v>
      </c>
      <c r="Y591">
        <v>562.89</v>
      </c>
      <c r="Z591">
        <v>543.65</v>
      </c>
      <c r="AB591" s="2">
        <v>1</v>
      </c>
      <c r="AC591">
        <v>174.57</v>
      </c>
      <c r="AD591">
        <v>182.99</v>
      </c>
      <c r="AF591" s="2">
        <v>1</v>
      </c>
      <c r="AG591">
        <v>247.03</v>
      </c>
      <c r="AH591">
        <v>261.02</v>
      </c>
      <c r="AJ591" s="2">
        <v>1</v>
      </c>
      <c r="AK591">
        <v>102.94</v>
      </c>
      <c r="AL591">
        <v>102.97</v>
      </c>
      <c r="AN591" s="2">
        <v>1</v>
      </c>
      <c r="AO591">
        <v>75.069999999999993</v>
      </c>
      <c r="AP591">
        <v>79.67</v>
      </c>
      <c r="AR591" s="2">
        <v>1</v>
      </c>
      <c r="AS591" t="s">
        <v>46</v>
      </c>
      <c r="AT591" t="str">
        <f t="shared" si="9"/>
        <v>Louisville WS - 190SL</v>
      </c>
    </row>
    <row r="592" spans="1:46" x14ac:dyDescent="0.25">
      <c r="A592" t="s">
        <v>316</v>
      </c>
      <c r="B592" t="s">
        <v>76</v>
      </c>
      <c r="C592" t="s">
        <v>176</v>
      </c>
      <c r="D592" s="50">
        <v>46054</v>
      </c>
      <c r="E592" s="2">
        <v>0.76500000000000001</v>
      </c>
      <c r="F592" s="2">
        <v>0.747</v>
      </c>
      <c r="G592" t="s">
        <v>373</v>
      </c>
      <c r="H592" t="s">
        <v>373</v>
      </c>
      <c r="I592" s="2">
        <v>0</v>
      </c>
      <c r="J592" s="2">
        <v>0</v>
      </c>
      <c r="K592" s="2">
        <v>0</v>
      </c>
      <c r="L592" s="2">
        <v>0</v>
      </c>
      <c r="M592" s="51">
        <v>0</v>
      </c>
      <c r="N592" s="51">
        <v>0</v>
      </c>
      <c r="P592" s="51">
        <v>0</v>
      </c>
      <c r="Q592" s="51">
        <v>37488</v>
      </c>
      <c r="R592" s="51">
        <v>77121</v>
      </c>
      <c r="T592" s="51">
        <v>77121</v>
      </c>
      <c r="U592" s="2">
        <v>0</v>
      </c>
      <c r="V592" s="2">
        <v>0</v>
      </c>
      <c r="W592" t="s">
        <v>373</v>
      </c>
      <c r="X592" t="s">
        <v>373</v>
      </c>
      <c r="Y592">
        <v>524.41</v>
      </c>
      <c r="Z592">
        <v>543.65</v>
      </c>
      <c r="AB592" s="2">
        <v>1</v>
      </c>
      <c r="AC592">
        <v>191.41</v>
      </c>
      <c r="AD592">
        <v>182.99</v>
      </c>
      <c r="AF592" s="2">
        <v>1</v>
      </c>
      <c r="AG592">
        <v>275.02</v>
      </c>
      <c r="AH592">
        <v>261.02</v>
      </c>
      <c r="AJ592" s="2">
        <v>1</v>
      </c>
      <c r="AK592">
        <v>102.99</v>
      </c>
      <c r="AL592">
        <v>102.97</v>
      </c>
      <c r="AN592" s="2">
        <v>1</v>
      </c>
      <c r="AO592">
        <v>84.28</v>
      </c>
      <c r="AP592">
        <v>79.67</v>
      </c>
      <c r="AR592" s="2">
        <v>1</v>
      </c>
      <c r="AS592" t="s">
        <v>46</v>
      </c>
      <c r="AT592" t="str">
        <f t="shared" si="9"/>
        <v>Louisville WS - 190SL</v>
      </c>
    </row>
    <row r="593" spans="1:46" x14ac:dyDescent="0.25">
      <c r="A593" t="s">
        <v>316</v>
      </c>
      <c r="B593" t="s">
        <v>280</v>
      </c>
      <c r="C593" t="s">
        <v>281</v>
      </c>
      <c r="D593" s="50">
        <v>46023</v>
      </c>
      <c r="E593" s="2">
        <v>0.81899999999999995</v>
      </c>
      <c r="F593" s="2">
        <v>0.83</v>
      </c>
      <c r="G593" t="s">
        <v>373</v>
      </c>
      <c r="H593" t="s">
        <v>373</v>
      </c>
      <c r="I593" s="2">
        <v>0</v>
      </c>
      <c r="J593" s="2">
        <v>0</v>
      </c>
      <c r="K593" s="2">
        <v>0</v>
      </c>
      <c r="L593" s="2">
        <v>0</v>
      </c>
      <c r="M593" s="51">
        <v>6925</v>
      </c>
      <c r="N593" s="51">
        <v>9524</v>
      </c>
      <c r="P593" s="51">
        <v>9524</v>
      </c>
      <c r="Q593" s="51">
        <v>580682</v>
      </c>
      <c r="R593" s="51">
        <v>1176666</v>
      </c>
      <c r="T593" s="51">
        <v>1176666</v>
      </c>
      <c r="U593" s="2">
        <v>1.2E-2</v>
      </c>
      <c r="V593" s="2">
        <v>8.0000000000000002E-3</v>
      </c>
      <c r="W593" t="s">
        <v>373</v>
      </c>
      <c r="X593" t="s">
        <v>373</v>
      </c>
      <c r="AB593" t="s">
        <v>373</v>
      </c>
      <c r="AF593" t="s">
        <v>373</v>
      </c>
      <c r="AJ593" t="s">
        <v>373</v>
      </c>
      <c r="AK593">
        <v>190.76</v>
      </c>
      <c r="AL593">
        <v>201.62</v>
      </c>
      <c r="AN593" s="2">
        <v>1</v>
      </c>
      <c r="AR593" t="s">
        <v>373</v>
      </c>
      <c r="AS593" t="s">
        <v>46</v>
      </c>
      <c r="AT593" t="str">
        <f t="shared" si="9"/>
        <v>Hickory KRH-0563SL</v>
      </c>
    </row>
    <row r="594" spans="1:46" x14ac:dyDescent="0.25">
      <c r="A594" t="s">
        <v>316</v>
      </c>
      <c r="B594" t="s">
        <v>280</v>
      </c>
      <c r="C594" t="s">
        <v>281</v>
      </c>
      <c r="D594" s="50">
        <v>46054</v>
      </c>
      <c r="E594" s="2">
        <v>0.84199999999999997</v>
      </c>
      <c r="F594" s="2">
        <v>0.83</v>
      </c>
      <c r="G594" t="s">
        <v>373</v>
      </c>
      <c r="H594" t="s">
        <v>373</v>
      </c>
      <c r="I594" s="2">
        <v>0</v>
      </c>
      <c r="J594" s="2">
        <v>0</v>
      </c>
      <c r="K594" s="2">
        <v>0</v>
      </c>
      <c r="L594" s="2">
        <v>0</v>
      </c>
      <c r="M594" s="51">
        <v>2599</v>
      </c>
      <c r="N594" s="51">
        <v>9524</v>
      </c>
      <c r="P594" s="51">
        <v>9524</v>
      </c>
      <c r="Q594" s="51">
        <v>595984</v>
      </c>
      <c r="R594" s="51">
        <v>1176666</v>
      </c>
      <c r="T594" s="51">
        <v>1176666</v>
      </c>
      <c r="U594" s="2">
        <v>4.0000000000000001E-3</v>
      </c>
      <c r="V594" s="2">
        <v>8.0000000000000002E-3</v>
      </c>
      <c r="W594" t="s">
        <v>373</v>
      </c>
      <c r="X594" t="s">
        <v>373</v>
      </c>
      <c r="AB594" t="s">
        <v>373</v>
      </c>
      <c r="AF594" t="s">
        <v>373</v>
      </c>
      <c r="AJ594" t="s">
        <v>373</v>
      </c>
      <c r="AK594">
        <v>212.47</v>
      </c>
      <c r="AL594">
        <v>201.62</v>
      </c>
      <c r="AN594" s="2">
        <v>1</v>
      </c>
      <c r="AR594" t="s">
        <v>373</v>
      </c>
      <c r="AS594" t="s">
        <v>46</v>
      </c>
      <c r="AT594" t="str">
        <f t="shared" si="9"/>
        <v>Hickory KRH-0563SL</v>
      </c>
    </row>
    <row r="595" spans="1:46" x14ac:dyDescent="0.25">
      <c r="A595" t="s">
        <v>316</v>
      </c>
      <c r="B595" t="s">
        <v>282</v>
      </c>
      <c r="C595" t="s">
        <v>283</v>
      </c>
      <c r="D595" s="50">
        <v>46023</v>
      </c>
      <c r="E595" t="s">
        <v>373</v>
      </c>
      <c r="F595" t="s">
        <v>373</v>
      </c>
      <c r="G595" t="s">
        <v>373</v>
      </c>
      <c r="H595" t="s">
        <v>373</v>
      </c>
      <c r="I595" s="2">
        <v>0</v>
      </c>
      <c r="J595" s="2">
        <v>0</v>
      </c>
      <c r="K595" s="2">
        <v>0</v>
      </c>
      <c r="L595" s="2">
        <v>0</v>
      </c>
      <c r="M595" s="51">
        <v>0</v>
      </c>
      <c r="N595" s="51">
        <v>0</v>
      </c>
      <c r="P595" s="51">
        <v>0</v>
      </c>
      <c r="Q595" s="51">
        <v>0</v>
      </c>
      <c r="R595" s="51">
        <v>0</v>
      </c>
      <c r="T595" s="51">
        <v>0</v>
      </c>
      <c r="U595" t="s">
        <v>374</v>
      </c>
      <c r="V595" t="s">
        <v>374</v>
      </c>
      <c r="W595" t="s">
        <v>373</v>
      </c>
      <c r="X595" t="s">
        <v>374</v>
      </c>
      <c r="AB595" t="s">
        <v>373</v>
      </c>
      <c r="AC595">
        <v>192.43</v>
      </c>
      <c r="AD595">
        <v>192.43</v>
      </c>
      <c r="AF595" s="2">
        <v>1</v>
      </c>
      <c r="AG595">
        <v>256.26</v>
      </c>
      <c r="AH595">
        <v>256.26</v>
      </c>
      <c r="AJ595" s="2">
        <v>1</v>
      </c>
      <c r="AN595" t="s">
        <v>373</v>
      </c>
      <c r="AR595" t="s">
        <v>373</v>
      </c>
      <c r="AS595" t="s">
        <v>46</v>
      </c>
      <c r="AT595" t="str">
        <f t="shared" si="9"/>
        <v>Santa Fe KRS-0564SL</v>
      </c>
    </row>
    <row r="596" spans="1:46" x14ac:dyDescent="0.25">
      <c r="A596" t="s">
        <v>316</v>
      </c>
      <c r="B596" t="s">
        <v>282</v>
      </c>
      <c r="C596" t="s">
        <v>283</v>
      </c>
      <c r="D596" s="50">
        <v>46054</v>
      </c>
      <c r="E596" t="s">
        <v>373</v>
      </c>
      <c r="F596" t="s">
        <v>373</v>
      </c>
      <c r="G596" t="s">
        <v>373</v>
      </c>
      <c r="H596" t="s">
        <v>373</v>
      </c>
      <c r="I596" s="2">
        <v>0</v>
      </c>
      <c r="J596" s="2">
        <v>0</v>
      </c>
      <c r="K596" s="2">
        <v>0</v>
      </c>
      <c r="L596" s="2">
        <v>0</v>
      </c>
      <c r="N596" s="51">
        <v>0</v>
      </c>
      <c r="P596" s="51">
        <v>0</v>
      </c>
      <c r="R596" s="51">
        <v>0</v>
      </c>
      <c r="T596" s="51">
        <v>0</v>
      </c>
      <c r="U596" t="s">
        <v>373</v>
      </c>
      <c r="V596" t="s">
        <v>374</v>
      </c>
      <c r="W596" t="s">
        <v>373</v>
      </c>
      <c r="X596" t="s">
        <v>374</v>
      </c>
      <c r="AB596" t="s">
        <v>373</v>
      </c>
      <c r="AD596">
        <v>192.43</v>
      </c>
      <c r="AF596" s="2">
        <v>1</v>
      </c>
      <c r="AH596">
        <v>256.26</v>
      </c>
      <c r="AJ596" s="2">
        <v>1</v>
      </c>
      <c r="AN596" t="s">
        <v>373</v>
      </c>
      <c r="AR596" t="s">
        <v>373</v>
      </c>
      <c r="AS596" t="s">
        <v>46</v>
      </c>
      <c r="AT596" t="str">
        <f t="shared" si="9"/>
        <v>Santa Fe KRS-0564SL</v>
      </c>
    </row>
    <row r="597" spans="1:46" x14ac:dyDescent="0.25">
      <c r="A597" t="s">
        <v>316</v>
      </c>
      <c r="B597" t="s">
        <v>72</v>
      </c>
      <c r="C597" t="s">
        <v>216</v>
      </c>
      <c r="D597" s="50">
        <v>46023</v>
      </c>
      <c r="E597" s="2">
        <v>0.98799999999999999</v>
      </c>
      <c r="F597" s="2">
        <v>0.99399999999999999</v>
      </c>
      <c r="G597" t="s">
        <v>373</v>
      </c>
      <c r="H597" t="s">
        <v>373</v>
      </c>
      <c r="I597" s="2">
        <v>0</v>
      </c>
      <c r="J597" s="2">
        <v>0</v>
      </c>
      <c r="K597" s="2">
        <v>0</v>
      </c>
      <c r="L597" s="2">
        <v>0</v>
      </c>
      <c r="M597" s="51">
        <v>5287</v>
      </c>
      <c r="N597" s="51">
        <v>10574</v>
      </c>
      <c r="P597" s="51">
        <v>10574</v>
      </c>
      <c r="Q597" s="51">
        <v>340596</v>
      </c>
      <c r="R597" s="51">
        <v>685055</v>
      </c>
      <c r="T597" s="51">
        <v>685055</v>
      </c>
      <c r="U597" s="2">
        <v>1.6E-2</v>
      </c>
      <c r="V597" s="2">
        <v>1.4999999999999999E-2</v>
      </c>
      <c r="W597" t="s">
        <v>373</v>
      </c>
      <c r="X597" t="s">
        <v>373</v>
      </c>
      <c r="AB597" t="s">
        <v>373</v>
      </c>
      <c r="AF597" t="s">
        <v>373</v>
      </c>
      <c r="AJ597" t="s">
        <v>373</v>
      </c>
      <c r="AK597">
        <v>142.57</v>
      </c>
      <c r="AL597">
        <v>150.13999999999999</v>
      </c>
      <c r="AN597" s="2">
        <v>1</v>
      </c>
      <c r="AR597" t="s">
        <v>373</v>
      </c>
      <c r="AS597" t="s">
        <v>46</v>
      </c>
      <c r="AT597" t="str">
        <f t="shared" si="9"/>
        <v>Romeo SL - 527SL</v>
      </c>
    </row>
    <row r="598" spans="1:46" x14ac:dyDescent="0.25">
      <c r="A598" t="s">
        <v>316</v>
      </c>
      <c r="B598" t="s">
        <v>72</v>
      </c>
      <c r="C598" t="s">
        <v>216</v>
      </c>
      <c r="D598" s="50">
        <v>46054</v>
      </c>
      <c r="E598" s="2">
        <v>1</v>
      </c>
      <c r="F598" s="2">
        <v>0.99399999999999999</v>
      </c>
      <c r="G598" t="s">
        <v>373</v>
      </c>
      <c r="H598" t="s">
        <v>373</v>
      </c>
      <c r="I598" s="2">
        <v>0</v>
      </c>
      <c r="J598" s="2">
        <v>0</v>
      </c>
      <c r="K598" s="2">
        <v>0</v>
      </c>
      <c r="L598" s="2">
        <v>0</v>
      </c>
      <c r="M598" s="51">
        <v>5287</v>
      </c>
      <c r="N598" s="51">
        <v>10574</v>
      </c>
      <c r="P598" s="51">
        <v>10574</v>
      </c>
      <c r="Q598" s="51">
        <v>344459</v>
      </c>
      <c r="R598" s="51">
        <v>685055</v>
      </c>
      <c r="T598" s="51">
        <v>685055</v>
      </c>
      <c r="U598" s="2">
        <v>1.4999999999999999E-2</v>
      </c>
      <c r="V598" s="2">
        <v>1.4999999999999999E-2</v>
      </c>
      <c r="W598" t="s">
        <v>373</v>
      </c>
      <c r="X598" t="s">
        <v>373</v>
      </c>
      <c r="AB598" t="s">
        <v>373</v>
      </c>
      <c r="AF598" t="s">
        <v>373</v>
      </c>
      <c r="AJ598" t="s">
        <v>373</v>
      </c>
      <c r="AK598">
        <v>157.72</v>
      </c>
      <c r="AL598">
        <v>150.13999999999999</v>
      </c>
      <c r="AN598" s="2">
        <v>1</v>
      </c>
      <c r="AR598" t="s">
        <v>373</v>
      </c>
      <c r="AS598" t="s">
        <v>46</v>
      </c>
      <c r="AT598" t="str">
        <f t="shared" si="9"/>
        <v>Romeo SL - 527SL</v>
      </c>
    </row>
    <row r="599" spans="1:46" x14ac:dyDescent="0.25">
      <c r="A599" t="s">
        <v>316</v>
      </c>
      <c r="B599" t="s">
        <v>254</v>
      </c>
      <c r="C599" t="s">
        <v>286</v>
      </c>
      <c r="D599" s="50">
        <v>46023</v>
      </c>
      <c r="E599" t="s">
        <v>373</v>
      </c>
      <c r="F599" t="s">
        <v>373</v>
      </c>
      <c r="G599" t="s">
        <v>373</v>
      </c>
      <c r="H599" t="s">
        <v>373</v>
      </c>
      <c r="I599" s="2">
        <v>0</v>
      </c>
      <c r="J599" s="2">
        <v>0</v>
      </c>
      <c r="K599" s="2">
        <v>0</v>
      </c>
      <c r="L599" s="2">
        <v>0</v>
      </c>
      <c r="M599" s="51">
        <v>0</v>
      </c>
      <c r="N599" s="51">
        <v>0</v>
      </c>
      <c r="P599" s="51">
        <v>0</v>
      </c>
      <c r="Q599" s="51">
        <v>0</v>
      </c>
      <c r="R599" s="51">
        <v>0</v>
      </c>
      <c r="T599" s="51">
        <v>0</v>
      </c>
      <c r="U599" t="s">
        <v>374</v>
      </c>
      <c r="V599" t="s">
        <v>374</v>
      </c>
      <c r="W599" t="s">
        <v>373</v>
      </c>
      <c r="X599" t="s">
        <v>374</v>
      </c>
      <c r="AB599" t="s">
        <v>373</v>
      </c>
      <c r="AC599">
        <v>129.59</v>
      </c>
      <c r="AD599">
        <v>129.59</v>
      </c>
      <c r="AF599" s="2">
        <v>1</v>
      </c>
      <c r="AG599">
        <v>229.03</v>
      </c>
      <c r="AH599">
        <v>229.03</v>
      </c>
      <c r="AJ599" s="2">
        <v>1</v>
      </c>
      <c r="AN599" t="s">
        <v>373</v>
      </c>
      <c r="AR599" t="s">
        <v>373</v>
      </c>
      <c r="AS599" t="s">
        <v>46</v>
      </c>
      <c r="AT599" t="str">
        <f t="shared" si="9"/>
        <v>Marion KOM-0555SL</v>
      </c>
    </row>
    <row r="600" spans="1:46" x14ac:dyDescent="0.25">
      <c r="A600" t="s">
        <v>316</v>
      </c>
      <c r="B600" t="s">
        <v>254</v>
      </c>
      <c r="C600" t="s">
        <v>286</v>
      </c>
      <c r="D600" s="50">
        <v>46054</v>
      </c>
      <c r="E600" t="s">
        <v>373</v>
      </c>
      <c r="F600" t="s">
        <v>373</v>
      </c>
      <c r="G600" t="s">
        <v>373</v>
      </c>
      <c r="H600" t="s">
        <v>373</v>
      </c>
      <c r="I600" s="2">
        <v>0</v>
      </c>
      <c r="J600" s="2">
        <v>0</v>
      </c>
      <c r="K600" s="2">
        <v>0</v>
      </c>
      <c r="L600" s="2">
        <v>0</v>
      </c>
      <c r="N600" s="51">
        <v>0</v>
      </c>
      <c r="P600" s="51">
        <v>0</v>
      </c>
      <c r="R600" s="51">
        <v>0</v>
      </c>
      <c r="T600" s="51">
        <v>0</v>
      </c>
      <c r="U600" t="s">
        <v>373</v>
      </c>
      <c r="V600" t="s">
        <v>374</v>
      </c>
      <c r="W600" t="s">
        <v>373</v>
      </c>
      <c r="X600" t="s">
        <v>374</v>
      </c>
      <c r="AB600" t="s">
        <v>373</v>
      </c>
      <c r="AD600">
        <v>129.59</v>
      </c>
      <c r="AF600" s="2">
        <v>1</v>
      </c>
      <c r="AH600">
        <v>229.03</v>
      </c>
      <c r="AJ600" s="2">
        <v>1</v>
      </c>
      <c r="AN600" t="s">
        <v>373</v>
      </c>
      <c r="AR600" t="s">
        <v>373</v>
      </c>
      <c r="AS600" t="s">
        <v>46</v>
      </c>
      <c r="AT600" t="str">
        <f t="shared" si="9"/>
        <v>Marion KOM-0555SL</v>
      </c>
    </row>
    <row r="601" spans="1:46" x14ac:dyDescent="0.25">
      <c r="A601" t="s">
        <v>316</v>
      </c>
      <c r="B601" t="s">
        <v>254</v>
      </c>
      <c r="C601" t="s">
        <v>287</v>
      </c>
      <c r="D601" s="50">
        <v>46023</v>
      </c>
      <c r="E601" s="2">
        <v>0</v>
      </c>
      <c r="F601" s="2">
        <v>0</v>
      </c>
      <c r="G601" t="s">
        <v>373</v>
      </c>
      <c r="H601" t="s">
        <v>373</v>
      </c>
      <c r="I601" s="2">
        <v>0</v>
      </c>
      <c r="J601" s="2">
        <v>0</v>
      </c>
      <c r="K601" s="2">
        <v>0</v>
      </c>
      <c r="L601" s="2">
        <v>0</v>
      </c>
      <c r="M601" s="51">
        <v>0</v>
      </c>
      <c r="N601" s="51">
        <v>0</v>
      </c>
      <c r="P601" s="51">
        <v>0</v>
      </c>
      <c r="Q601" s="51">
        <v>0</v>
      </c>
      <c r="R601" s="51">
        <v>0</v>
      </c>
      <c r="T601" s="51">
        <v>0</v>
      </c>
      <c r="U601" t="s">
        <v>374</v>
      </c>
      <c r="V601" t="s">
        <v>374</v>
      </c>
      <c r="W601" t="s">
        <v>373</v>
      </c>
      <c r="X601" t="s">
        <v>374</v>
      </c>
      <c r="AB601" t="s">
        <v>373</v>
      </c>
      <c r="AC601">
        <v>166</v>
      </c>
      <c r="AD601">
        <v>174.8</v>
      </c>
      <c r="AF601" s="2">
        <v>1</v>
      </c>
      <c r="AG601">
        <v>249.5</v>
      </c>
      <c r="AH601">
        <v>260.70999999999998</v>
      </c>
      <c r="AJ601" s="2">
        <v>1</v>
      </c>
      <c r="AN601" t="s">
        <v>373</v>
      </c>
      <c r="AR601" t="s">
        <v>373</v>
      </c>
      <c r="AS601" t="s">
        <v>46</v>
      </c>
      <c r="AT601" t="str">
        <f t="shared" si="9"/>
        <v>Perrysburg KSL-0558SL</v>
      </c>
    </row>
    <row r="602" spans="1:46" x14ac:dyDescent="0.25">
      <c r="A602" t="s">
        <v>316</v>
      </c>
      <c r="B602" t="s">
        <v>254</v>
      </c>
      <c r="C602" t="s">
        <v>287</v>
      </c>
      <c r="D602" s="50">
        <v>46054</v>
      </c>
      <c r="E602" s="2">
        <v>0</v>
      </c>
      <c r="F602" s="2">
        <v>0</v>
      </c>
      <c r="G602" t="s">
        <v>373</v>
      </c>
      <c r="H602" t="s">
        <v>373</v>
      </c>
      <c r="I602" s="2">
        <v>0</v>
      </c>
      <c r="J602" s="2">
        <v>0</v>
      </c>
      <c r="K602" s="2">
        <v>0</v>
      </c>
      <c r="L602" s="2">
        <v>0</v>
      </c>
      <c r="M602" s="51">
        <v>0</v>
      </c>
      <c r="N602" s="51">
        <v>0</v>
      </c>
      <c r="P602" s="51">
        <v>0</v>
      </c>
      <c r="Q602" s="51">
        <v>0</v>
      </c>
      <c r="R602" s="51">
        <v>0</v>
      </c>
      <c r="T602" s="51">
        <v>0</v>
      </c>
      <c r="U602" t="s">
        <v>374</v>
      </c>
      <c r="V602" t="s">
        <v>374</v>
      </c>
      <c r="W602" t="s">
        <v>373</v>
      </c>
      <c r="X602" t="s">
        <v>374</v>
      </c>
      <c r="AB602" t="s">
        <v>373</v>
      </c>
      <c r="AC602">
        <v>183.6</v>
      </c>
      <c r="AD602">
        <v>174.8</v>
      </c>
      <c r="AF602" s="2">
        <v>1</v>
      </c>
      <c r="AG602">
        <v>271.93</v>
      </c>
      <c r="AH602">
        <v>260.70999999999998</v>
      </c>
      <c r="AJ602" s="2">
        <v>1</v>
      </c>
      <c r="AN602" t="s">
        <v>373</v>
      </c>
      <c r="AR602" t="s">
        <v>373</v>
      </c>
      <c r="AS602" t="s">
        <v>46</v>
      </c>
      <c r="AT602" t="str">
        <f t="shared" si="9"/>
        <v>Perrysburg KSL-0558SL</v>
      </c>
    </row>
    <row r="603" spans="1:46" x14ac:dyDescent="0.25">
      <c r="A603" t="s">
        <v>316</v>
      </c>
      <c r="B603" t="s">
        <v>254</v>
      </c>
      <c r="C603" t="s">
        <v>288</v>
      </c>
      <c r="D603" s="50">
        <v>46023</v>
      </c>
      <c r="E603" s="2">
        <v>0</v>
      </c>
      <c r="F603" s="2">
        <v>0</v>
      </c>
      <c r="G603" t="s">
        <v>373</v>
      </c>
      <c r="H603" t="s">
        <v>373</v>
      </c>
      <c r="I603" s="2">
        <v>0</v>
      </c>
      <c r="J603" s="2">
        <v>0</v>
      </c>
      <c r="K603" s="2">
        <v>0</v>
      </c>
      <c r="L603" s="2">
        <v>0</v>
      </c>
      <c r="M603" s="51">
        <v>0</v>
      </c>
      <c r="N603" s="51">
        <v>0</v>
      </c>
      <c r="P603" s="51">
        <v>0</v>
      </c>
      <c r="Q603" s="51">
        <v>0</v>
      </c>
      <c r="R603" s="51">
        <v>0</v>
      </c>
      <c r="T603" s="51">
        <v>0</v>
      </c>
      <c r="U603" t="s">
        <v>374</v>
      </c>
      <c r="V603" t="s">
        <v>374</v>
      </c>
      <c r="W603" t="s">
        <v>373</v>
      </c>
      <c r="X603" t="s">
        <v>374</v>
      </c>
      <c r="AB603" t="s">
        <v>373</v>
      </c>
      <c r="AC603">
        <v>201.68</v>
      </c>
      <c r="AD603">
        <v>215.15</v>
      </c>
      <c r="AF603" s="2">
        <v>1</v>
      </c>
      <c r="AG603">
        <v>242.76</v>
      </c>
      <c r="AH603">
        <v>255.74</v>
      </c>
      <c r="AJ603" s="2">
        <v>1</v>
      </c>
      <c r="AN603" t="s">
        <v>373</v>
      </c>
      <c r="AR603" t="s">
        <v>373</v>
      </c>
      <c r="AS603" t="s">
        <v>46</v>
      </c>
      <c r="AT603" t="str">
        <f t="shared" si="9"/>
        <v>Sylvania KSL-0560SL</v>
      </c>
    </row>
    <row r="604" spans="1:46" x14ac:dyDescent="0.25">
      <c r="A604" t="s">
        <v>316</v>
      </c>
      <c r="B604" t="s">
        <v>254</v>
      </c>
      <c r="C604" t="s">
        <v>288</v>
      </c>
      <c r="D604" s="50">
        <v>46054</v>
      </c>
      <c r="E604" s="2">
        <v>0</v>
      </c>
      <c r="F604" s="2">
        <v>0</v>
      </c>
      <c r="G604" t="s">
        <v>373</v>
      </c>
      <c r="H604" t="s">
        <v>373</v>
      </c>
      <c r="I604" s="2">
        <v>0</v>
      </c>
      <c r="J604" s="2">
        <v>0</v>
      </c>
      <c r="K604" s="2">
        <v>0</v>
      </c>
      <c r="L604" s="2">
        <v>0</v>
      </c>
      <c r="M604" s="51">
        <v>0</v>
      </c>
      <c r="N604" s="51">
        <v>0</v>
      </c>
      <c r="P604" s="51">
        <v>0</v>
      </c>
      <c r="Q604" s="51">
        <v>0</v>
      </c>
      <c r="R604" s="51">
        <v>0</v>
      </c>
      <c r="T604" s="51">
        <v>0</v>
      </c>
      <c r="U604" t="s">
        <v>374</v>
      </c>
      <c r="V604" t="s">
        <v>374</v>
      </c>
      <c r="W604" t="s">
        <v>373</v>
      </c>
      <c r="X604" t="s">
        <v>374</v>
      </c>
      <c r="AB604" t="s">
        <v>373</v>
      </c>
      <c r="AC604">
        <v>228.61</v>
      </c>
      <c r="AD604">
        <v>215.15</v>
      </c>
      <c r="AF604" s="2">
        <v>1</v>
      </c>
      <c r="AG604">
        <v>268.72000000000003</v>
      </c>
      <c r="AH604">
        <v>255.74</v>
      </c>
      <c r="AJ604" s="2">
        <v>1</v>
      </c>
      <c r="AN604" t="s">
        <v>373</v>
      </c>
      <c r="AR604" t="s">
        <v>373</v>
      </c>
      <c r="AS604" t="s">
        <v>46</v>
      </c>
      <c r="AT604" t="str">
        <f t="shared" si="9"/>
        <v>Sylvania KSL-0560SL</v>
      </c>
    </row>
    <row r="605" spans="1:46" x14ac:dyDescent="0.25">
      <c r="A605" t="s">
        <v>316</v>
      </c>
      <c r="B605" t="s">
        <v>255</v>
      </c>
      <c r="C605" t="s">
        <v>57</v>
      </c>
      <c r="D605" s="50">
        <v>46023</v>
      </c>
      <c r="E605" s="2">
        <v>0.85599999999999998</v>
      </c>
      <c r="F605" s="2">
        <v>0.85099999999999998</v>
      </c>
      <c r="G605" t="s">
        <v>373</v>
      </c>
      <c r="H605" t="s">
        <v>373</v>
      </c>
      <c r="I605" s="2">
        <v>0</v>
      </c>
      <c r="J605" s="2">
        <v>0</v>
      </c>
      <c r="K605" s="2">
        <v>0</v>
      </c>
      <c r="L605" s="2">
        <v>0</v>
      </c>
      <c r="M605" s="51">
        <v>0</v>
      </c>
      <c r="N605" s="51">
        <v>0</v>
      </c>
      <c r="P605" s="51">
        <v>0</v>
      </c>
      <c r="Q605" s="51">
        <v>73855</v>
      </c>
      <c r="R605" s="51">
        <v>146729</v>
      </c>
      <c r="T605" s="51">
        <v>146729</v>
      </c>
      <c r="U605" s="2">
        <v>0</v>
      </c>
      <c r="V605" s="2">
        <v>0</v>
      </c>
      <c r="W605" t="s">
        <v>373</v>
      </c>
      <c r="X605" t="s">
        <v>373</v>
      </c>
      <c r="Y605">
        <v>417.36</v>
      </c>
      <c r="Z605">
        <v>424.33</v>
      </c>
      <c r="AB605" s="2">
        <v>1</v>
      </c>
      <c r="AC605">
        <v>185.98</v>
      </c>
      <c r="AD605">
        <v>196.26</v>
      </c>
      <c r="AF605" s="2">
        <v>1</v>
      </c>
      <c r="AG605">
        <v>219.73</v>
      </c>
      <c r="AH605">
        <v>228.86</v>
      </c>
      <c r="AJ605" s="2">
        <v>1</v>
      </c>
      <c r="AK605">
        <v>115.94</v>
      </c>
      <c r="AL605">
        <v>122.12</v>
      </c>
      <c r="AN605" s="2">
        <v>1</v>
      </c>
      <c r="AR605" t="s">
        <v>373</v>
      </c>
      <c r="AS605" t="s">
        <v>46</v>
      </c>
      <c r="AT605" t="str">
        <f t="shared" si="9"/>
        <v>Bowling Green - 443SL</v>
      </c>
    </row>
    <row r="606" spans="1:46" x14ac:dyDescent="0.25">
      <c r="A606" t="s">
        <v>316</v>
      </c>
      <c r="B606" t="s">
        <v>255</v>
      </c>
      <c r="C606" t="s">
        <v>57</v>
      </c>
      <c r="D606" s="50">
        <v>46054</v>
      </c>
      <c r="E606" s="2">
        <v>0.84499999999999997</v>
      </c>
      <c r="F606" s="2">
        <v>0.85099999999999998</v>
      </c>
      <c r="G606" t="s">
        <v>373</v>
      </c>
      <c r="H606" t="s">
        <v>373</v>
      </c>
      <c r="I606" s="2">
        <v>0</v>
      </c>
      <c r="J606" s="2">
        <v>0</v>
      </c>
      <c r="K606" s="2">
        <v>0</v>
      </c>
      <c r="L606" s="2">
        <v>0</v>
      </c>
      <c r="M606" s="51">
        <v>0</v>
      </c>
      <c r="N606" s="51">
        <v>0</v>
      </c>
      <c r="P606" s="51">
        <v>0</v>
      </c>
      <c r="Q606" s="51">
        <v>72874</v>
      </c>
      <c r="R606" s="51">
        <v>146729</v>
      </c>
      <c r="T606" s="51">
        <v>146729</v>
      </c>
      <c r="U606" s="2">
        <v>0</v>
      </c>
      <c r="V606" s="2">
        <v>0</v>
      </c>
      <c r="W606" t="s">
        <v>373</v>
      </c>
      <c r="X606" t="s">
        <v>373</v>
      </c>
      <c r="Y606">
        <v>431.3</v>
      </c>
      <c r="Z606">
        <v>424.33</v>
      </c>
      <c r="AB606" s="2">
        <v>1</v>
      </c>
      <c r="AC606">
        <v>206.54</v>
      </c>
      <c r="AD606">
        <v>196.26</v>
      </c>
      <c r="AF606" s="2">
        <v>1</v>
      </c>
      <c r="AG606">
        <v>237.98</v>
      </c>
      <c r="AH606">
        <v>228.86</v>
      </c>
      <c r="AJ606" s="2">
        <v>1</v>
      </c>
      <c r="AK606">
        <v>128.30000000000001</v>
      </c>
      <c r="AL606">
        <v>122.12</v>
      </c>
      <c r="AN606" s="2">
        <v>1</v>
      </c>
      <c r="AR606" t="s">
        <v>373</v>
      </c>
      <c r="AS606" t="s">
        <v>46</v>
      </c>
      <c r="AT606" t="str">
        <f t="shared" si="9"/>
        <v>Bowling Green - 443SL</v>
      </c>
    </row>
    <row r="607" spans="1:46" x14ac:dyDescent="0.25">
      <c r="A607" t="s">
        <v>316</v>
      </c>
      <c r="B607" t="s">
        <v>257</v>
      </c>
      <c r="C607" t="s">
        <v>84</v>
      </c>
      <c r="D607" s="50">
        <v>46023</v>
      </c>
      <c r="E607" s="2">
        <v>1</v>
      </c>
      <c r="F607" s="2">
        <v>1</v>
      </c>
      <c r="G607" t="s">
        <v>373</v>
      </c>
      <c r="H607" t="s">
        <v>373</v>
      </c>
      <c r="I607" s="2">
        <v>0</v>
      </c>
      <c r="J607" s="2">
        <v>0</v>
      </c>
      <c r="K607" s="2">
        <v>0</v>
      </c>
      <c r="L607" s="2">
        <v>0</v>
      </c>
      <c r="M607" s="51">
        <v>0</v>
      </c>
      <c r="N607" s="51">
        <v>0</v>
      </c>
      <c r="P607" s="51">
        <v>0</v>
      </c>
      <c r="Q607" s="51">
        <v>5298</v>
      </c>
      <c r="R607" s="51">
        <v>10596</v>
      </c>
      <c r="T607" s="51">
        <v>10596</v>
      </c>
      <c r="U607" s="2">
        <v>0</v>
      </c>
      <c r="V607" s="2">
        <v>0</v>
      </c>
      <c r="W607" t="s">
        <v>373</v>
      </c>
      <c r="X607" t="s">
        <v>373</v>
      </c>
      <c r="Y607">
        <v>389.53</v>
      </c>
      <c r="Z607">
        <v>391.86</v>
      </c>
      <c r="AB607" s="2">
        <v>1</v>
      </c>
      <c r="AC607">
        <v>172.87</v>
      </c>
      <c r="AD607">
        <v>180.83</v>
      </c>
      <c r="AF607" s="2">
        <v>1</v>
      </c>
      <c r="AJ607" t="s">
        <v>373</v>
      </c>
      <c r="AK607">
        <v>85.45</v>
      </c>
      <c r="AL607">
        <v>90.03</v>
      </c>
      <c r="AN607" s="2">
        <v>1</v>
      </c>
      <c r="AR607" t="s">
        <v>373</v>
      </c>
      <c r="AS607" t="s">
        <v>46</v>
      </c>
      <c r="AT607" t="str">
        <f t="shared" si="9"/>
        <v>Cynthiana - 114SL</v>
      </c>
    </row>
    <row r="608" spans="1:46" x14ac:dyDescent="0.25">
      <c r="A608" t="s">
        <v>316</v>
      </c>
      <c r="B608" t="s">
        <v>257</v>
      </c>
      <c r="C608" t="s">
        <v>84</v>
      </c>
      <c r="D608" s="50">
        <v>46054</v>
      </c>
      <c r="E608" s="2">
        <v>1</v>
      </c>
      <c r="F608" s="2">
        <v>1</v>
      </c>
      <c r="G608" t="s">
        <v>373</v>
      </c>
      <c r="H608" t="s">
        <v>373</v>
      </c>
      <c r="I608" s="2">
        <v>0</v>
      </c>
      <c r="J608" s="2">
        <v>0</v>
      </c>
      <c r="K608" s="2">
        <v>0</v>
      </c>
      <c r="L608" s="2">
        <v>0</v>
      </c>
      <c r="M608" s="51">
        <v>0</v>
      </c>
      <c r="N608" s="51">
        <v>0</v>
      </c>
      <c r="P608" s="51">
        <v>0</v>
      </c>
      <c r="Q608" s="51">
        <v>5298</v>
      </c>
      <c r="R608" s="51">
        <v>10596</v>
      </c>
      <c r="T608" s="51">
        <v>10596</v>
      </c>
      <c r="U608" s="2">
        <v>0</v>
      </c>
      <c r="V608" s="2">
        <v>0</v>
      </c>
      <c r="W608" t="s">
        <v>373</v>
      </c>
      <c r="X608" t="s">
        <v>373</v>
      </c>
      <c r="Y608">
        <v>394.2</v>
      </c>
      <c r="Z608">
        <v>391.86</v>
      </c>
      <c r="AB608" s="2">
        <v>1</v>
      </c>
      <c r="AC608">
        <v>188.8</v>
      </c>
      <c r="AD608">
        <v>180.83</v>
      </c>
      <c r="AF608" s="2">
        <v>1</v>
      </c>
      <c r="AJ608" t="s">
        <v>373</v>
      </c>
      <c r="AK608">
        <v>94.61</v>
      </c>
      <c r="AL608">
        <v>90.03</v>
      </c>
      <c r="AN608" s="2">
        <v>1</v>
      </c>
      <c r="AR608" t="s">
        <v>373</v>
      </c>
      <c r="AS608" t="s">
        <v>46</v>
      </c>
      <c r="AT608" t="str">
        <f t="shared" si="9"/>
        <v>Cynthiana - 114SL</v>
      </c>
    </row>
    <row r="609" spans="1:46" x14ac:dyDescent="0.25">
      <c r="A609" t="s">
        <v>316</v>
      </c>
      <c r="B609" t="s">
        <v>257</v>
      </c>
      <c r="C609" t="s">
        <v>128</v>
      </c>
      <c r="D609" s="50">
        <v>46023</v>
      </c>
      <c r="E609" s="2">
        <v>1</v>
      </c>
      <c r="F609" s="2">
        <v>0.89800000000000002</v>
      </c>
      <c r="G609" t="s">
        <v>373</v>
      </c>
      <c r="H609" t="s">
        <v>373</v>
      </c>
      <c r="I609" s="2">
        <v>0</v>
      </c>
      <c r="J609" s="2">
        <v>0</v>
      </c>
      <c r="K609" s="2">
        <v>0</v>
      </c>
      <c r="L609" s="2">
        <v>0</v>
      </c>
      <c r="M609" s="51">
        <v>1087</v>
      </c>
      <c r="N609" s="51">
        <v>1553</v>
      </c>
      <c r="P609" s="51">
        <v>1553</v>
      </c>
      <c r="Q609" s="51">
        <v>7014</v>
      </c>
      <c r="R609" s="51">
        <v>13013</v>
      </c>
      <c r="T609" s="51">
        <v>13013</v>
      </c>
      <c r="U609" s="2">
        <v>0.155</v>
      </c>
      <c r="V609" s="2">
        <v>0.11899999999999999</v>
      </c>
      <c r="W609" t="s">
        <v>373</v>
      </c>
      <c r="X609" t="s">
        <v>373</v>
      </c>
      <c r="Y609">
        <v>416.84</v>
      </c>
      <c r="Z609">
        <v>418.64</v>
      </c>
      <c r="AB609" s="2">
        <v>1</v>
      </c>
      <c r="AC609">
        <v>178.57</v>
      </c>
      <c r="AD609">
        <v>185.98</v>
      </c>
      <c r="AF609" s="2">
        <v>1</v>
      </c>
      <c r="AJ609" t="s">
        <v>373</v>
      </c>
      <c r="AK609">
        <v>113.13</v>
      </c>
      <c r="AL609">
        <v>123.21</v>
      </c>
      <c r="AN609" s="2">
        <v>1</v>
      </c>
      <c r="AP609">
        <v>113.73</v>
      </c>
      <c r="AR609" s="2">
        <v>1</v>
      </c>
      <c r="AS609" t="s">
        <v>46</v>
      </c>
      <c r="AT609" t="str">
        <f t="shared" si="9"/>
        <v>Harrodsburg - 2187SL</v>
      </c>
    </row>
    <row r="610" spans="1:46" x14ac:dyDescent="0.25">
      <c r="A610" t="s">
        <v>316</v>
      </c>
      <c r="B610" t="s">
        <v>257</v>
      </c>
      <c r="C610" t="s">
        <v>128</v>
      </c>
      <c r="D610" s="50">
        <v>46054</v>
      </c>
      <c r="E610" s="2">
        <v>0.78600000000000003</v>
      </c>
      <c r="F610" s="2">
        <v>0.89800000000000002</v>
      </c>
      <c r="G610" t="s">
        <v>373</v>
      </c>
      <c r="H610" t="s">
        <v>373</v>
      </c>
      <c r="I610" s="2">
        <v>0</v>
      </c>
      <c r="J610" s="2">
        <v>0</v>
      </c>
      <c r="K610" s="2">
        <v>0</v>
      </c>
      <c r="L610" s="2">
        <v>0</v>
      </c>
      <c r="M610" s="51">
        <v>466</v>
      </c>
      <c r="N610" s="51">
        <v>1553</v>
      </c>
      <c r="P610" s="51">
        <v>1553</v>
      </c>
      <c r="Q610" s="51">
        <v>5999</v>
      </c>
      <c r="R610" s="51">
        <v>13013</v>
      </c>
      <c r="T610" s="51">
        <v>13013</v>
      </c>
      <c r="U610" s="2">
        <v>7.8E-2</v>
      </c>
      <c r="V610" s="2">
        <v>0.11899999999999999</v>
      </c>
      <c r="W610" t="s">
        <v>373</v>
      </c>
      <c r="X610" t="s">
        <v>373</v>
      </c>
      <c r="Y610">
        <v>420.43</v>
      </c>
      <c r="Z610">
        <v>418.64</v>
      </c>
      <c r="AB610" s="2">
        <v>1</v>
      </c>
      <c r="AC610">
        <v>193.39</v>
      </c>
      <c r="AD610">
        <v>185.98</v>
      </c>
      <c r="AF610" s="2">
        <v>1</v>
      </c>
      <c r="AJ610" t="s">
        <v>373</v>
      </c>
      <c r="AK610">
        <v>133.30000000000001</v>
      </c>
      <c r="AL610">
        <v>123.21</v>
      </c>
      <c r="AN610" s="2">
        <v>1</v>
      </c>
      <c r="AO610">
        <v>113.73</v>
      </c>
      <c r="AP610">
        <v>113.73</v>
      </c>
      <c r="AR610" s="2">
        <v>1</v>
      </c>
      <c r="AS610" t="s">
        <v>46</v>
      </c>
      <c r="AT610" t="str">
        <f t="shared" si="9"/>
        <v>Harrodsburg - 2187SL</v>
      </c>
    </row>
    <row r="611" spans="1:46" x14ac:dyDescent="0.25">
      <c r="A611" t="s">
        <v>316</v>
      </c>
      <c r="B611" t="s">
        <v>257</v>
      </c>
      <c r="C611" t="s">
        <v>142</v>
      </c>
      <c r="D611" s="50">
        <v>46023</v>
      </c>
      <c r="E611" s="2">
        <v>1</v>
      </c>
      <c r="F611" s="2">
        <v>1</v>
      </c>
      <c r="G611" t="s">
        <v>373</v>
      </c>
      <c r="H611" t="s">
        <v>373</v>
      </c>
      <c r="I611" s="2">
        <v>0</v>
      </c>
      <c r="J611" s="2">
        <v>0</v>
      </c>
      <c r="K611" s="2">
        <v>0</v>
      </c>
      <c r="L611" s="2">
        <v>0</v>
      </c>
      <c r="M611" s="51">
        <v>0</v>
      </c>
      <c r="N611" s="51">
        <v>0</v>
      </c>
      <c r="P611" s="51">
        <v>0</v>
      </c>
      <c r="Q611" s="51">
        <v>97088</v>
      </c>
      <c r="R611" s="51">
        <v>191530</v>
      </c>
      <c r="T611" s="51">
        <v>191530</v>
      </c>
      <c r="U611" s="2">
        <v>0</v>
      </c>
      <c r="V611" s="2">
        <v>0</v>
      </c>
      <c r="W611" t="s">
        <v>373</v>
      </c>
      <c r="X611" t="s">
        <v>373</v>
      </c>
      <c r="Y611">
        <v>474.79</v>
      </c>
      <c r="Z611">
        <v>472.18</v>
      </c>
      <c r="AB611" s="2">
        <v>1</v>
      </c>
      <c r="AC611">
        <v>211.21</v>
      </c>
      <c r="AD611">
        <v>221.94</v>
      </c>
      <c r="AF611" s="2">
        <v>1</v>
      </c>
      <c r="AG611">
        <v>251.41</v>
      </c>
      <c r="AH611">
        <v>263.36</v>
      </c>
      <c r="AJ611" s="2">
        <v>1</v>
      </c>
      <c r="AK611">
        <v>125.27</v>
      </c>
      <c r="AL611">
        <v>130.1</v>
      </c>
      <c r="AN611" s="2">
        <v>1</v>
      </c>
      <c r="AR611" t="s">
        <v>373</v>
      </c>
      <c r="AS611" t="s">
        <v>46</v>
      </c>
      <c r="AT611" t="str">
        <f t="shared" si="9"/>
        <v>La Grange - 177SL</v>
      </c>
    </row>
    <row r="612" spans="1:46" x14ac:dyDescent="0.25">
      <c r="A612" t="s">
        <v>316</v>
      </c>
      <c r="B612" t="s">
        <v>257</v>
      </c>
      <c r="C612" t="s">
        <v>142</v>
      </c>
      <c r="D612" s="50">
        <v>46054</v>
      </c>
      <c r="E612" s="2">
        <v>1</v>
      </c>
      <c r="F612" s="2">
        <v>1</v>
      </c>
      <c r="G612" t="s">
        <v>373</v>
      </c>
      <c r="H612" t="s">
        <v>373</v>
      </c>
      <c r="I612" s="2">
        <v>0</v>
      </c>
      <c r="J612" s="2">
        <v>0</v>
      </c>
      <c r="K612" s="2">
        <v>0</v>
      </c>
      <c r="L612" s="2">
        <v>0</v>
      </c>
      <c r="M612" s="51">
        <v>0</v>
      </c>
      <c r="N612" s="51">
        <v>0</v>
      </c>
      <c r="P612" s="51">
        <v>0</v>
      </c>
      <c r="Q612" s="51">
        <v>94442</v>
      </c>
      <c r="R612" s="51">
        <v>191530</v>
      </c>
      <c r="T612" s="51">
        <v>191530</v>
      </c>
      <c r="U612" s="2">
        <v>0</v>
      </c>
      <c r="V612" s="2">
        <v>0</v>
      </c>
      <c r="W612" t="s">
        <v>373</v>
      </c>
      <c r="X612" t="s">
        <v>373</v>
      </c>
      <c r="Y612">
        <v>469.57</v>
      </c>
      <c r="Z612">
        <v>472.18</v>
      </c>
      <c r="AB612" s="2">
        <v>1</v>
      </c>
      <c r="AC612">
        <v>232.68</v>
      </c>
      <c r="AD612">
        <v>221.94</v>
      </c>
      <c r="AF612" s="2">
        <v>1</v>
      </c>
      <c r="AG612">
        <v>275.32</v>
      </c>
      <c r="AH612">
        <v>263.36</v>
      </c>
      <c r="AJ612" s="2">
        <v>1</v>
      </c>
      <c r="AK612">
        <v>134.91999999999999</v>
      </c>
      <c r="AL612">
        <v>130.1</v>
      </c>
      <c r="AN612" s="2">
        <v>1</v>
      </c>
      <c r="AR612" t="s">
        <v>373</v>
      </c>
      <c r="AS612" t="s">
        <v>46</v>
      </c>
      <c r="AT612" t="str">
        <f t="shared" si="9"/>
        <v>La Grange - 177SL</v>
      </c>
    </row>
    <row r="613" spans="1:46" x14ac:dyDescent="0.25">
      <c r="A613" t="s">
        <v>316</v>
      </c>
      <c r="B613" t="s">
        <v>257</v>
      </c>
      <c r="C613" t="s">
        <v>156</v>
      </c>
      <c r="D613" s="50">
        <v>46023</v>
      </c>
      <c r="E613" s="2">
        <v>1</v>
      </c>
      <c r="F613" s="2">
        <v>1</v>
      </c>
      <c r="G613" t="s">
        <v>373</v>
      </c>
      <c r="H613" t="s">
        <v>373</v>
      </c>
      <c r="I613" s="2">
        <v>0</v>
      </c>
      <c r="J613" s="2">
        <v>0</v>
      </c>
      <c r="K613" s="2">
        <v>0</v>
      </c>
      <c r="L613" s="2">
        <v>0</v>
      </c>
      <c r="M613" s="51">
        <v>0</v>
      </c>
      <c r="N613" s="51">
        <v>0</v>
      </c>
      <c r="P613" s="51">
        <v>0</v>
      </c>
      <c r="Q613" s="51">
        <v>3582</v>
      </c>
      <c r="R613" s="51">
        <v>7164</v>
      </c>
      <c r="T613" s="51">
        <v>7164</v>
      </c>
      <c r="U613" s="2">
        <v>0</v>
      </c>
      <c r="V613" s="2">
        <v>0</v>
      </c>
      <c r="W613" t="s">
        <v>373</v>
      </c>
      <c r="X613" t="s">
        <v>373</v>
      </c>
      <c r="Y613">
        <v>410.28</v>
      </c>
      <c r="Z613">
        <v>418.33</v>
      </c>
      <c r="AB613" s="2">
        <v>1</v>
      </c>
      <c r="AC613">
        <v>188.85</v>
      </c>
      <c r="AD613">
        <v>198.73</v>
      </c>
      <c r="AF613" s="2">
        <v>1</v>
      </c>
      <c r="AG613">
        <v>249.6</v>
      </c>
      <c r="AH613">
        <v>263.33</v>
      </c>
      <c r="AJ613" s="2">
        <v>1</v>
      </c>
      <c r="AK613">
        <v>115.55</v>
      </c>
      <c r="AL613">
        <v>121.74</v>
      </c>
      <c r="AN613" s="2">
        <v>1</v>
      </c>
      <c r="AR613" t="s">
        <v>373</v>
      </c>
      <c r="AS613" t="s">
        <v>46</v>
      </c>
      <c r="AT613" t="str">
        <f t="shared" si="9"/>
        <v>Lexington WC - 2148SL</v>
      </c>
    </row>
    <row r="614" spans="1:46" x14ac:dyDescent="0.25">
      <c r="A614" t="s">
        <v>316</v>
      </c>
      <c r="B614" t="s">
        <v>257</v>
      </c>
      <c r="C614" t="s">
        <v>156</v>
      </c>
      <c r="D614" s="50">
        <v>46054</v>
      </c>
      <c r="E614" s="2">
        <v>1</v>
      </c>
      <c r="F614" s="2">
        <v>1</v>
      </c>
      <c r="G614" t="s">
        <v>373</v>
      </c>
      <c r="H614" t="s">
        <v>373</v>
      </c>
      <c r="I614" s="2">
        <v>0</v>
      </c>
      <c r="J614" s="2">
        <v>0</v>
      </c>
      <c r="K614" s="2">
        <v>0</v>
      </c>
      <c r="L614" s="2">
        <v>0</v>
      </c>
      <c r="M614" s="51">
        <v>0</v>
      </c>
      <c r="N614" s="51">
        <v>0</v>
      </c>
      <c r="P614" s="51">
        <v>0</v>
      </c>
      <c r="Q614" s="51">
        <v>3582</v>
      </c>
      <c r="R614" s="51">
        <v>7164</v>
      </c>
      <c r="T614" s="51">
        <v>7164</v>
      </c>
      <c r="U614" s="2">
        <v>0</v>
      </c>
      <c r="V614" s="2">
        <v>0</v>
      </c>
      <c r="W614" t="s">
        <v>373</v>
      </c>
      <c r="X614" t="s">
        <v>373</v>
      </c>
      <c r="Y614">
        <v>426.38</v>
      </c>
      <c r="Z614">
        <v>418.33</v>
      </c>
      <c r="AB614" s="2">
        <v>1</v>
      </c>
      <c r="AC614">
        <v>208.61</v>
      </c>
      <c r="AD614">
        <v>198.73</v>
      </c>
      <c r="AF614" s="2">
        <v>1</v>
      </c>
      <c r="AG614">
        <v>277.06</v>
      </c>
      <c r="AH614">
        <v>263.33</v>
      </c>
      <c r="AJ614" s="2">
        <v>1</v>
      </c>
      <c r="AK614">
        <v>127.93</v>
      </c>
      <c r="AL614">
        <v>121.74</v>
      </c>
      <c r="AN614" s="2">
        <v>1</v>
      </c>
      <c r="AR614" t="s">
        <v>373</v>
      </c>
      <c r="AS614" t="s">
        <v>46</v>
      </c>
      <c r="AT614" t="str">
        <f t="shared" si="9"/>
        <v>Lexington WC - 2148SL</v>
      </c>
    </row>
    <row r="615" spans="1:46" x14ac:dyDescent="0.25">
      <c r="A615" t="s">
        <v>316</v>
      </c>
      <c r="B615" t="s">
        <v>257</v>
      </c>
      <c r="C615" t="s">
        <v>159</v>
      </c>
      <c r="D615" s="50">
        <v>46023</v>
      </c>
      <c r="E615" s="2">
        <v>0</v>
      </c>
      <c r="F615" s="2">
        <v>0</v>
      </c>
      <c r="G615" t="s">
        <v>373</v>
      </c>
      <c r="H615" t="s">
        <v>373</v>
      </c>
      <c r="I615" s="2">
        <v>0</v>
      </c>
      <c r="J615" s="2">
        <v>0</v>
      </c>
      <c r="K615" s="2">
        <v>0</v>
      </c>
      <c r="L615" s="2">
        <v>0</v>
      </c>
      <c r="M615" s="51">
        <v>0</v>
      </c>
      <c r="N615" s="51">
        <v>0</v>
      </c>
      <c r="P615" s="51">
        <v>0</v>
      </c>
      <c r="Q615" s="51">
        <v>0</v>
      </c>
      <c r="R615" s="51">
        <v>0</v>
      </c>
      <c r="T615" s="51">
        <v>0</v>
      </c>
      <c r="U615" t="s">
        <v>374</v>
      </c>
      <c r="V615" t="s">
        <v>374</v>
      </c>
      <c r="W615" t="s">
        <v>373</v>
      </c>
      <c r="X615" t="s">
        <v>374</v>
      </c>
      <c r="Y615">
        <v>472.67</v>
      </c>
      <c r="Z615">
        <v>471.61</v>
      </c>
      <c r="AB615" s="2">
        <v>1</v>
      </c>
      <c r="AC615">
        <v>171.52</v>
      </c>
      <c r="AD615">
        <v>176.17</v>
      </c>
      <c r="AF615" s="2">
        <v>1</v>
      </c>
      <c r="AG615">
        <v>242.4</v>
      </c>
      <c r="AH615">
        <v>255.51</v>
      </c>
      <c r="AJ615" s="2">
        <v>1</v>
      </c>
      <c r="AN615" t="s">
        <v>373</v>
      </c>
      <c r="AR615" t="s">
        <v>373</v>
      </c>
      <c r="AS615" t="s">
        <v>46</v>
      </c>
      <c r="AT615" t="str">
        <f t="shared" si="9"/>
        <v>Lexington WH - 2146SL</v>
      </c>
    </row>
    <row r="616" spans="1:46" x14ac:dyDescent="0.25">
      <c r="A616" t="s">
        <v>316</v>
      </c>
      <c r="B616" t="s">
        <v>257</v>
      </c>
      <c r="C616" t="s">
        <v>159</v>
      </c>
      <c r="D616" s="50">
        <v>46054</v>
      </c>
      <c r="E616" s="2">
        <v>0</v>
      </c>
      <c r="F616" s="2">
        <v>0</v>
      </c>
      <c r="G616" t="s">
        <v>373</v>
      </c>
      <c r="H616" t="s">
        <v>373</v>
      </c>
      <c r="I616" s="2">
        <v>0</v>
      </c>
      <c r="J616" s="2">
        <v>0</v>
      </c>
      <c r="K616" s="2">
        <v>0</v>
      </c>
      <c r="L616" s="2">
        <v>0</v>
      </c>
      <c r="M616" s="51">
        <v>0</v>
      </c>
      <c r="N616" s="51">
        <v>0</v>
      </c>
      <c r="P616" s="51">
        <v>0</v>
      </c>
      <c r="Q616" s="51">
        <v>0</v>
      </c>
      <c r="R616" s="51">
        <v>0</v>
      </c>
      <c r="T616" s="51">
        <v>0</v>
      </c>
      <c r="U616" t="s">
        <v>374</v>
      </c>
      <c r="V616" t="s">
        <v>374</v>
      </c>
      <c r="W616" t="s">
        <v>373</v>
      </c>
      <c r="X616" t="s">
        <v>374</v>
      </c>
      <c r="Y616">
        <v>470.55</v>
      </c>
      <c r="Z616">
        <v>471.61</v>
      </c>
      <c r="AB616" s="2">
        <v>1</v>
      </c>
      <c r="AC616">
        <v>180.82</v>
      </c>
      <c r="AD616">
        <v>176.17</v>
      </c>
      <c r="AF616" s="2">
        <v>1</v>
      </c>
      <c r="AG616">
        <v>268.61</v>
      </c>
      <c r="AH616">
        <v>255.51</v>
      </c>
      <c r="AJ616" s="2">
        <v>1</v>
      </c>
      <c r="AN616" t="s">
        <v>373</v>
      </c>
      <c r="AR616" t="s">
        <v>373</v>
      </c>
      <c r="AS616" t="s">
        <v>46</v>
      </c>
      <c r="AT616" t="str">
        <f t="shared" si="9"/>
        <v>Lexington WH - 2146SL</v>
      </c>
    </row>
    <row r="617" spans="1:46" x14ac:dyDescent="0.25">
      <c r="A617" t="s">
        <v>316</v>
      </c>
      <c r="B617" t="s">
        <v>258</v>
      </c>
      <c r="C617" t="s">
        <v>183</v>
      </c>
      <c r="D617" s="50">
        <v>46023</v>
      </c>
      <c r="E617" s="2">
        <v>0.86699999999999999</v>
      </c>
      <c r="F617" s="2">
        <v>0.84299999999999997</v>
      </c>
      <c r="G617" t="s">
        <v>373</v>
      </c>
      <c r="H617" t="s">
        <v>373</v>
      </c>
      <c r="I617" s="2">
        <v>0</v>
      </c>
      <c r="J617" s="2">
        <v>0</v>
      </c>
      <c r="K617" s="2">
        <v>0</v>
      </c>
      <c r="L617" s="2">
        <v>0</v>
      </c>
      <c r="M617" s="51">
        <v>0</v>
      </c>
      <c r="N617" s="51">
        <v>0</v>
      </c>
      <c r="P617" s="51">
        <v>0</v>
      </c>
      <c r="Q617" s="51">
        <v>76807</v>
      </c>
      <c r="R617" s="51">
        <v>149129</v>
      </c>
      <c r="T617" s="51">
        <v>149129</v>
      </c>
      <c r="U617" s="2">
        <v>0</v>
      </c>
      <c r="V617" s="2">
        <v>0</v>
      </c>
      <c r="W617" t="s">
        <v>373</v>
      </c>
      <c r="X617" t="s">
        <v>373</v>
      </c>
      <c r="Y617">
        <v>444.03</v>
      </c>
      <c r="Z617">
        <v>458.11</v>
      </c>
      <c r="AB617" s="2">
        <v>1</v>
      </c>
      <c r="AC617">
        <v>192.39</v>
      </c>
      <c r="AD617">
        <v>202.37</v>
      </c>
      <c r="AF617" s="2">
        <v>1</v>
      </c>
      <c r="AJ617" t="s">
        <v>373</v>
      </c>
      <c r="AK617">
        <v>118.35</v>
      </c>
      <c r="AL617">
        <v>125.04</v>
      </c>
      <c r="AN617" s="2">
        <v>1</v>
      </c>
      <c r="AR617" t="s">
        <v>373</v>
      </c>
      <c r="AS617" t="s">
        <v>46</v>
      </c>
      <c r="AT617" t="str">
        <f t="shared" si="9"/>
        <v>Madison - 2157SL</v>
      </c>
    </row>
    <row r="618" spans="1:46" x14ac:dyDescent="0.25">
      <c r="A618" t="s">
        <v>316</v>
      </c>
      <c r="B618" t="s">
        <v>258</v>
      </c>
      <c r="C618" t="s">
        <v>183</v>
      </c>
      <c r="D618" s="50">
        <v>46054</v>
      </c>
      <c r="E618" s="2">
        <v>0.81699999999999995</v>
      </c>
      <c r="F618" s="2">
        <v>0.84299999999999997</v>
      </c>
      <c r="G618" t="s">
        <v>373</v>
      </c>
      <c r="H618" t="s">
        <v>373</v>
      </c>
      <c r="I618" s="2">
        <v>0</v>
      </c>
      <c r="J618" s="2">
        <v>0</v>
      </c>
      <c r="K618" s="2">
        <v>0</v>
      </c>
      <c r="L618" s="2">
        <v>0</v>
      </c>
      <c r="M618" s="51">
        <v>0</v>
      </c>
      <c r="N618" s="51">
        <v>0</v>
      </c>
      <c r="P618" s="51">
        <v>0</v>
      </c>
      <c r="Q618" s="51">
        <v>72322</v>
      </c>
      <c r="R618" s="51">
        <v>149129</v>
      </c>
      <c r="T618" s="51">
        <v>149129</v>
      </c>
      <c r="U618" s="2">
        <v>0</v>
      </c>
      <c r="V618" s="2">
        <v>0</v>
      </c>
      <c r="W618" t="s">
        <v>373</v>
      </c>
      <c r="X618" t="s">
        <v>373</v>
      </c>
      <c r="Y618">
        <v>472.2</v>
      </c>
      <c r="Z618">
        <v>458.11</v>
      </c>
      <c r="AB618" s="2">
        <v>1</v>
      </c>
      <c r="AC618">
        <v>212.35</v>
      </c>
      <c r="AD618">
        <v>202.37</v>
      </c>
      <c r="AF618" s="2">
        <v>1</v>
      </c>
      <c r="AJ618" t="s">
        <v>373</v>
      </c>
      <c r="AK618">
        <v>131.72999999999999</v>
      </c>
      <c r="AL618">
        <v>125.04</v>
      </c>
      <c r="AN618" s="2">
        <v>1</v>
      </c>
      <c r="AR618" t="s">
        <v>373</v>
      </c>
      <c r="AS618" t="s">
        <v>46</v>
      </c>
      <c r="AT618" t="str">
        <f t="shared" si="9"/>
        <v>Madison - 2157SL</v>
      </c>
    </row>
    <row r="619" spans="1:46" x14ac:dyDescent="0.25">
      <c r="A619" t="s">
        <v>316</v>
      </c>
      <c r="B619" t="s">
        <v>259</v>
      </c>
      <c r="C619" t="s">
        <v>113</v>
      </c>
      <c r="D619" s="50">
        <v>46023</v>
      </c>
      <c r="E619" s="2">
        <v>0.67200000000000004</v>
      </c>
      <c r="F619" s="2">
        <v>0.65600000000000003</v>
      </c>
      <c r="G619" t="s">
        <v>373</v>
      </c>
      <c r="H619" t="s">
        <v>373</v>
      </c>
      <c r="I619" s="2">
        <v>0</v>
      </c>
      <c r="J619" s="2">
        <v>0</v>
      </c>
      <c r="K619" s="2">
        <v>0</v>
      </c>
      <c r="L619" s="2">
        <v>0</v>
      </c>
      <c r="M619" s="51">
        <v>2109</v>
      </c>
      <c r="N619" s="51">
        <v>3779</v>
      </c>
      <c r="P619" s="51">
        <v>3779</v>
      </c>
      <c r="Q619" s="51">
        <v>46377</v>
      </c>
      <c r="R619" s="51">
        <v>92372</v>
      </c>
      <c r="T619" s="51">
        <v>92372</v>
      </c>
      <c r="U619" s="2">
        <v>4.4999999999999998E-2</v>
      </c>
      <c r="V619" s="2">
        <v>4.1000000000000002E-2</v>
      </c>
      <c r="W619" t="s">
        <v>373</v>
      </c>
      <c r="X619" t="s">
        <v>373</v>
      </c>
      <c r="Y619">
        <v>400.58</v>
      </c>
      <c r="Z619">
        <v>404.67</v>
      </c>
      <c r="AB619" s="2">
        <v>1</v>
      </c>
      <c r="AC619">
        <v>171.1</v>
      </c>
      <c r="AD619">
        <v>180.61</v>
      </c>
      <c r="AF619" s="2">
        <v>1</v>
      </c>
      <c r="AG619">
        <v>224.03</v>
      </c>
      <c r="AH619">
        <v>234.62</v>
      </c>
      <c r="AJ619" s="2">
        <v>1</v>
      </c>
      <c r="AK619">
        <v>115.94</v>
      </c>
      <c r="AL619">
        <v>120.81</v>
      </c>
      <c r="AN619" s="2">
        <v>1</v>
      </c>
      <c r="AR619" t="s">
        <v>373</v>
      </c>
      <c r="AS619" t="s">
        <v>46</v>
      </c>
      <c r="AT619" t="str">
        <f t="shared" si="9"/>
        <v>Gahanna - 436SL</v>
      </c>
    </row>
    <row r="620" spans="1:46" x14ac:dyDescent="0.25">
      <c r="A620" t="s">
        <v>316</v>
      </c>
      <c r="B620" t="s">
        <v>259</v>
      </c>
      <c r="C620" t="s">
        <v>113</v>
      </c>
      <c r="D620" s="50">
        <v>46054</v>
      </c>
      <c r="E620" s="2">
        <v>0.64</v>
      </c>
      <c r="F620" s="2">
        <v>0.65600000000000003</v>
      </c>
      <c r="G620" t="s">
        <v>373</v>
      </c>
      <c r="H620" t="s">
        <v>373</v>
      </c>
      <c r="I620" s="2">
        <v>0</v>
      </c>
      <c r="J620" s="2">
        <v>0</v>
      </c>
      <c r="K620" s="2">
        <v>0</v>
      </c>
      <c r="L620" s="2">
        <v>0</v>
      </c>
      <c r="M620" s="51">
        <v>1670</v>
      </c>
      <c r="N620" s="51">
        <v>3779</v>
      </c>
      <c r="P620" s="51">
        <v>3779</v>
      </c>
      <c r="Q620" s="51">
        <v>45995</v>
      </c>
      <c r="R620" s="51">
        <v>92372</v>
      </c>
      <c r="T620" s="51">
        <v>92372</v>
      </c>
      <c r="U620" s="2">
        <v>3.5999999999999997E-2</v>
      </c>
      <c r="V620" s="2">
        <v>4.1000000000000002E-2</v>
      </c>
      <c r="W620" t="s">
        <v>373</v>
      </c>
      <c r="X620" t="s">
        <v>373</v>
      </c>
      <c r="Y620">
        <v>408.76</v>
      </c>
      <c r="Z620">
        <v>404.67</v>
      </c>
      <c r="AB620" s="2">
        <v>1</v>
      </c>
      <c r="AC620">
        <v>190.12</v>
      </c>
      <c r="AD620">
        <v>180.61</v>
      </c>
      <c r="AF620" s="2">
        <v>1</v>
      </c>
      <c r="AG620">
        <v>245.21</v>
      </c>
      <c r="AH620">
        <v>234.62</v>
      </c>
      <c r="AJ620" s="2">
        <v>1</v>
      </c>
      <c r="AK620">
        <v>125.67</v>
      </c>
      <c r="AL620">
        <v>120.81</v>
      </c>
      <c r="AN620" s="2">
        <v>1</v>
      </c>
      <c r="AR620" t="s">
        <v>373</v>
      </c>
      <c r="AS620" t="s">
        <v>46</v>
      </c>
      <c r="AT620" t="str">
        <f t="shared" si="9"/>
        <v>Gahanna - 436SL</v>
      </c>
    </row>
    <row r="621" spans="1:46" x14ac:dyDescent="0.25">
      <c r="A621" t="s">
        <v>316</v>
      </c>
      <c r="B621" t="s">
        <v>259</v>
      </c>
      <c r="C621" t="s">
        <v>130</v>
      </c>
      <c r="D621" s="50">
        <v>46023</v>
      </c>
      <c r="E621" s="2">
        <v>0.83299999999999996</v>
      </c>
      <c r="F621" s="2">
        <v>0.82099999999999995</v>
      </c>
      <c r="G621" t="s">
        <v>373</v>
      </c>
      <c r="H621" t="s">
        <v>373</v>
      </c>
      <c r="I621" s="2">
        <v>0</v>
      </c>
      <c r="J621" s="2">
        <v>0</v>
      </c>
      <c r="K621" s="2">
        <v>0</v>
      </c>
      <c r="L621" s="2">
        <v>0</v>
      </c>
      <c r="M621" s="51">
        <v>546</v>
      </c>
      <c r="N621" s="51">
        <v>1092</v>
      </c>
      <c r="P621" s="51">
        <v>1092</v>
      </c>
      <c r="Q621" s="51">
        <v>85658</v>
      </c>
      <c r="R621" s="51">
        <v>169149</v>
      </c>
      <c r="T621" s="51">
        <v>169149</v>
      </c>
      <c r="U621" s="2">
        <v>6.0000000000000001E-3</v>
      </c>
      <c r="V621" s="2">
        <v>6.0000000000000001E-3</v>
      </c>
      <c r="W621" t="s">
        <v>373</v>
      </c>
      <c r="X621" t="s">
        <v>373</v>
      </c>
      <c r="Y621">
        <v>415.64</v>
      </c>
      <c r="Z621">
        <v>420.73</v>
      </c>
      <c r="AB621" s="2">
        <v>1</v>
      </c>
      <c r="AC621">
        <v>184.2</v>
      </c>
      <c r="AD621">
        <v>194.07</v>
      </c>
      <c r="AF621" s="2">
        <v>1</v>
      </c>
      <c r="AG621">
        <v>235.93</v>
      </c>
      <c r="AH621">
        <v>247.28</v>
      </c>
      <c r="AJ621" s="2">
        <v>1</v>
      </c>
      <c r="AK621">
        <v>138.16</v>
      </c>
      <c r="AL621">
        <v>145.96</v>
      </c>
      <c r="AN621" s="2">
        <v>1</v>
      </c>
      <c r="AR621" t="s">
        <v>373</v>
      </c>
      <c r="AS621" t="s">
        <v>46</v>
      </c>
      <c r="AT621" t="str">
        <f t="shared" si="9"/>
        <v>Hilliard - 437SL</v>
      </c>
    </row>
    <row r="622" spans="1:46" x14ac:dyDescent="0.25">
      <c r="A622" t="s">
        <v>316</v>
      </c>
      <c r="B622" t="s">
        <v>259</v>
      </c>
      <c r="C622" t="s">
        <v>130</v>
      </c>
      <c r="D622" s="50">
        <v>46054</v>
      </c>
      <c r="E622" s="2">
        <v>0.80800000000000005</v>
      </c>
      <c r="F622" s="2">
        <v>0.82099999999999995</v>
      </c>
      <c r="G622" t="s">
        <v>373</v>
      </c>
      <c r="H622" t="s">
        <v>373</v>
      </c>
      <c r="I622" s="2">
        <v>0</v>
      </c>
      <c r="J622" s="2">
        <v>0</v>
      </c>
      <c r="K622" s="2">
        <v>0</v>
      </c>
      <c r="L622" s="2">
        <v>0</v>
      </c>
      <c r="M622" s="51">
        <v>546</v>
      </c>
      <c r="N622" s="51">
        <v>1092</v>
      </c>
      <c r="P622" s="51">
        <v>1092</v>
      </c>
      <c r="Q622" s="51">
        <v>83491</v>
      </c>
      <c r="R622" s="51">
        <v>169149</v>
      </c>
      <c r="T622" s="51">
        <v>169149</v>
      </c>
      <c r="U622" s="2">
        <v>7.0000000000000001E-3</v>
      </c>
      <c r="V622" s="2">
        <v>6.0000000000000001E-3</v>
      </c>
      <c r="W622" t="s">
        <v>373</v>
      </c>
      <c r="X622" t="s">
        <v>373</v>
      </c>
      <c r="Y622">
        <v>425.83</v>
      </c>
      <c r="Z622">
        <v>420.73</v>
      </c>
      <c r="AB622" s="2">
        <v>1</v>
      </c>
      <c r="AC622">
        <v>203.94</v>
      </c>
      <c r="AD622">
        <v>194.07</v>
      </c>
      <c r="AF622" s="2">
        <v>1</v>
      </c>
      <c r="AG622">
        <v>258.63</v>
      </c>
      <c r="AH622">
        <v>247.28</v>
      </c>
      <c r="AJ622" s="2">
        <v>1</v>
      </c>
      <c r="AK622">
        <v>153.76</v>
      </c>
      <c r="AL622">
        <v>145.96</v>
      </c>
      <c r="AN622" s="2">
        <v>1</v>
      </c>
      <c r="AR622" t="s">
        <v>373</v>
      </c>
      <c r="AS622" t="s">
        <v>46</v>
      </c>
      <c r="AT622" t="str">
        <f t="shared" si="9"/>
        <v>Hilliard - 437SL</v>
      </c>
    </row>
    <row r="623" spans="1:46" x14ac:dyDescent="0.25">
      <c r="A623" t="s">
        <v>316</v>
      </c>
      <c r="B623" t="s">
        <v>259</v>
      </c>
      <c r="C623" t="s">
        <v>147</v>
      </c>
      <c r="D623" s="50">
        <v>46023</v>
      </c>
      <c r="E623" s="2">
        <v>0.879</v>
      </c>
      <c r="F623" s="2">
        <v>0.88100000000000001</v>
      </c>
      <c r="G623" t="s">
        <v>373</v>
      </c>
      <c r="H623" t="s">
        <v>373</v>
      </c>
      <c r="I623" s="2">
        <v>0</v>
      </c>
      <c r="J623" s="2">
        <v>0</v>
      </c>
      <c r="K623" s="2">
        <v>0</v>
      </c>
      <c r="L623" s="2">
        <v>0</v>
      </c>
      <c r="M623" s="51">
        <v>0</v>
      </c>
      <c r="N623" s="51">
        <v>500</v>
      </c>
      <c r="P623" s="51">
        <v>500</v>
      </c>
      <c r="Q623" s="51">
        <v>95692</v>
      </c>
      <c r="R623" s="51">
        <v>187325</v>
      </c>
      <c r="T623" s="51">
        <v>187325</v>
      </c>
      <c r="U623" s="2">
        <v>0</v>
      </c>
      <c r="V623" s="2">
        <v>3.0000000000000001E-3</v>
      </c>
      <c r="W623" t="s">
        <v>373</v>
      </c>
      <c r="X623" t="s">
        <v>373</v>
      </c>
      <c r="Y623">
        <v>384.7</v>
      </c>
      <c r="Z623">
        <v>386.26</v>
      </c>
      <c r="AB623" s="2">
        <v>1</v>
      </c>
      <c r="AC623">
        <v>191.29</v>
      </c>
      <c r="AD623">
        <v>201.14</v>
      </c>
      <c r="AF623" s="2">
        <v>1</v>
      </c>
      <c r="AG623">
        <v>256.70999999999998</v>
      </c>
      <c r="AH623">
        <v>271.14</v>
      </c>
      <c r="AJ623" s="2">
        <v>1</v>
      </c>
      <c r="AK623">
        <v>134.4</v>
      </c>
      <c r="AL623">
        <v>141.34</v>
      </c>
      <c r="AN623" s="2">
        <v>1</v>
      </c>
      <c r="AR623" t="s">
        <v>373</v>
      </c>
      <c r="AS623" t="s">
        <v>46</v>
      </c>
      <c r="AT623" t="str">
        <f t="shared" si="9"/>
        <v>Lancaster - 445SL</v>
      </c>
    </row>
    <row r="624" spans="1:46" x14ac:dyDescent="0.25">
      <c r="A624" t="s">
        <v>316</v>
      </c>
      <c r="B624" t="s">
        <v>259</v>
      </c>
      <c r="C624" t="s">
        <v>147</v>
      </c>
      <c r="D624" s="50">
        <v>46054</v>
      </c>
      <c r="E624" s="2">
        <v>0.88300000000000001</v>
      </c>
      <c r="F624" s="2">
        <v>0.88100000000000001</v>
      </c>
      <c r="G624" t="s">
        <v>373</v>
      </c>
      <c r="H624" t="s">
        <v>373</v>
      </c>
      <c r="I624" s="2">
        <v>0</v>
      </c>
      <c r="J624" s="2">
        <v>0</v>
      </c>
      <c r="K624" s="2">
        <v>0</v>
      </c>
      <c r="L624" s="2">
        <v>0</v>
      </c>
      <c r="M624" s="51">
        <v>500</v>
      </c>
      <c r="N624" s="51">
        <v>500</v>
      </c>
      <c r="P624" s="51">
        <v>500</v>
      </c>
      <c r="Q624" s="51">
        <v>91633</v>
      </c>
      <c r="R624" s="51">
        <v>187325</v>
      </c>
      <c r="T624" s="51">
        <v>187325</v>
      </c>
      <c r="U624" s="2">
        <v>5.0000000000000001E-3</v>
      </c>
      <c r="V624" s="2">
        <v>3.0000000000000001E-3</v>
      </c>
      <c r="W624" t="s">
        <v>373</v>
      </c>
      <c r="X624" t="s">
        <v>373</v>
      </c>
      <c r="Y624">
        <v>387.82</v>
      </c>
      <c r="Z624">
        <v>386.26</v>
      </c>
      <c r="AB624" s="2">
        <v>1</v>
      </c>
      <c r="AC624">
        <v>211</v>
      </c>
      <c r="AD624">
        <v>201.14</v>
      </c>
      <c r="AF624" s="2">
        <v>1</v>
      </c>
      <c r="AG624">
        <v>285.57</v>
      </c>
      <c r="AH624">
        <v>271.14</v>
      </c>
      <c r="AJ624" s="2">
        <v>1</v>
      </c>
      <c r="AK624">
        <v>148.27000000000001</v>
      </c>
      <c r="AL624">
        <v>141.34</v>
      </c>
      <c r="AN624" s="2">
        <v>1</v>
      </c>
      <c r="AR624" t="s">
        <v>373</v>
      </c>
      <c r="AS624" t="s">
        <v>46</v>
      </c>
      <c r="AT624" t="str">
        <f t="shared" si="9"/>
        <v>Lancaster - 445SL</v>
      </c>
    </row>
    <row r="625" spans="1:46" x14ac:dyDescent="0.25">
      <c r="A625" t="s">
        <v>316</v>
      </c>
      <c r="B625" t="s">
        <v>259</v>
      </c>
      <c r="C625" t="s">
        <v>198</v>
      </c>
      <c r="D625" s="50">
        <v>46023</v>
      </c>
      <c r="E625" s="2">
        <v>0.72699999999999998</v>
      </c>
      <c r="F625" s="2">
        <v>0.67100000000000004</v>
      </c>
      <c r="G625" t="s">
        <v>373</v>
      </c>
      <c r="H625" t="s">
        <v>373</v>
      </c>
      <c r="I625" s="2">
        <v>0</v>
      </c>
      <c r="J625" s="2">
        <v>0</v>
      </c>
      <c r="K625" s="2">
        <v>0</v>
      </c>
      <c r="L625" s="2">
        <v>0</v>
      </c>
      <c r="M625" s="51">
        <v>0</v>
      </c>
      <c r="N625" s="51">
        <v>0</v>
      </c>
      <c r="P625" s="51">
        <v>0</v>
      </c>
      <c r="Q625" s="51">
        <v>56288</v>
      </c>
      <c r="R625" s="51">
        <v>102733</v>
      </c>
      <c r="T625" s="51">
        <v>102733</v>
      </c>
      <c r="U625" s="2">
        <v>0</v>
      </c>
      <c r="V625" s="2">
        <v>0</v>
      </c>
      <c r="W625" t="s">
        <v>373</v>
      </c>
      <c r="X625" t="s">
        <v>373</v>
      </c>
      <c r="Y625">
        <v>387.86</v>
      </c>
      <c r="Z625">
        <v>401.36</v>
      </c>
      <c r="AB625" s="2">
        <v>1</v>
      </c>
      <c r="AC625">
        <v>192.66</v>
      </c>
      <c r="AD625">
        <v>202.74</v>
      </c>
      <c r="AF625" s="2">
        <v>1</v>
      </c>
      <c r="AG625">
        <v>218.82</v>
      </c>
      <c r="AH625">
        <v>230.71</v>
      </c>
      <c r="AJ625" s="2">
        <v>1</v>
      </c>
      <c r="AK625">
        <v>112.35</v>
      </c>
      <c r="AL625">
        <v>120.33</v>
      </c>
      <c r="AN625" s="2">
        <v>1</v>
      </c>
      <c r="AR625" t="s">
        <v>373</v>
      </c>
      <c r="AS625" t="s">
        <v>46</v>
      </c>
      <c r="AT625" t="str">
        <f t="shared" si="9"/>
        <v>New Albany SM - 438SL</v>
      </c>
    </row>
    <row r="626" spans="1:46" x14ac:dyDescent="0.25">
      <c r="A626" t="s">
        <v>316</v>
      </c>
      <c r="B626" t="s">
        <v>259</v>
      </c>
      <c r="C626" t="s">
        <v>198</v>
      </c>
      <c r="D626" s="50">
        <v>46054</v>
      </c>
      <c r="E626" s="2">
        <v>0.60899999999999999</v>
      </c>
      <c r="F626" s="2">
        <v>0.67100000000000004</v>
      </c>
      <c r="G626" t="s">
        <v>373</v>
      </c>
      <c r="H626" t="s">
        <v>373</v>
      </c>
      <c r="I626" s="2">
        <v>0</v>
      </c>
      <c r="J626" s="2">
        <v>0</v>
      </c>
      <c r="K626" s="2">
        <v>0</v>
      </c>
      <c r="L626" s="2">
        <v>0</v>
      </c>
      <c r="M626" s="51">
        <v>0</v>
      </c>
      <c r="N626" s="51">
        <v>0</v>
      </c>
      <c r="P626" s="51">
        <v>0</v>
      </c>
      <c r="Q626" s="51">
        <v>46445</v>
      </c>
      <c r="R626" s="51">
        <v>102733</v>
      </c>
      <c r="T626" s="51">
        <v>102733</v>
      </c>
      <c r="U626" s="2">
        <v>0</v>
      </c>
      <c r="V626" s="2">
        <v>0</v>
      </c>
      <c r="W626" t="s">
        <v>373</v>
      </c>
      <c r="X626" t="s">
        <v>373</v>
      </c>
      <c r="Y626">
        <v>414.86</v>
      </c>
      <c r="Z626">
        <v>401.36</v>
      </c>
      <c r="AB626" s="2">
        <v>1</v>
      </c>
      <c r="AC626">
        <v>212.82</v>
      </c>
      <c r="AD626">
        <v>202.74</v>
      </c>
      <c r="AF626" s="2">
        <v>1</v>
      </c>
      <c r="AG626">
        <v>242.59</v>
      </c>
      <c r="AH626">
        <v>230.71</v>
      </c>
      <c r="AJ626" s="2">
        <v>1</v>
      </c>
      <c r="AK626">
        <v>128.30000000000001</v>
      </c>
      <c r="AL626">
        <v>120.33</v>
      </c>
      <c r="AN626" s="2">
        <v>1</v>
      </c>
      <c r="AR626" t="s">
        <v>373</v>
      </c>
      <c r="AS626" t="s">
        <v>46</v>
      </c>
      <c r="AT626" t="str">
        <f t="shared" si="9"/>
        <v>New Albany SM - 438SL</v>
      </c>
    </row>
    <row r="627" spans="1:46" x14ac:dyDescent="0.25">
      <c r="A627" t="s">
        <v>316</v>
      </c>
      <c r="B627" t="s">
        <v>259</v>
      </c>
      <c r="C627" t="s">
        <v>211</v>
      </c>
      <c r="D627" s="50">
        <v>46023</v>
      </c>
      <c r="E627" s="2">
        <v>0.76500000000000001</v>
      </c>
      <c r="F627" s="2">
        <v>0.76900000000000002</v>
      </c>
      <c r="G627" t="s">
        <v>373</v>
      </c>
      <c r="H627" t="s">
        <v>373</v>
      </c>
      <c r="I627" s="2">
        <v>1</v>
      </c>
      <c r="J627" s="2">
        <v>1</v>
      </c>
      <c r="K627" s="2">
        <v>0</v>
      </c>
      <c r="L627" s="2">
        <v>1</v>
      </c>
      <c r="M627" s="51">
        <v>0</v>
      </c>
      <c r="N627" s="51">
        <v>180</v>
      </c>
      <c r="P627" s="51">
        <v>180</v>
      </c>
      <c r="Q627" s="51">
        <v>72435</v>
      </c>
      <c r="R627" s="51">
        <v>145118</v>
      </c>
      <c r="T627" s="51">
        <v>145118</v>
      </c>
      <c r="U627" s="2">
        <v>0</v>
      </c>
      <c r="V627" s="2">
        <v>1E-3</v>
      </c>
      <c r="W627" t="s">
        <v>373</v>
      </c>
      <c r="X627" t="s">
        <v>373</v>
      </c>
      <c r="Y627">
        <v>418.29</v>
      </c>
      <c r="Z627">
        <v>415.27</v>
      </c>
      <c r="AB627" s="2">
        <v>1</v>
      </c>
      <c r="AC627">
        <v>203.64</v>
      </c>
      <c r="AD627">
        <v>213.64</v>
      </c>
      <c r="AF627" s="2">
        <v>1</v>
      </c>
      <c r="AG627">
        <v>260.22000000000003</v>
      </c>
      <c r="AH627">
        <v>274.42</v>
      </c>
      <c r="AJ627" s="2">
        <v>1</v>
      </c>
      <c r="AK627">
        <v>139.03</v>
      </c>
      <c r="AL627">
        <v>145.86000000000001</v>
      </c>
      <c r="AN627" s="2">
        <v>1</v>
      </c>
      <c r="AR627" t="s">
        <v>373</v>
      </c>
      <c r="AS627" t="s">
        <v>46</v>
      </c>
      <c r="AT627" t="str">
        <f t="shared" si="9"/>
        <v>Pickerington - 421SL</v>
      </c>
    </row>
    <row r="628" spans="1:46" x14ac:dyDescent="0.25">
      <c r="A628" t="s">
        <v>316</v>
      </c>
      <c r="B628" t="s">
        <v>259</v>
      </c>
      <c r="C628" t="s">
        <v>211</v>
      </c>
      <c r="D628" s="50">
        <v>46054</v>
      </c>
      <c r="E628" s="2">
        <v>0.77300000000000002</v>
      </c>
      <c r="F628" s="2">
        <v>0.76900000000000002</v>
      </c>
      <c r="G628" t="s">
        <v>373</v>
      </c>
      <c r="H628" t="s">
        <v>373</v>
      </c>
      <c r="I628" s="2">
        <v>0</v>
      </c>
      <c r="J628" s="2">
        <v>1</v>
      </c>
      <c r="K628" s="2">
        <v>0</v>
      </c>
      <c r="L628" s="2">
        <v>1</v>
      </c>
      <c r="M628" s="51">
        <v>180</v>
      </c>
      <c r="N628" s="51">
        <v>180</v>
      </c>
      <c r="P628" s="51">
        <v>180</v>
      </c>
      <c r="Q628" s="51">
        <v>72683</v>
      </c>
      <c r="R628" s="51">
        <v>145118</v>
      </c>
      <c r="T628" s="51">
        <v>145118</v>
      </c>
      <c r="U628" s="2">
        <v>2E-3</v>
      </c>
      <c r="V628" s="2">
        <v>1E-3</v>
      </c>
      <c r="W628" t="s">
        <v>373</v>
      </c>
      <c r="X628" t="s">
        <v>373</v>
      </c>
      <c r="Y628">
        <v>412.25</v>
      </c>
      <c r="Z628">
        <v>415.27</v>
      </c>
      <c r="AB628" s="2">
        <v>1</v>
      </c>
      <c r="AC628">
        <v>223.64</v>
      </c>
      <c r="AD628">
        <v>213.64</v>
      </c>
      <c r="AF628" s="2">
        <v>1</v>
      </c>
      <c r="AG628">
        <v>288.62</v>
      </c>
      <c r="AH628">
        <v>274.42</v>
      </c>
      <c r="AJ628" s="2">
        <v>1</v>
      </c>
      <c r="AK628">
        <v>152.69999999999999</v>
      </c>
      <c r="AL628">
        <v>145.86000000000001</v>
      </c>
      <c r="AN628" s="2">
        <v>1</v>
      </c>
      <c r="AR628" t="s">
        <v>373</v>
      </c>
      <c r="AS628" t="s">
        <v>46</v>
      </c>
      <c r="AT628" t="str">
        <f t="shared" si="9"/>
        <v>Pickerington - 421SL</v>
      </c>
    </row>
    <row r="629" spans="1:46" x14ac:dyDescent="0.25">
      <c r="A629" t="s">
        <v>316</v>
      </c>
      <c r="B629" t="s">
        <v>261</v>
      </c>
      <c r="C629" t="s">
        <v>127</v>
      </c>
      <c r="D629" s="50">
        <v>46023</v>
      </c>
      <c r="E629" s="2">
        <v>0.98299999999999998</v>
      </c>
      <c r="F629" s="2">
        <v>0.97499999999999998</v>
      </c>
      <c r="G629" t="s">
        <v>373</v>
      </c>
      <c r="H629" t="s">
        <v>373</v>
      </c>
      <c r="I629" s="2">
        <v>0</v>
      </c>
      <c r="J629" s="2">
        <v>0</v>
      </c>
      <c r="K629" s="2">
        <v>0</v>
      </c>
      <c r="L629" s="2">
        <v>0</v>
      </c>
      <c r="M629" s="51">
        <v>0</v>
      </c>
      <c r="N629" s="51">
        <v>0</v>
      </c>
      <c r="P629" s="51">
        <v>0</v>
      </c>
      <c r="Q629" s="51">
        <v>109132</v>
      </c>
      <c r="R629" s="51">
        <v>216896</v>
      </c>
      <c r="T629" s="51">
        <v>216896</v>
      </c>
      <c r="U629" s="2">
        <v>0</v>
      </c>
      <c r="V629" s="2">
        <v>0</v>
      </c>
      <c r="W629" t="s">
        <v>373</v>
      </c>
      <c r="X629" t="s">
        <v>373</v>
      </c>
      <c r="Y629">
        <v>460.48</v>
      </c>
      <c r="Z629">
        <v>463.71</v>
      </c>
      <c r="AB629" s="2">
        <v>1</v>
      </c>
      <c r="AC629">
        <v>223.29</v>
      </c>
      <c r="AD629">
        <v>235.29</v>
      </c>
      <c r="AF629" s="2">
        <v>1</v>
      </c>
      <c r="AG629">
        <v>258.3</v>
      </c>
      <c r="AH629">
        <v>271.93</v>
      </c>
      <c r="AJ629" s="2">
        <v>1</v>
      </c>
      <c r="AK629">
        <v>149.29</v>
      </c>
      <c r="AL629">
        <v>157.54</v>
      </c>
      <c r="AN629" s="2">
        <v>1</v>
      </c>
      <c r="AR629" t="s">
        <v>373</v>
      </c>
      <c r="AS629" t="s">
        <v>46</v>
      </c>
      <c r="AT629" t="str">
        <f t="shared" si="9"/>
        <v>Harrison - 442SL</v>
      </c>
    </row>
    <row r="630" spans="1:46" x14ac:dyDescent="0.25">
      <c r="A630" t="s">
        <v>316</v>
      </c>
      <c r="B630" t="s">
        <v>261</v>
      </c>
      <c r="C630" t="s">
        <v>127</v>
      </c>
      <c r="D630" s="50">
        <v>46054</v>
      </c>
      <c r="E630" s="2">
        <v>0.96699999999999997</v>
      </c>
      <c r="F630" s="2">
        <v>0.97499999999999998</v>
      </c>
      <c r="G630" t="s">
        <v>373</v>
      </c>
      <c r="H630" t="s">
        <v>373</v>
      </c>
      <c r="I630" s="2">
        <v>0</v>
      </c>
      <c r="J630" s="2">
        <v>0</v>
      </c>
      <c r="K630" s="2">
        <v>0</v>
      </c>
      <c r="L630" s="2">
        <v>0</v>
      </c>
      <c r="M630" s="51">
        <v>0</v>
      </c>
      <c r="N630" s="51">
        <v>0</v>
      </c>
      <c r="P630" s="51">
        <v>0</v>
      </c>
      <c r="Q630" s="51">
        <v>107764</v>
      </c>
      <c r="R630" s="51">
        <v>216896</v>
      </c>
      <c r="T630" s="51">
        <v>216896</v>
      </c>
      <c r="U630" s="2">
        <v>0</v>
      </c>
      <c r="V630" s="2">
        <v>0</v>
      </c>
      <c r="W630" t="s">
        <v>373</v>
      </c>
      <c r="X630" t="s">
        <v>373</v>
      </c>
      <c r="Y630">
        <v>466.93</v>
      </c>
      <c r="Z630">
        <v>463.71</v>
      </c>
      <c r="AB630" s="2">
        <v>1</v>
      </c>
      <c r="AC630">
        <v>247.29</v>
      </c>
      <c r="AD630">
        <v>235.29</v>
      </c>
      <c r="AF630" s="2">
        <v>1</v>
      </c>
      <c r="AG630">
        <v>285.56</v>
      </c>
      <c r="AH630">
        <v>271.93</v>
      </c>
      <c r="AJ630" s="2">
        <v>1</v>
      </c>
      <c r="AK630">
        <v>165.79</v>
      </c>
      <c r="AL630">
        <v>157.54</v>
      </c>
      <c r="AN630" s="2">
        <v>1</v>
      </c>
      <c r="AR630" t="s">
        <v>373</v>
      </c>
      <c r="AS630" t="s">
        <v>46</v>
      </c>
      <c r="AT630" t="str">
        <f t="shared" si="9"/>
        <v>Harrison - 442SL</v>
      </c>
    </row>
    <row r="631" spans="1:46" x14ac:dyDescent="0.25">
      <c r="A631" t="s">
        <v>316</v>
      </c>
      <c r="B631" t="s">
        <v>261</v>
      </c>
      <c r="C631" t="s">
        <v>161</v>
      </c>
      <c r="D631" s="50">
        <v>46023</v>
      </c>
      <c r="E631" s="2">
        <v>0.98699999999999999</v>
      </c>
      <c r="F631" s="2">
        <v>0.99299999999999999</v>
      </c>
      <c r="G631" t="s">
        <v>373</v>
      </c>
      <c r="H631" t="s">
        <v>373</v>
      </c>
      <c r="I631" s="2">
        <v>0</v>
      </c>
      <c r="J631" s="2">
        <v>0</v>
      </c>
      <c r="K631" s="2">
        <v>0</v>
      </c>
      <c r="L631" s="2">
        <v>0</v>
      </c>
      <c r="M631" s="51">
        <v>0</v>
      </c>
      <c r="N631" s="51">
        <v>0</v>
      </c>
      <c r="P631" s="51">
        <v>0</v>
      </c>
      <c r="Q631" s="51">
        <v>93103</v>
      </c>
      <c r="R631" s="51">
        <v>187803</v>
      </c>
      <c r="T631" s="51">
        <v>187803</v>
      </c>
      <c r="U631" s="2">
        <v>0</v>
      </c>
      <c r="V631" s="2">
        <v>0</v>
      </c>
      <c r="W631" t="s">
        <v>373</v>
      </c>
      <c r="X631" t="s">
        <v>373</v>
      </c>
      <c r="Y631" s="52">
        <v>1118.07</v>
      </c>
      <c r="Z631">
        <v>790.91</v>
      </c>
      <c r="AB631" s="2">
        <v>1</v>
      </c>
      <c r="AC631">
        <v>197.7</v>
      </c>
      <c r="AD631">
        <v>208.6</v>
      </c>
      <c r="AF631" s="2">
        <v>1</v>
      </c>
      <c r="AG631">
        <v>230.13</v>
      </c>
      <c r="AH631">
        <v>242.75</v>
      </c>
      <c r="AJ631" s="2">
        <v>1</v>
      </c>
      <c r="AK631">
        <v>121.7</v>
      </c>
      <c r="AL631">
        <v>128.59</v>
      </c>
      <c r="AN631" s="2">
        <v>1</v>
      </c>
      <c r="AR631" t="s">
        <v>373</v>
      </c>
      <c r="AS631" t="s">
        <v>46</v>
      </c>
      <c r="AT631" t="str">
        <f t="shared" si="9"/>
        <v>Liberty Township - 441SL</v>
      </c>
    </row>
    <row r="632" spans="1:46" x14ac:dyDescent="0.25">
      <c r="A632" t="s">
        <v>316</v>
      </c>
      <c r="B632" t="s">
        <v>261</v>
      </c>
      <c r="C632" t="s">
        <v>161</v>
      </c>
      <c r="D632" s="50">
        <v>46054</v>
      </c>
      <c r="E632" s="2">
        <v>0.999</v>
      </c>
      <c r="F632" s="2">
        <v>0.99299999999999999</v>
      </c>
      <c r="G632" t="s">
        <v>373</v>
      </c>
      <c r="H632" t="s">
        <v>373</v>
      </c>
      <c r="I632" s="2">
        <v>0</v>
      </c>
      <c r="J632" s="2">
        <v>0</v>
      </c>
      <c r="K632" s="2">
        <v>0</v>
      </c>
      <c r="L632" s="2">
        <v>0</v>
      </c>
      <c r="M632" s="51">
        <v>0</v>
      </c>
      <c r="N632" s="51">
        <v>0</v>
      </c>
      <c r="P632" s="51">
        <v>0</v>
      </c>
      <c r="Q632" s="51">
        <v>94700</v>
      </c>
      <c r="R632" s="51">
        <v>187803</v>
      </c>
      <c r="T632" s="51">
        <v>187803</v>
      </c>
      <c r="U632" s="2">
        <v>0</v>
      </c>
      <c r="V632" s="2">
        <v>0</v>
      </c>
      <c r="W632" t="s">
        <v>373</v>
      </c>
      <c r="X632" t="s">
        <v>373</v>
      </c>
      <c r="Y632">
        <v>463.76</v>
      </c>
      <c r="Z632">
        <v>790.91</v>
      </c>
      <c r="AB632" s="2">
        <v>1</v>
      </c>
      <c r="AC632">
        <v>219.49</v>
      </c>
      <c r="AD632">
        <v>208.6</v>
      </c>
      <c r="AF632" s="2">
        <v>1</v>
      </c>
      <c r="AG632">
        <v>255.37</v>
      </c>
      <c r="AH632">
        <v>242.75</v>
      </c>
      <c r="AJ632" s="2">
        <v>1</v>
      </c>
      <c r="AK632">
        <v>135.47999999999999</v>
      </c>
      <c r="AL632">
        <v>128.59</v>
      </c>
      <c r="AN632" s="2">
        <v>1</v>
      </c>
      <c r="AR632" t="s">
        <v>373</v>
      </c>
      <c r="AS632" t="s">
        <v>46</v>
      </c>
      <c r="AT632" t="str">
        <f t="shared" si="9"/>
        <v>Liberty Township - 441SL</v>
      </c>
    </row>
    <row r="633" spans="1:46" x14ac:dyDescent="0.25">
      <c r="A633" t="s">
        <v>316</v>
      </c>
      <c r="B633" t="s">
        <v>261</v>
      </c>
      <c r="C633" t="s">
        <v>184</v>
      </c>
      <c r="D633" s="50">
        <v>46023</v>
      </c>
      <c r="E633" s="2">
        <v>0.92500000000000004</v>
      </c>
      <c r="F633" s="2">
        <v>0.92</v>
      </c>
      <c r="G633" t="s">
        <v>373</v>
      </c>
      <c r="H633" t="s">
        <v>373</v>
      </c>
      <c r="I633" s="2">
        <v>0</v>
      </c>
      <c r="J633" s="2">
        <v>0</v>
      </c>
      <c r="K633" s="2">
        <v>0</v>
      </c>
      <c r="L633" s="2">
        <v>0</v>
      </c>
      <c r="M633" s="51">
        <v>0</v>
      </c>
      <c r="N633" s="51">
        <v>0</v>
      </c>
      <c r="P633" s="51">
        <v>0</v>
      </c>
      <c r="Q633" s="51">
        <v>68989</v>
      </c>
      <c r="R633" s="51">
        <v>136622</v>
      </c>
      <c r="T633" s="51">
        <v>136622</v>
      </c>
      <c r="U633" s="2">
        <v>0</v>
      </c>
      <c r="V633" s="2">
        <v>0</v>
      </c>
      <c r="W633" t="s">
        <v>373</v>
      </c>
      <c r="X633" t="s">
        <v>373</v>
      </c>
      <c r="Y633">
        <v>454.12</v>
      </c>
      <c r="Z633">
        <v>460.41</v>
      </c>
      <c r="AB633" s="2">
        <v>1</v>
      </c>
      <c r="AC633">
        <v>198.72</v>
      </c>
      <c r="AD633">
        <v>209.31</v>
      </c>
      <c r="AF633" s="2">
        <v>1</v>
      </c>
      <c r="AG633">
        <v>235.1</v>
      </c>
      <c r="AH633">
        <v>248.18</v>
      </c>
      <c r="AJ633" s="2">
        <v>1</v>
      </c>
      <c r="AK633">
        <v>100.27</v>
      </c>
      <c r="AL633">
        <v>105.12</v>
      </c>
      <c r="AN633" s="2">
        <v>1</v>
      </c>
      <c r="AR633" t="s">
        <v>373</v>
      </c>
      <c r="AS633" t="s">
        <v>46</v>
      </c>
      <c r="AT633" t="str">
        <f t="shared" si="9"/>
        <v>Miami Township - 440SL</v>
      </c>
    </row>
    <row r="634" spans="1:46" x14ac:dyDescent="0.25">
      <c r="A634" t="s">
        <v>316</v>
      </c>
      <c r="B634" t="s">
        <v>261</v>
      </c>
      <c r="C634" t="s">
        <v>184</v>
      </c>
      <c r="D634" s="50">
        <v>46054</v>
      </c>
      <c r="E634" s="2">
        <v>0.91500000000000004</v>
      </c>
      <c r="F634" s="2">
        <v>0.92</v>
      </c>
      <c r="G634" t="s">
        <v>373</v>
      </c>
      <c r="H634" t="s">
        <v>373</v>
      </c>
      <c r="I634" s="2">
        <v>0</v>
      </c>
      <c r="J634" s="2">
        <v>0</v>
      </c>
      <c r="K634" s="2">
        <v>0</v>
      </c>
      <c r="L634" s="2">
        <v>0</v>
      </c>
      <c r="M634" s="51">
        <v>0</v>
      </c>
      <c r="N634" s="51">
        <v>0</v>
      </c>
      <c r="P634" s="51">
        <v>0</v>
      </c>
      <c r="Q634" s="51">
        <v>67634</v>
      </c>
      <c r="R634" s="51">
        <v>136622</v>
      </c>
      <c r="T634" s="51">
        <v>136622</v>
      </c>
      <c r="U634" s="2">
        <v>0</v>
      </c>
      <c r="V634" s="2">
        <v>0</v>
      </c>
      <c r="W634" t="s">
        <v>373</v>
      </c>
      <c r="X634" t="s">
        <v>373</v>
      </c>
      <c r="Y634">
        <v>466.7</v>
      </c>
      <c r="Z634">
        <v>460.41</v>
      </c>
      <c r="AB634" s="2">
        <v>1</v>
      </c>
      <c r="AC634">
        <v>219.9</v>
      </c>
      <c r="AD634">
        <v>209.31</v>
      </c>
      <c r="AF634" s="2">
        <v>1</v>
      </c>
      <c r="AG634">
        <v>261.27</v>
      </c>
      <c r="AH634">
        <v>248.18</v>
      </c>
      <c r="AJ634" s="2">
        <v>1</v>
      </c>
      <c r="AK634">
        <v>109.97</v>
      </c>
      <c r="AL634">
        <v>105.12</v>
      </c>
      <c r="AN634" s="2">
        <v>1</v>
      </c>
      <c r="AR634" t="s">
        <v>373</v>
      </c>
      <c r="AS634" t="s">
        <v>46</v>
      </c>
      <c r="AT634" t="str">
        <f t="shared" si="9"/>
        <v>Miami Township - 440SL</v>
      </c>
    </row>
    <row r="635" spans="1:46" x14ac:dyDescent="0.25">
      <c r="A635" t="s">
        <v>316</v>
      </c>
      <c r="B635" t="s">
        <v>261</v>
      </c>
      <c r="C635" t="s">
        <v>222</v>
      </c>
      <c r="D635" s="50">
        <v>46023</v>
      </c>
      <c r="E635" s="2">
        <v>0.95</v>
      </c>
      <c r="F635" s="2">
        <v>0.95</v>
      </c>
      <c r="G635" t="s">
        <v>373</v>
      </c>
      <c r="H635" t="s">
        <v>373</v>
      </c>
      <c r="I635" s="2">
        <v>0</v>
      </c>
      <c r="J635" s="2">
        <v>0</v>
      </c>
      <c r="K635" s="2">
        <v>0</v>
      </c>
      <c r="L635" s="2">
        <v>0</v>
      </c>
      <c r="M635" s="51">
        <v>780</v>
      </c>
      <c r="N635" s="51">
        <v>1425</v>
      </c>
      <c r="P635" s="51">
        <v>1425</v>
      </c>
      <c r="Q635" s="51">
        <v>69117</v>
      </c>
      <c r="R635" s="51">
        <v>138999</v>
      </c>
      <c r="T635" s="51">
        <v>138999</v>
      </c>
      <c r="U635" s="2">
        <v>1.0999999999999999E-2</v>
      </c>
      <c r="V635" s="2">
        <v>0.01</v>
      </c>
      <c r="W635" t="s">
        <v>373</v>
      </c>
      <c r="X635" t="s">
        <v>373</v>
      </c>
      <c r="Y635">
        <v>442.05</v>
      </c>
      <c r="Z635">
        <v>456.2</v>
      </c>
      <c r="AB635" s="2">
        <v>1</v>
      </c>
      <c r="AC635">
        <v>203.8</v>
      </c>
      <c r="AD635">
        <v>214.41</v>
      </c>
      <c r="AF635" s="2">
        <v>1</v>
      </c>
      <c r="AJ635" t="s">
        <v>373</v>
      </c>
      <c r="AK635">
        <v>117.35</v>
      </c>
      <c r="AL635">
        <v>124.35</v>
      </c>
      <c r="AN635" s="2">
        <v>1</v>
      </c>
      <c r="AR635" t="s">
        <v>373</v>
      </c>
      <c r="AS635" t="s">
        <v>46</v>
      </c>
      <c r="AT635" t="str">
        <f t="shared" si="9"/>
        <v>Springfield WG - 2429SL</v>
      </c>
    </row>
    <row r="636" spans="1:46" x14ac:dyDescent="0.25">
      <c r="A636" t="s">
        <v>316</v>
      </c>
      <c r="B636" t="s">
        <v>261</v>
      </c>
      <c r="C636" t="s">
        <v>222</v>
      </c>
      <c r="D636" s="50">
        <v>46054</v>
      </c>
      <c r="E636" s="2">
        <v>0.95</v>
      </c>
      <c r="F636" s="2">
        <v>0.95</v>
      </c>
      <c r="G636" t="s">
        <v>373</v>
      </c>
      <c r="H636" t="s">
        <v>373</v>
      </c>
      <c r="I636" s="2">
        <v>0</v>
      </c>
      <c r="J636" s="2">
        <v>0</v>
      </c>
      <c r="K636" s="2">
        <v>0</v>
      </c>
      <c r="L636" s="2">
        <v>0</v>
      </c>
      <c r="M636" s="51">
        <v>645</v>
      </c>
      <c r="N636" s="51">
        <v>1425</v>
      </c>
      <c r="P636" s="51">
        <v>1425</v>
      </c>
      <c r="Q636" s="51">
        <v>69882</v>
      </c>
      <c r="R636" s="51">
        <v>138999</v>
      </c>
      <c r="T636" s="51">
        <v>138999</v>
      </c>
      <c r="U636" s="2">
        <v>8.9999999999999993E-3</v>
      </c>
      <c r="V636" s="2">
        <v>0.01</v>
      </c>
      <c r="W636" t="s">
        <v>373</v>
      </c>
      <c r="X636" t="s">
        <v>373</v>
      </c>
      <c r="Y636">
        <v>470.35</v>
      </c>
      <c r="Z636">
        <v>456.2</v>
      </c>
      <c r="AB636" s="2">
        <v>1</v>
      </c>
      <c r="AC636">
        <v>225.03</v>
      </c>
      <c r="AD636">
        <v>214.41</v>
      </c>
      <c r="AF636" s="2">
        <v>1</v>
      </c>
      <c r="AJ636" t="s">
        <v>373</v>
      </c>
      <c r="AK636">
        <v>131.36000000000001</v>
      </c>
      <c r="AL636">
        <v>124.35</v>
      </c>
      <c r="AN636" s="2">
        <v>1</v>
      </c>
      <c r="AR636" t="s">
        <v>373</v>
      </c>
      <c r="AS636" t="s">
        <v>46</v>
      </c>
      <c r="AT636" t="str">
        <f t="shared" si="9"/>
        <v>Springfield WG - 2429SL</v>
      </c>
    </row>
    <row r="637" spans="1:46" x14ac:dyDescent="0.25">
      <c r="A637" t="s">
        <v>316</v>
      </c>
      <c r="B637" t="s">
        <v>261</v>
      </c>
      <c r="C637" t="s">
        <v>234</v>
      </c>
      <c r="D637" s="50">
        <v>46023</v>
      </c>
      <c r="E637" s="2">
        <v>1</v>
      </c>
      <c r="F637" s="2">
        <v>1</v>
      </c>
      <c r="G637" t="s">
        <v>373</v>
      </c>
      <c r="H637" t="s">
        <v>373</v>
      </c>
      <c r="I637" s="2">
        <v>0</v>
      </c>
      <c r="J637" s="2">
        <v>0</v>
      </c>
      <c r="K637" s="2">
        <v>0</v>
      </c>
      <c r="L637" s="2">
        <v>0</v>
      </c>
      <c r="M637" s="51">
        <v>0</v>
      </c>
      <c r="N637" s="51">
        <v>0</v>
      </c>
      <c r="P637" s="51">
        <v>0</v>
      </c>
      <c r="Q637" s="51">
        <v>81818</v>
      </c>
      <c r="R637" s="51">
        <v>163159</v>
      </c>
      <c r="T637" s="51">
        <v>163159</v>
      </c>
      <c r="U637" s="2">
        <v>0</v>
      </c>
      <c r="V637" s="2">
        <v>0</v>
      </c>
      <c r="W637" t="s">
        <v>373</v>
      </c>
      <c r="X637" t="s">
        <v>373</v>
      </c>
      <c r="Y637">
        <v>535.94000000000005</v>
      </c>
      <c r="Z637">
        <v>533.91</v>
      </c>
      <c r="AB637" s="2">
        <v>1</v>
      </c>
      <c r="AC637">
        <v>237.52</v>
      </c>
      <c r="AD637">
        <v>250.23</v>
      </c>
      <c r="AF637" s="2">
        <v>1</v>
      </c>
      <c r="AG637">
        <v>290.57</v>
      </c>
      <c r="AH637">
        <v>306.86</v>
      </c>
      <c r="AJ637" s="2">
        <v>1</v>
      </c>
      <c r="AK637">
        <v>131.96</v>
      </c>
      <c r="AL637">
        <v>138.61000000000001</v>
      </c>
      <c r="AN637" s="2">
        <v>1</v>
      </c>
      <c r="AR637" t="s">
        <v>373</v>
      </c>
      <c r="AS637" t="s">
        <v>46</v>
      </c>
      <c r="AT637" t="str">
        <f t="shared" si="9"/>
        <v>Union Township - 434SL</v>
      </c>
    </row>
    <row r="638" spans="1:46" x14ac:dyDescent="0.25">
      <c r="A638" t="s">
        <v>316</v>
      </c>
      <c r="B638" t="s">
        <v>261</v>
      </c>
      <c r="C638" t="s">
        <v>234</v>
      </c>
      <c r="D638" s="50">
        <v>46054</v>
      </c>
      <c r="E638" s="2">
        <v>1</v>
      </c>
      <c r="F638" s="2">
        <v>1</v>
      </c>
      <c r="G638" t="s">
        <v>373</v>
      </c>
      <c r="H638" t="s">
        <v>373</v>
      </c>
      <c r="I638" s="2">
        <v>0</v>
      </c>
      <c r="J638" s="2">
        <v>0</v>
      </c>
      <c r="K638" s="2">
        <v>0</v>
      </c>
      <c r="L638" s="2">
        <v>0</v>
      </c>
      <c r="M638" s="51">
        <v>0</v>
      </c>
      <c r="N638" s="51">
        <v>0</v>
      </c>
      <c r="P638" s="51">
        <v>0</v>
      </c>
      <c r="Q638" s="51">
        <v>81341</v>
      </c>
      <c r="R638" s="51">
        <v>163159</v>
      </c>
      <c r="T638" s="51">
        <v>163159</v>
      </c>
      <c r="U638" s="2">
        <v>0</v>
      </c>
      <c r="V638" s="2">
        <v>0</v>
      </c>
      <c r="W638" t="s">
        <v>373</v>
      </c>
      <c r="X638" t="s">
        <v>373</v>
      </c>
      <c r="Y638">
        <v>531.89</v>
      </c>
      <c r="Z638">
        <v>533.91</v>
      </c>
      <c r="AB638" s="2">
        <v>1</v>
      </c>
      <c r="AC638">
        <v>262.94</v>
      </c>
      <c r="AD638">
        <v>250.23</v>
      </c>
      <c r="AF638" s="2">
        <v>1</v>
      </c>
      <c r="AG638">
        <v>323.16000000000003</v>
      </c>
      <c r="AH638">
        <v>306.86</v>
      </c>
      <c r="AJ638" s="2">
        <v>1</v>
      </c>
      <c r="AK638">
        <v>145.25</v>
      </c>
      <c r="AL638">
        <v>138.61000000000001</v>
      </c>
      <c r="AN638" s="2">
        <v>1</v>
      </c>
      <c r="AR638" t="s">
        <v>373</v>
      </c>
      <c r="AS638" t="s">
        <v>46</v>
      </c>
      <c r="AT638" t="str">
        <f t="shared" si="9"/>
        <v>Union Township - 434SL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Apr 26</vt:lpstr>
      <vt:lpstr>RRAs</vt:lpstr>
      <vt:lpstr>% PP w 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Iriscel Johnston</dc:creator>
  <cp:lastModifiedBy>Michael Kennedy</cp:lastModifiedBy>
  <dcterms:created xsi:type="dcterms:W3CDTF">2026-03-17T13:53:37Z</dcterms:created>
  <dcterms:modified xsi:type="dcterms:W3CDTF">2026-03-27T20:16:04Z</dcterms:modified>
</cp:coreProperties>
</file>