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Operations Finance\Pricing\2026 Pricing Plans\Analysis\Dynamic Pricing\"/>
    </mc:Choice>
  </mc:AlternateContent>
  <xr:revisionPtr revIDLastSave="0" documentId="13_ncr:1_{57E6EA6E-D2A1-4854-A4B9-70137B6519DE}" xr6:coauthVersionLast="47" xr6:coauthVersionMax="47" xr10:uidLastSave="{00000000-0000-0000-0000-000000000000}"/>
  <bookViews>
    <workbookView xWindow="28680" yWindow="-120" windowWidth="29040" windowHeight="15720" xr2:uid="{3C412AC9-12CE-4683-BEDA-67A898284995}"/>
  </bookViews>
  <sheets>
    <sheet name="Pricing July 2026" sheetId="1" r:id="rId1"/>
    <sheet name="Logic" sheetId="2" r:id="rId2"/>
  </sheets>
  <externalReferences>
    <externalReference r:id="rId3"/>
    <externalReference r:id="rId4"/>
  </externalReferences>
  <definedNames>
    <definedName name="_xlnm._FilterDatabase" localSheetId="0" hidden="1">'Pricing July 2026'!$B$3:$P$3</definedName>
    <definedName name="AddOccRate_GPR">#REF!</definedName>
    <definedName name="Allowances">#REF!</definedName>
    <definedName name="bus_Unit_MOs">#REF!</definedName>
    <definedName name="BusUnit">#REF!</definedName>
    <definedName name="Care">#REF!</definedName>
    <definedName name="Care_MOs">#REF!</definedName>
    <definedName name="CASE">'[2]ALF Data Request'!#REF!</definedName>
    <definedName name="CIQWBGuid" hidden="1">"7f85e650-304a-4114-8b49-59b6375a22e1"</definedName>
    <definedName name="Field_ExportedOn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7020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43453.7213541667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OC">#REF!</definedName>
    <definedName name="locan">#REF!</definedName>
    <definedName name="MCList">#REF!</definedName>
    <definedName name="Mi_Month_MOs">#REF!</definedName>
    <definedName name="MI_Year_MOs">#REF!</definedName>
    <definedName name="MIBusUnit">#REF!</definedName>
    <definedName name="MIMonth">#REF!</definedName>
    <definedName name="MIPayor">#REF!</definedName>
    <definedName name="MIRoomType">#REF!</definedName>
    <definedName name="MIService">#REF!</definedName>
    <definedName name="MIYear">#REF!</definedName>
    <definedName name="New_Rev">#REF!</definedName>
    <definedName name="NRF">#REF!</definedName>
    <definedName name="Payor_type_MOs">#REF!</definedName>
    <definedName name="_xlnm.Print_Titles">#REF!</definedName>
    <definedName name="Qtr_Year">#REF!</definedName>
    <definedName name="Rate_MOs">#REF!</definedName>
    <definedName name="Rent">#REF!</definedName>
    <definedName name="Room_Type_MOs">#REF!</definedName>
    <definedName name="RoomType">#REF!</definedName>
    <definedName name="SemiRate_GPR">#REF!</definedName>
    <definedName name="SPP_GP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2" l="1"/>
  <c r="F13" i="2"/>
  <c r="F16" i="2" s="1"/>
  <c r="H12" i="2"/>
  <c r="H11" i="2"/>
  <c r="H10" i="2"/>
  <c r="H9" i="2"/>
  <c r="H8" i="2"/>
  <c r="H7" i="2"/>
  <c r="H6" i="2"/>
  <c r="H5" i="2"/>
  <c r="H4" i="2"/>
  <c r="H13" i="2" l="1"/>
</calcChain>
</file>

<file path=xl/sharedStrings.xml><?xml version="1.0" encoding="utf-8"?>
<sst xmlns="http://schemas.openxmlformats.org/spreadsheetml/2006/main" count="4528" uniqueCount="289">
  <si>
    <t>Community Information</t>
  </si>
  <si>
    <t>T3 Month</t>
  </si>
  <si>
    <t>Proposed Pricing</t>
  </si>
  <si>
    <t>Division</t>
  </si>
  <si>
    <t>Campus</t>
  </si>
  <si>
    <t>Service Line</t>
  </si>
  <si>
    <t>MTD SL Occ%</t>
  </si>
  <si>
    <t>Room Type</t>
  </si>
  <si>
    <t>Current</t>
  </si>
  <si>
    <t>Monthly</t>
  </si>
  <si>
    <t/>
  </si>
  <si>
    <t>North Central Indiana</t>
  </si>
  <si>
    <t>Anderson - 112</t>
  </si>
  <si>
    <t>HC</t>
  </si>
  <si>
    <t>Private</t>
  </si>
  <si>
    <t>Companion</t>
  </si>
  <si>
    <t>HC/MC</t>
  </si>
  <si>
    <t>Legacy Lane - Private</t>
  </si>
  <si>
    <t>Legacy Lane - Companion</t>
  </si>
  <si>
    <t>AL</t>
  </si>
  <si>
    <t>Studio</t>
  </si>
  <si>
    <t>AL/MC</t>
  </si>
  <si>
    <t>Legacy Bldng - Private</t>
  </si>
  <si>
    <t>Legacy Bldng - Companion</t>
  </si>
  <si>
    <t>VIL</t>
  </si>
  <si>
    <t>Independent Living - Villa</t>
  </si>
  <si>
    <t>Central South Indiana</t>
  </si>
  <si>
    <t>Avon - 5166</t>
  </si>
  <si>
    <t>Companion Rehab</t>
  </si>
  <si>
    <t>Private Rehab</t>
  </si>
  <si>
    <t>One BR</t>
  </si>
  <si>
    <t>Studio Deluxe</t>
  </si>
  <si>
    <t>South Kentucky</t>
  </si>
  <si>
    <t>Bardstown - 233</t>
  </si>
  <si>
    <t>1BR</t>
  </si>
  <si>
    <t>Studio Dlx</t>
  </si>
  <si>
    <t>2BR</t>
  </si>
  <si>
    <t>MC-Studio</t>
  </si>
  <si>
    <t>MC - Studio</t>
  </si>
  <si>
    <t>MC-2BR</t>
  </si>
  <si>
    <t>Southeast Indiana</t>
  </si>
  <si>
    <t>Batesville - 120</t>
  </si>
  <si>
    <t>Great Lakes</t>
  </si>
  <si>
    <t>Battle Creek - 501</t>
  </si>
  <si>
    <t>Bedford - 115</t>
  </si>
  <si>
    <t>Private Dlx</t>
  </si>
  <si>
    <t>North Ohio</t>
  </si>
  <si>
    <t>Bellevue - 414</t>
  </si>
  <si>
    <t>Belmont - 519</t>
  </si>
  <si>
    <t>Compan</t>
  </si>
  <si>
    <t>MC-Compan</t>
  </si>
  <si>
    <t>SL</t>
  </si>
  <si>
    <t>Bloomington HS - 5149</t>
  </si>
  <si>
    <t>Companion Deluxe</t>
  </si>
  <si>
    <t>Bloomington SC - 5164</t>
  </si>
  <si>
    <t>TCU - Companion</t>
  </si>
  <si>
    <t>TCU - Private</t>
  </si>
  <si>
    <t>One BR Deluxe</t>
  </si>
  <si>
    <t>LL - Studio</t>
  </si>
  <si>
    <t>LL - Compan</t>
  </si>
  <si>
    <t>Southwest Indiana</t>
  </si>
  <si>
    <t>Boonville - 110</t>
  </si>
  <si>
    <t>Bowling Green - 443</t>
  </si>
  <si>
    <t>2 FL 1BR</t>
  </si>
  <si>
    <t>AL/SL</t>
  </si>
  <si>
    <t>2 FL Studio</t>
  </si>
  <si>
    <t>Byron Center - 518</t>
  </si>
  <si>
    <t>Studio DLX</t>
  </si>
  <si>
    <t>Carmel - 5165</t>
  </si>
  <si>
    <t>1BR Deluxe</t>
  </si>
  <si>
    <t>Southwest Ohio</t>
  </si>
  <si>
    <t>Colerain - 412</t>
  </si>
  <si>
    <t>Legacy-Studio</t>
  </si>
  <si>
    <t>Legacy-Compan</t>
  </si>
  <si>
    <t>Patio Home 1BR</t>
  </si>
  <si>
    <t>Patio Home 2BR</t>
  </si>
  <si>
    <t>Columbus - 107</t>
  </si>
  <si>
    <t>Michigan</t>
  </si>
  <si>
    <t>Commerce - 503</t>
  </si>
  <si>
    <t>Private Deluxe</t>
  </si>
  <si>
    <t>Independent Living - Villa 1</t>
  </si>
  <si>
    <t>Kentuckiana</t>
  </si>
  <si>
    <t>Corydon - 2180</t>
  </si>
  <si>
    <t>INDEPENDENT LIVING - 1 BR</t>
  </si>
  <si>
    <t>Independent Living - 2BR</t>
  </si>
  <si>
    <t>INDEPENDENT LIVING - 2 BR</t>
  </si>
  <si>
    <t>Crawfordsville - 5167</t>
  </si>
  <si>
    <t>One BR Apt</t>
  </si>
  <si>
    <t>MC - Companion</t>
  </si>
  <si>
    <t>Cynthiana - 114</t>
  </si>
  <si>
    <t>Danville - 231</t>
  </si>
  <si>
    <t>MC - 2BR</t>
  </si>
  <si>
    <t>Delphi - 2134</t>
  </si>
  <si>
    <t>Southeast Ohio</t>
  </si>
  <si>
    <t>Delphos - 407</t>
  </si>
  <si>
    <t>Stu Dlx</t>
  </si>
  <si>
    <t>East Lansing - 2507</t>
  </si>
  <si>
    <t>North IN &amp; Kingston</t>
  </si>
  <si>
    <t>Elkhart - 132</t>
  </si>
  <si>
    <t>Englewood - 416</t>
  </si>
  <si>
    <t>Legacy Bldng - Private Deluxe</t>
  </si>
  <si>
    <t>Evansville NR - 2186</t>
  </si>
  <si>
    <t>Independent Living - Villa 2</t>
  </si>
  <si>
    <t>Evansville RP - 111</t>
  </si>
  <si>
    <t>TCU - Private Deluxe</t>
  </si>
  <si>
    <t>Evansville WR - 142</t>
  </si>
  <si>
    <t>Ferdinand - 303</t>
  </si>
  <si>
    <t>Legacy Studio</t>
  </si>
  <si>
    <t>Legacy Compan</t>
  </si>
  <si>
    <t>Findlay - 408</t>
  </si>
  <si>
    <t>Legacy Lane - Private Deluxe</t>
  </si>
  <si>
    <t>Two BR Apt</t>
  </si>
  <si>
    <t>Two BR Apt Deluxe</t>
  </si>
  <si>
    <t>One BR Apt Deluxe</t>
  </si>
  <si>
    <t>Fremont - 403</t>
  </si>
  <si>
    <t>MC Studio</t>
  </si>
  <si>
    <t>MC Companion</t>
  </si>
  <si>
    <t>MC Companion Deluxe</t>
  </si>
  <si>
    <t>Gahanna - 436</t>
  </si>
  <si>
    <t>Genoa - 411</t>
  </si>
  <si>
    <t>MC-Studio Dlx</t>
  </si>
  <si>
    <t>Goshen MW - 124</t>
  </si>
  <si>
    <t>Goshen SL - 2184</t>
  </si>
  <si>
    <t>Two BR</t>
  </si>
  <si>
    <t>Legacy Lane - Studio</t>
  </si>
  <si>
    <t>Grand Blanc - 2505</t>
  </si>
  <si>
    <t>Greencastle - 119</t>
  </si>
  <si>
    <t>Greenfield - 125</t>
  </si>
  <si>
    <t>One Bedroom</t>
  </si>
  <si>
    <t>Greensburg - 150</t>
  </si>
  <si>
    <t>Hamilton - 439</t>
  </si>
  <si>
    <t>Hanover - 116</t>
  </si>
  <si>
    <t>Harrison - 442</t>
  </si>
  <si>
    <t>Harrodsburg - 2187</t>
  </si>
  <si>
    <t>Patio Home 1 BR</t>
  </si>
  <si>
    <t>Hilliard - 437</t>
  </si>
  <si>
    <t>Howell - 2509</t>
  </si>
  <si>
    <t>Hudsonville - 524</t>
  </si>
  <si>
    <t>Indianapolis AP - 5160</t>
  </si>
  <si>
    <t>Indianapolis CL - 5161</t>
  </si>
  <si>
    <t>Jasper - 108</t>
  </si>
  <si>
    <t>Kalida - 406</t>
  </si>
  <si>
    <t>Kendallville - 2185</t>
  </si>
  <si>
    <t>Kokomo WK - 5168</t>
  </si>
  <si>
    <t>Kokomo WP - 106</t>
  </si>
  <si>
    <t>Villa 1 BR</t>
  </si>
  <si>
    <t>Villa 2 BR</t>
  </si>
  <si>
    <t>La Grange - 177</t>
  </si>
  <si>
    <t>Lafayette CS - 133</t>
  </si>
  <si>
    <t>Lafayette SL - 5162</t>
  </si>
  <si>
    <t>Studio Executive Deluxe</t>
  </si>
  <si>
    <t>Lafayette SM - 2136</t>
  </si>
  <si>
    <t>Lancaster - 445</t>
  </si>
  <si>
    <t>2 FL 2BR</t>
  </si>
  <si>
    <t>Lapeer - 2506</t>
  </si>
  <si>
    <t>Lawrenceburg - 143</t>
  </si>
  <si>
    <t>Lebanon - 104</t>
  </si>
  <si>
    <t>Leipsic - 409</t>
  </si>
  <si>
    <t>Independent Living - Studio</t>
  </si>
  <si>
    <t>Independent Living - Two BR</t>
  </si>
  <si>
    <t>Independent Living - One BR</t>
  </si>
  <si>
    <t>Lexington WC - 2148</t>
  </si>
  <si>
    <t>Lexington WF - 2147</t>
  </si>
  <si>
    <t>Studio - Deluxe</t>
  </si>
  <si>
    <t>Lexington WH - 2146</t>
  </si>
  <si>
    <t>Legacy Bldg - Studio</t>
  </si>
  <si>
    <t>Liberty Township - 441</t>
  </si>
  <si>
    <t>Lima - 410</t>
  </si>
  <si>
    <t>Lima SL - 433</t>
  </si>
  <si>
    <t>Northwest Indiana</t>
  </si>
  <si>
    <t>Logansport - 130</t>
  </si>
  <si>
    <t>Louisville ES - 210</t>
  </si>
  <si>
    <t>Louisville FH - 2137</t>
  </si>
  <si>
    <t>Louisville FS - 2154</t>
  </si>
  <si>
    <t>Louisville GR - 126</t>
  </si>
  <si>
    <t>MC - PRIVATE</t>
  </si>
  <si>
    <t>Louisville PT - 127</t>
  </si>
  <si>
    <t>Louisville SB - 175</t>
  </si>
  <si>
    <t>Legacy-Stu Dlx</t>
  </si>
  <si>
    <t>1 BR</t>
  </si>
  <si>
    <t>Louisville WP - 145</t>
  </si>
  <si>
    <t>Louisville WS - 190</t>
  </si>
  <si>
    <t>W;Stud</t>
  </si>
  <si>
    <t>L;Stud</t>
  </si>
  <si>
    <t>1BR DLX</t>
  </si>
  <si>
    <t>Patio Home</t>
  </si>
  <si>
    <t>Lowell - 156</t>
  </si>
  <si>
    <t>Macomb - 2508</t>
  </si>
  <si>
    <t>Madison - 2157</t>
  </si>
  <si>
    <t>Miami Township - 440</t>
  </si>
  <si>
    <t>Monclova - 2422</t>
  </si>
  <si>
    <t>Monticello - 140</t>
  </si>
  <si>
    <t>1 Bedroom</t>
  </si>
  <si>
    <t>Mooresville - 5174</t>
  </si>
  <si>
    <t>Mount Washington - 176</t>
  </si>
  <si>
    <t>Muncie - 128</t>
  </si>
  <si>
    <t>MC- Private</t>
  </si>
  <si>
    <t>Villa - 2BR</t>
  </si>
  <si>
    <t>Muskegon - 525</t>
  </si>
  <si>
    <t>New Albany AW - 105</t>
  </si>
  <si>
    <t>New Albany RC - 236</t>
  </si>
  <si>
    <t>INDEPENDENT LIVING 2 BR</t>
  </si>
  <si>
    <t>New Albany SC - 5151</t>
  </si>
  <si>
    <t>New Albany SM - 438</t>
  </si>
  <si>
    <t>New Castle GO - 2153</t>
  </si>
  <si>
    <t>New Castle SL - 2152</t>
  </si>
  <si>
    <t>Noblesville - 141</t>
  </si>
  <si>
    <t>North Baltimore - 415</t>
  </si>
  <si>
    <t>Novi - 2510</t>
  </si>
  <si>
    <t>Okemos - 2504</t>
  </si>
  <si>
    <t>Ottawa MO - 430</t>
  </si>
  <si>
    <t>Legacy Way - Private Deluxe</t>
  </si>
  <si>
    <t>Legacy Way - Companion</t>
  </si>
  <si>
    <t>Peru - 2144</t>
  </si>
  <si>
    <t>Two BR Deluxe</t>
  </si>
  <si>
    <t>Petersburg - 304</t>
  </si>
  <si>
    <t>Pickerington - 421</t>
  </si>
  <si>
    <t>Princeton - 117</t>
  </si>
  <si>
    <t>Richmond FP - 123</t>
  </si>
  <si>
    <t>Richmond SR - 5173</t>
  </si>
  <si>
    <t>Romeo - 2512</t>
  </si>
  <si>
    <t>Romeo SL - 527</t>
  </si>
  <si>
    <t>Scottsburg - 121</t>
  </si>
  <si>
    <t>Seymour - 109</t>
  </si>
  <si>
    <t>Shelbyville - 118</t>
  </si>
  <si>
    <t>Shelbyville SF - 234</t>
  </si>
  <si>
    <t>South Bend - 5169</t>
  </si>
  <si>
    <t>Springfield WG - 2429</t>
  </si>
  <si>
    <t>Deluxe</t>
  </si>
  <si>
    <t>Sun Prairie - 572</t>
  </si>
  <si>
    <t>2 Bedroom</t>
  </si>
  <si>
    <t>Sylvania - 2427</t>
  </si>
  <si>
    <t>Ind Liv - VIL</t>
  </si>
  <si>
    <t>Tell City - 103</t>
  </si>
  <si>
    <t>Terre Haute CC - 129</t>
  </si>
  <si>
    <t>Terre Haute HC - 5163</t>
  </si>
  <si>
    <t>Tiffin - 435</t>
  </si>
  <si>
    <t>AL-Studio</t>
  </si>
  <si>
    <t>AL-Studio DLX</t>
  </si>
  <si>
    <t>Union Township - 434</t>
  </si>
  <si>
    <t>Valparaiso - 139</t>
  </si>
  <si>
    <t>Vincennes - 131</t>
  </si>
  <si>
    <t>Wabash - 5170</t>
  </si>
  <si>
    <t>MC-Private</t>
  </si>
  <si>
    <t>MC-Companion</t>
  </si>
  <si>
    <t>Warsaw - 302</t>
  </si>
  <si>
    <t>MC - Compan</t>
  </si>
  <si>
    <t>Washington - 305</t>
  </si>
  <si>
    <t>Waunakee - 571</t>
  </si>
  <si>
    <t>MC - Studio Deluxe</t>
  </si>
  <si>
    <t>West Lafayette - 2135</t>
  </si>
  <si>
    <t>Westfield - 5171</t>
  </si>
  <si>
    <t>LL - Companion</t>
  </si>
  <si>
    <t>Willard - 2424</t>
  </si>
  <si>
    <t>Winchester - 232</t>
  </si>
  <si>
    <t>Zanesville OB - 2425</t>
  </si>
  <si>
    <t>Revenue Impact</t>
  </si>
  <si>
    <t>Change %</t>
  </si>
  <si>
    <r>
      <t xml:space="preserve">Rule Summary </t>
    </r>
    <r>
      <rPr>
        <sz val="11"/>
        <color theme="1" tint="0.14999847407452621"/>
        <rFont val="Aptos Narrow"/>
        <family val="2"/>
        <scheme val="minor"/>
      </rPr>
      <t>(Intent)</t>
    </r>
  </si>
  <si>
    <t>Rule Detail</t>
  </si>
  <si>
    <t>Room Type Change %</t>
  </si>
  <si>
    <t xml:space="preserve">Unit/Beds </t>
  </si>
  <si>
    <t>12 Months</t>
  </si>
  <si>
    <t>Push Highly Occupied Room Types - Equal or Less than Competitors</t>
  </si>
  <si>
    <t>1) Jun-26 MTD Service Line is 93%+ Occ % AND
2) T3 Month Room Type 95% Occ % AND
3) Street Rates Less than Top Comps by 2.5%</t>
  </si>
  <si>
    <t>AL, AL/MC, SL, VIL</t>
  </si>
  <si>
    <t>Push Highly Occupied Room Types - 2.5% greater than Comps</t>
  </si>
  <si>
    <t>1) Jun-26 MTD Service Line is 93%+ Occ % AND
2) T3 Month Room Type 95% Occ % AND
3) Street Rates Greater than Top Comps by 2.5%</t>
  </si>
  <si>
    <t>1-10%</t>
  </si>
  <si>
    <t>Ensure Street Rates equal or above In House rates in highly occupied Service Lines</t>
  </si>
  <si>
    <t>1) Jun-26 MTD Service Line is 88%+ Occ % AND
2) T3 Month Room Type 80% Occ % AND
3) Street Rates Less than In House Rates</t>
  </si>
  <si>
    <t>Decrease Low Occupancy AL Legacy based on Occupancy and Competitive Position</t>
  </si>
  <si>
    <t>1) AL Legacy Serv Line Occ % Less than 88%
2) Room Type Vacancy 2 or More
3) Street Rates greater than Top Comps by 10%+</t>
  </si>
  <si>
    <t>1) AL Legacy Serv Line Occ % Less than 88%
2) Room Type Vacancy 2 or More
3) Street Rates Less than Top Comps by 10%</t>
  </si>
  <si>
    <t>Decrease Low Occupancy SL/VIL service lines with Low Occupancy and above Top Competitor</t>
  </si>
  <si>
    <t>1) SL/VIL occupancy &lt; 80% AND
2) 20% or Greater above Top Comps</t>
  </si>
  <si>
    <t>SL, VIL</t>
  </si>
  <si>
    <t>1) Jun-26 MTD Service Line is 90%+ Occ % AND
2) T3 Month Room Type 90% Occ % AND
3) Q-Mix ADC Actual &gt; Budget AND
4) Private Pay ADC &gt;= 5 AND
5) Street Rate &lt; Top Competitor</t>
  </si>
  <si>
    <t>HC, HC/MC</t>
  </si>
  <si>
    <t>Push Highly Occupied Room Types - Greater than Comps</t>
  </si>
  <si>
    <t>1) Jun-26 MTD Service Line is 90%+ Occ % AND
2) T3 Month Room Type 90% Occ % AND
3) Q-Mix ADC Actual &gt; Budget AND
4) Private Pay ADC &gt;= 5 AND
5) Street Rate &gt;= Top Competitor</t>
  </si>
  <si>
    <t>Total Units (ex Kingston)</t>
  </si>
  <si>
    <t>Dynamic Pricing Logic</t>
  </si>
  <si>
    <t>Room Type Occupancy %</t>
  </si>
  <si>
    <t>Avg Rate</t>
  </si>
  <si>
    <t>Avg Occ %</t>
  </si>
  <si>
    <t>*Averages all apartments within that Room Type Grouping; e.g. Studio A, Studio B, Studio C</t>
  </si>
  <si>
    <t>Adj %</t>
  </si>
  <si>
    <t>New Avg Street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</si>
</sst>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mmm\-yy;@"/>
    <numFmt numFmtId="165" formatCode="0.0%"/>
    <numFmt numFmtId="168" formatCode="_(&quot;$&quot;* #,##0_);_(&quot;$&quot;* \(#,##0\);_(&quot;$&quot;* &quot;-&quot;??_);_(@_)"/>
    <numFmt numFmtId="169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5" fillId="0" borderId="0" xfId="0" applyFont="1"/>
    <xf numFmtId="49" fontId="0" fillId="0" borderId="0" xfId="0" applyNumberFormat="1"/>
    <xf numFmtId="0" fontId="2" fillId="2" borderId="0" xfId="0" applyFont="1" applyFill="1" applyAlignment="1">
      <alignment horizontal="centerContinuous"/>
    </xf>
    <xf numFmtId="18" fontId="7" fillId="3" borderId="0" xfId="0" applyNumberFormat="1" applyFont="1" applyFill="1" applyAlignment="1">
      <alignment vertical="center"/>
    </xf>
    <xf numFmtId="18" fontId="7" fillId="3" borderId="0" xfId="0" applyNumberFormat="1" applyFont="1" applyFill="1" applyAlignment="1">
      <alignment horizontal="center" vertical="center"/>
    </xf>
    <xf numFmtId="10" fontId="0" fillId="0" borderId="0" xfId="2" applyNumberFormat="1" applyFont="1" applyAlignment="1">
      <alignment horizontal="center"/>
    </xf>
    <xf numFmtId="165" fontId="0" fillId="0" borderId="0" xfId="2" applyNumberFormat="1" applyFont="1"/>
    <xf numFmtId="168" fontId="0" fillId="0" borderId="0" xfId="0" applyNumberFormat="1"/>
    <xf numFmtId="169" fontId="0" fillId="0" borderId="0" xfId="1" applyNumberFormat="1" applyFont="1"/>
    <xf numFmtId="0" fontId="3" fillId="0" borderId="0" xfId="0" applyFont="1"/>
    <xf numFmtId="169" fontId="4" fillId="0" borderId="1" xfId="1" applyNumberFormat="1" applyFont="1" applyBorder="1"/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right"/>
    </xf>
    <xf numFmtId="169" fontId="4" fillId="4" borderId="0" xfId="1" applyNumberFormat="1" applyFont="1" applyFill="1" applyAlignment="1">
      <alignment horizontal="center" vertical="center"/>
    </xf>
    <xf numFmtId="168" fontId="4" fillId="4" borderId="0" xfId="0" applyNumberFormat="1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 vertical="center"/>
    </xf>
    <xf numFmtId="168" fontId="4" fillId="0" borderId="1" xfId="1" applyNumberFormat="1" applyFont="1" applyBorder="1"/>
    <xf numFmtId="169" fontId="1" fillId="0" borderId="0" xfId="1" applyNumberFormat="1" applyFont="1"/>
    <xf numFmtId="165" fontId="6" fillId="0" borderId="0" xfId="2" applyNumberFormat="1" applyFont="1"/>
    <xf numFmtId="165" fontId="6" fillId="0" borderId="0" xfId="2" applyNumberFormat="1" applyFont="1" applyAlignment="1">
      <alignment horizontal="left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 wrapText="1"/>
    </xf>
    <xf numFmtId="18" fontId="8" fillId="3" borderId="0" xfId="0" applyNumberFormat="1" applyFont="1" applyFill="1" applyAlignment="1">
      <alignment horizontal="center" vertical="center"/>
    </xf>
    <xf numFmtId="165" fontId="4" fillId="4" borderId="4" xfId="2" applyNumberFormat="1" applyFont="1" applyFill="1" applyBorder="1" applyAlignment="1">
      <alignment horizontal="center"/>
    </xf>
    <xf numFmtId="9" fontId="4" fillId="4" borderId="4" xfId="2" applyFont="1" applyFill="1" applyBorder="1" applyAlignment="1">
      <alignment horizontal="center"/>
    </xf>
    <xf numFmtId="165" fontId="0" fillId="0" borderId="0" xfId="2" applyNumberFormat="1" applyFont="1" applyBorder="1"/>
    <xf numFmtId="165" fontId="0" fillId="0" borderId="5" xfId="2" applyNumberFormat="1" applyFont="1" applyBorder="1"/>
    <xf numFmtId="165" fontId="0" fillId="0" borderId="3" xfId="2" applyNumberFormat="1" applyFont="1" applyBorder="1"/>
    <xf numFmtId="0" fontId="10" fillId="0" borderId="0" xfId="0" applyFont="1" applyAlignment="1">
      <alignment vertical="center"/>
    </xf>
    <xf numFmtId="0" fontId="0" fillId="0" borderId="0" xfId="0" applyFill="1"/>
    <xf numFmtId="168" fontId="0" fillId="0" borderId="0" xfId="1" applyNumberFormat="1" applyFont="1"/>
    <xf numFmtId="168" fontId="4" fillId="0" borderId="5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Operations%20Finance\Pricing\2026%20Pricing%20Plans\Analysis\Dynamic%20Pricing\Q3-26%20Pricing%20Analysis-VO.xlsx" TargetMode="External"/><Relationship Id="rId1" Type="http://schemas.openxmlformats.org/officeDocument/2006/relationships/externalLinkPath" Target="Q3-26%20Pricing%20Analysis-V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SNP\Longevity%20-%2001.01.21-12.31.21\LHP_%20Trilogy_%20ISNP%20Data%20Request%20for%20MI%20Proforma%20Analysis_02.10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Notes"/>
      <sheetName val="Pricing-All Campuses"/>
      <sheetName val="Logic"/>
      <sheetName val="RR 6.19.26"/>
      <sheetName val="YTD RRAs"/>
      <sheetName val="LOC"/>
      <sheetName val="Sheet2"/>
      <sheetName val="4.14 Analysis"/>
      <sheetName val="MK"/>
      <sheetName val="Sheet1"/>
      <sheetName val="RR 1.1.23"/>
      <sheetName val="SO Rate 1.1.23"/>
      <sheetName val="SO Rate 1.1.25"/>
      <sheetName val="RR 1.1.25"/>
      <sheetName val="RR 1.1.24"/>
      <sheetName val="SO Rate 1.1.24"/>
      <sheetName val="LU 23and24"/>
      <sheetName val="MI Data"/>
      <sheetName val="May 26"/>
      <sheetName val="% PP w RRA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F Data Request "/>
      <sheetName val="ALF Data Reques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75F1-698C-4B06-BE75-7B30F88E0218}">
  <dimension ref="B1:Q977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3.7109375" customWidth="1"/>
    <col min="2" max="2" width="20.28515625" bestFit="1" customWidth="1"/>
    <col min="3" max="3" width="22.5703125" bestFit="1" customWidth="1"/>
    <col min="4" max="4" width="14.5703125" bestFit="1" customWidth="1"/>
    <col min="5" max="5" width="13.140625" bestFit="1" customWidth="1"/>
    <col min="6" max="6" width="26.7109375" customWidth="1"/>
    <col min="7" max="7" width="2.7109375" style="1" customWidth="1"/>
    <col min="8" max="10" width="11" customWidth="1"/>
    <col min="11" max="11" width="12.42578125" customWidth="1"/>
    <col min="12" max="12" width="2.7109375" customWidth="1"/>
    <col min="13" max="13" width="12.140625" bestFit="1" customWidth="1"/>
    <col min="14" max="14" width="2.7109375" customWidth="1"/>
    <col min="15" max="15" width="11.28515625" customWidth="1"/>
    <col min="16" max="16" width="19.28515625" style="17" customWidth="1"/>
  </cols>
  <sheetData>
    <row r="1" spans="2:17" x14ac:dyDescent="0.25">
      <c r="H1" s="2"/>
      <c r="I1" s="2"/>
      <c r="J1" s="2"/>
      <c r="K1" s="2"/>
    </row>
    <row r="2" spans="2:17" x14ac:dyDescent="0.25">
      <c r="B2" s="3" t="s">
        <v>0</v>
      </c>
      <c r="C2" s="3"/>
      <c r="D2" s="3"/>
      <c r="E2" s="3"/>
      <c r="F2" s="3"/>
      <c r="H2" s="3" t="s">
        <v>283</v>
      </c>
      <c r="I2" s="3"/>
      <c r="J2" s="3"/>
      <c r="K2" s="3" t="s">
        <v>1</v>
      </c>
      <c r="M2" s="3" t="s">
        <v>8</v>
      </c>
      <c r="O2" s="3" t="s">
        <v>2</v>
      </c>
      <c r="P2" s="3"/>
    </row>
    <row r="3" spans="2:17" x14ac:dyDescent="0.25"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H3" s="27">
        <v>46142</v>
      </c>
      <c r="I3" s="27">
        <v>46173</v>
      </c>
      <c r="J3" s="27">
        <v>46203</v>
      </c>
      <c r="K3" s="27" t="s">
        <v>285</v>
      </c>
      <c r="M3" s="28" t="s">
        <v>284</v>
      </c>
      <c r="O3" s="5" t="s">
        <v>287</v>
      </c>
      <c r="P3" s="5" t="s">
        <v>288</v>
      </c>
      <c r="Q3" s="34" t="s">
        <v>286</v>
      </c>
    </row>
    <row r="4" spans="2:17" x14ac:dyDescent="0.25">
      <c r="B4" t="s">
        <v>26</v>
      </c>
      <c r="C4" t="s">
        <v>27</v>
      </c>
      <c r="D4" t="s">
        <v>19</v>
      </c>
      <c r="E4" s="6">
        <v>0.92037037037037039</v>
      </c>
      <c r="F4" t="s">
        <v>30</v>
      </c>
      <c r="G4"/>
      <c r="H4" s="33">
        <v>0.795238</v>
      </c>
      <c r="I4" s="31">
        <v>0.97235014285714283</v>
      </c>
      <c r="J4" s="31">
        <v>1</v>
      </c>
      <c r="K4" s="32">
        <v>0.92307686185243321</v>
      </c>
      <c r="M4" s="36">
        <v>5059</v>
      </c>
      <c r="O4" s="30"/>
      <c r="P4" s="37" t="s">
        <v>10</v>
      </c>
    </row>
    <row r="5" spans="2:17" x14ac:dyDescent="0.25">
      <c r="B5" t="s">
        <v>26</v>
      </c>
      <c r="C5" t="s">
        <v>27</v>
      </c>
      <c r="D5" t="s">
        <v>19</v>
      </c>
      <c r="E5" s="6">
        <v>0.92037037037037039</v>
      </c>
      <c r="F5" t="s">
        <v>20</v>
      </c>
      <c r="G5"/>
      <c r="H5" s="33">
        <v>0.71296294444444441</v>
      </c>
      <c r="I5" s="31">
        <v>0.83870966666666669</v>
      </c>
      <c r="J5" s="31">
        <v>0.90432094444444444</v>
      </c>
      <c r="K5" s="32">
        <v>0.81618620512820517</v>
      </c>
      <c r="M5" s="36">
        <v>4029</v>
      </c>
      <c r="O5" s="29">
        <v>3.5432128321762027E-2</v>
      </c>
      <c r="P5" s="37">
        <v>4171.7560450083793</v>
      </c>
    </row>
    <row r="6" spans="2:17" x14ac:dyDescent="0.25">
      <c r="B6" t="s">
        <v>26</v>
      </c>
      <c r="C6" t="s">
        <v>27</v>
      </c>
      <c r="D6" t="s">
        <v>19</v>
      </c>
      <c r="E6" s="6">
        <v>0.92037037037037039</v>
      </c>
      <c r="F6" t="s">
        <v>31</v>
      </c>
      <c r="G6"/>
      <c r="H6" s="33">
        <v>1</v>
      </c>
      <c r="I6" s="31">
        <v>1</v>
      </c>
      <c r="J6" s="31">
        <v>0.83333325000000003</v>
      </c>
      <c r="K6" s="32">
        <v>0.93908260989010994</v>
      </c>
      <c r="M6" s="36">
        <v>4979</v>
      </c>
      <c r="O6" s="30"/>
      <c r="P6" s="37" t="s">
        <v>10</v>
      </c>
    </row>
    <row r="7" spans="2:17" x14ac:dyDescent="0.25">
      <c r="B7" t="s">
        <v>26</v>
      </c>
      <c r="C7" t="s">
        <v>27</v>
      </c>
      <c r="D7" t="s">
        <v>19</v>
      </c>
      <c r="E7" s="6">
        <v>0.92037037037037039</v>
      </c>
      <c r="F7" t="s">
        <v>15</v>
      </c>
      <c r="G7"/>
      <c r="H7" s="33">
        <v>1</v>
      </c>
      <c r="I7" s="31">
        <v>1</v>
      </c>
      <c r="J7" s="31">
        <v>1</v>
      </c>
      <c r="K7" s="32">
        <v>1</v>
      </c>
      <c r="M7" s="36">
        <v>5109</v>
      </c>
      <c r="O7" s="30"/>
      <c r="P7" s="37" t="s">
        <v>10</v>
      </c>
    </row>
    <row r="8" spans="2:17" x14ac:dyDescent="0.25">
      <c r="B8" t="s">
        <v>26</v>
      </c>
      <c r="C8" t="s">
        <v>27</v>
      </c>
      <c r="D8" t="s">
        <v>21</v>
      </c>
      <c r="E8" s="6">
        <v>0.86324786324786318</v>
      </c>
      <c r="F8" t="s">
        <v>17</v>
      </c>
      <c r="G8"/>
      <c r="H8" s="33">
        <v>0.70277774999999998</v>
      </c>
      <c r="I8" s="31">
        <v>0.89516125000000002</v>
      </c>
      <c r="J8" s="31">
        <v>0.91666666666666663</v>
      </c>
      <c r="K8" s="32">
        <v>0.83882781593406586</v>
      </c>
      <c r="M8" s="36">
        <v>6079</v>
      </c>
      <c r="O8" s="30"/>
      <c r="P8" s="37" t="s">
        <v>10</v>
      </c>
    </row>
    <row r="9" spans="2:17" x14ac:dyDescent="0.25">
      <c r="B9" t="s">
        <v>26</v>
      </c>
      <c r="C9" t="s">
        <v>27</v>
      </c>
      <c r="D9" t="s">
        <v>21</v>
      </c>
      <c r="E9" s="6">
        <v>0.86324786324786318</v>
      </c>
      <c r="F9" t="s">
        <v>18</v>
      </c>
      <c r="G9"/>
      <c r="H9" s="33">
        <v>0.13333300000000001</v>
      </c>
      <c r="I9" s="31">
        <v>1</v>
      </c>
      <c r="J9" s="31">
        <v>0.222222</v>
      </c>
      <c r="K9" s="32">
        <v>0.44194923076923082</v>
      </c>
      <c r="M9" s="36">
        <v>8439</v>
      </c>
      <c r="O9" s="30"/>
      <c r="P9" s="37" t="s">
        <v>10</v>
      </c>
    </row>
    <row r="10" spans="2:17" s="10" customFormat="1" x14ac:dyDescent="0.25">
      <c r="B10" t="s">
        <v>26</v>
      </c>
      <c r="C10" t="s">
        <v>27</v>
      </c>
      <c r="D10" t="s">
        <v>13</v>
      </c>
      <c r="E10" s="6">
        <v>0.90843621399176955</v>
      </c>
      <c r="F10" t="s">
        <v>15</v>
      </c>
      <c r="G10"/>
      <c r="H10" s="33">
        <v>0.93030299999999999</v>
      </c>
      <c r="I10" s="31">
        <v>1</v>
      </c>
      <c r="J10" s="31">
        <v>0.91666650000000005</v>
      </c>
      <c r="K10" s="32">
        <v>0.92783269820971881</v>
      </c>
      <c r="L10"/>
      <c r="M10" s="36">
        <v>389</v>
      </c>
      <c r="N10"/>
      <c r="O10" s="30"/>
      <c r="P10" s="37" t="s">
        <v>10</v>
      </c>
    </row>
    <row r="11" spans="2:17" x14ac:dyDescent="0.25">
      <c r="B11" t="s">
        <v>26</v>
      </c>
      <c r="C11" t="s">
        <v>27</v>
      </c>
      <c r="D11" t="s">
        <v>13</v>
      </c>
      <c r="E11" s="6">
        <v>0.90843621399176955</v>
      </c>
      <c r="F11" t="s">
        <v>14</v>
      </c>
      <c r="G11"/>
      <c r="H11" s="33">
        <v>0.93437499999999996</v>
      </c>
      <c r="I11" s="31">
        <v>0.97379031250000003</v>
      </c>
      <c r="J11" s="31">
        <v>0.94791662499999996</v>
      </c>
      <c r="K11" s="32">
        <v>0.9506377970041322</v>
      </c>
      <c r="M11" s="36">
        <v>399</v>
      </c>
      <c r="O11" s="30"/>
      <c r="P11" s="37" t="s">
        <v>10</v>
      </c>
    </row>
    <row r="12" spans="2:17" x14ac:dyDescent="0.25">
      <c r="B12" t="s">
        <v>26</v>
      </c>
      <c r="C12" t="s">
        <v>27</v>
      </c>
      <c r="D12" t="s">
        <v>13</v>
      </c>
      <c r="E12" s="6">
        <v>0.90843621399176955</v>
      </c>
      <c r="F12" t="s">
        <v>28</v>
      </c>
      <c r="G12"/>
      <c r="H12" s="33" t="s">
        <v>10</v>
      </c>
      <c r="I12" s="31">
        <v>0.71774190000000004</v>
      </c>
      <c r="J12" s="31">
        <v>0.86111109999999991</v>
      </c>
      <c r="K12" s="32">
        <v>0.80523874426229503</v>
      </c>
      <c r="M12" s="36">
        <v>439</v>
      </c>
      <c r="O12" s="30"/>
      <c r="P12" s="37" t="s">
        <v>10</v>
      </c>
    </row>
    <row r="13" spans="2:17" x14ac:dyDescent="0.25">
      <c r="B13" t="s">
        <v>26</v>
      </c>
      <c r="C13" t="s">
        <v>27</v>
      </c>
      <c r="D13" t="s">
        <v>13</v>
      </c>
      <c r="E13" s="6">
        <v>0.90843621399176955</v>
      </c>
      <c r="F13" t="s">
        <v>29</v>
      </c>
      <c r="G13"/>
      <c r="H13" s="33" t="s">
        <v>10</v>
      </c>
      <c r="I13" s="31">
        <v>0.83064512499999998</v>
      </c>
      <c r="J13" s="31">
        <v>0.92708331249999998</v>
      </c>
      <c r="K13" s="32">
        <v>0.87384174385245916</v>
      </c>
      <c r="M13" s="36">
        <v>539</v>
      </c>
      <c r="O13" s="30"/>
      <c r="P13" s="37" t="s">
        <v>10</v>
      </c>
    </row>
    <row r="14" spans="2:17" x14ac:dyDescent="0.25">
      <c r="B14" t="s">
        <v>26</v>
      </c>
      <c r="C14" t="s">
        <v>68</v>
      </c>
      <c r="D14" t="s">
        <v>19</v>
      </c>
      <c r="E14" s="6">
        <v>0.95555555555555549</v>
      </c>
      <c r="F14" t="s">
        <v>34</v>
      </c>
      <c r="G14"/>
      <c r="H14" s="33">
        <v>0.99</v>
      </c>
      <c r="I14" s="31">
        <v>1</v>
      </c>
      <c r="J14" s="31">
        <v>0.96111110000000011</v>
      </c>
      <c r="K14" s="32">
        <v>0.98666984615384623</v>
      </c>
      <c r="M14" s="36">
        <v>5854</v>
      </c>
      <c r="O14" s="29">
        <v>2.5000000000000001E-2</v>
      </c>
      <c r="P14" s="37">
        <v>6000.3499999999995</v>
      </c>
    </row>
    <row r="15" spans="2:17" x14ac:dyDescent="0.25">
      <c r="B15" t="s">
        <v>26</v>
      </c>
      <c r="C15" t="s">
        <v>68</v>
      </c>
      <c r="D15" t="s">
        <v>19</v>
      </c>
      <c r="E15" s="6">
        <v>0.95555555555555549</v>
      </c>
      <c r="F15" t="s">
        <v>69</v>
      </c>
      <c r="G15"/>
      <c r="H15" s="33">
        <v>0.85833325000000005</v>
      </c>
      <c r="I15" s="31">
        <v>0.95967725000000004</v>
      </c>
      <c r="J15" s="31">
        <v>0.875</v>
      </c>
      <c r="K15" s="32">
        <v>0.88939310164835172</v>
      </c>
      <c r="M15" s="36">
        <v>6419</v>
      </c>
      <c r="O15" s="30"/>
      <c r="P15" s="37" t="s">
        <v>10</v>
      </c>
    </row>
    <row r="16" spans="2:17" x14ac:dyDescent="0.25">
      <c r="B16" t="s">
        <v>26</v>
      </c>
      <c r="C16" t="s">
        <v>68</v>
      </c>
      <c r="D16" t="s">
        <v>19</v>
      </c>
      <c r="E16" s="6">
        <v>0.95555555555555549</v>
      </c>
      <c r="F16" t="s">
        <v>20</v>
      </c>
      <c r="G16"/>
      <c r="H16" s="33">
        <v>0.97222216666666661</v>
      </c>
      <c r="I16" s="31">
        <v>0.844086</v>
      </c>
      <c r="J16" s="31">
        <v>1</v>
      </c>
      <c r="K16" s="32">
        <v>0.9377289120879122</v>
      </c>
      <c r="M16" s="36">
        <v>5149</v>
      </c>
      <c r="O16" s="29">
        <v>0.01</v>
      </c>
      <c r="P16" s="37">
        <v>5200.49</v>
      </c>
    </row>
    <row r="17" spans="2:16" x14ac:dyDescent="0.25">
      <c r="B17" t="s">
        <v>26</v>
      </c>
      <c r="C17" t="s">
        <v>68</v>
      </c>
      <c r="D17" t="s">
        <v>21</v>
      </c>
      <c r="E17" s="6">
        <v>1</v>
      </c>
      <c r="F17" t="s">
        <v>17</v>
      </c>
      <c r="G17"/>
      <c r="H17" s="33">
        <v>0.7848484545454546</v>
      </c>
      <c r="I17" s="31">
        <v>0.95601172727272721</v>
      </c>
      <c r="J17" s="31">
        <v>1</v>
      </c>
      <c r="K17" s="32">
        <v>0.91408590309690319</v>
      </c>
      <c r="M17" s="36">
        <v>7499</v>
      </c>
      <c r="O17" s="29">
        <v>1.3195042587807413E-2</v>
      </c>
      <c r="P17" s="37">
        <v>7597.9496243659669</v>
      </c>
    </row>
    <row r="18" spans="2:16" x14ac:dyDescent="0.25">
      <c r="B18" t="s">
        <v>26</v>
      </c>
      <c r="C18" t="s">
        <v>68</v>
      </c>
      <c r="D18" t="s">
        <v>21</v>
      </c>
      <c r="E18" s="6">
        <v>1</v>
      </c>
      <c r="F18" t="s">
        <v>18</v>
      </c>
      <c r="G18"/>
      <c r="H18" s="33">
        <v>1</v>
      </c>
      <c r="I18" s="31">
        <v>1</v>
      </c>
      <c r="J18" s="31">
        <v>1</v>
      </c>
      <c r="K18" s="32">
        <v>1</v>
      </c>
      <c r="M18" s="36">
        <v>8939</v>
      </c>
      <c r="O18" s="29">
        <v>2.5000000000000001E-2</v>
      </c>
      <c r="P18" s="37">
        <v>9162.4749999999985</v>
      </c>
    </row>
    <row r="19" spans="2:16" x14ac:dyDescent="0.25">
      <c r="B19" t="s">
        <v>26</v>
      </c>
      <c r="C19" t="s">
        <v>68</v>
      </c>
      <c r="D19" t="s">
        <v>13</v>
      </c>
      <c r="E19" s="6">
        <v>0.84335154826958103</v>
      </c>
      <c r="F19" t="s">
        <v>14</v>
      </c>
      <c r="G19"/>
      <c r="H19" s="33">
        <v>0.859375</v>
      </c>
      <c r="I19" s="31">
        <v>0.90524190625000001</v>
      </c>
      <c r="J19" s="31">
        <v>0.84895831249999998</v>
      </c>
      <c r="K19" s="32">
        <v>0.86223421737637351</v>
      </c>
      <c r="M19" s="36">
        <v>359</v>
      </c>
      <c r="O19" s="30"/>
      <c r="P19" s="37" t="s">
        <v>10</v>
      </c>
    </row>
    <row r="20" spans="2:16" x14ac:dyDescent="0.25">
      <c r="B20" t="s">
        <v>26</v>
      </c>
      <c r="C20" t="s">
        <v>68</v>
      </c>
      <c r="D20" t="s">
        <v>13</v>
      </c>
      <c r="E20" s="6">
        <v>0.84335154826958103</v>
      </c>
      <c r="F20" t="s">
        <v>15</v>
      </c>
      <c r="G20"/>
      <c r="H20" s="33">
        <v>0.83599999999999997</v>
      </c>
      <c r="I20" s="31">
        <v>0.84774192000000004</v>
      </c>
      <c r="J20" s="31">
        <v>0.88444444</v>
      </c>
      <c r="K20" s="32">
        <v>0.85221211780219785</v>
      </c>
      <c r="M20" s="36">
        <v>359</v>
      </c>
      <c r="O20" s="30"/>
      <c r="P20" s="37" t="s">
        <v>10</v>
      </c>
    </row>
    <row r="21" spans="2:16" x14ac:dyDescent="0.25">
      <c r="B21" t="s">
        <v>26</v>
      </c>
      <c r="C21" t="s">
        <v>68</v>
      </c>
      <c r="D21" t="s">
        <v>13</v>
      </c>
      <c r="E21" s="6">
        <v>0.84335154826958103</v>
      </c>
      <c r="F21" t="s">
        <v>31</v>
      </c>
      <c r="G21"/>
      <c r="H21" s="33">
        <v>0.66666650000000005</v>
      </c>
      <c r="I21" s="31">
        <v>0.63709674999999999</v>
      </c>
      <c r="J21" s="31">
        <v>0.54166650000000005</v>
      </c>
      <c r="K21" s="32">
        <v>0.59448150274725264</v>
      </c>
      <c r="M21" s="36">
        <v>469</v>
      </c>
      <c r="O21" s="30"/>
      <c r="P21" s="37" t="s">
        <v>10</v>
      </c>
    </row>
    <row r="22" spans="2:16" x14ac:dyDescent="0.25">
      <c r="B22" t="s">
        <v>26</v>
      </c>
      <c r="C22" t="s">
        <v>127</v>
      </c>
      <c r="D22" t="s">
        <v>19</v>
      </c>
      <c r="E22" s="6">
        <v>0.88725490196078438</v>
      </c>
      <c r="F22" t="s">
        <v>20</v>
      </c>
      <c r="G22"/>
      <c r="H22" s="33">
        <v>0.99743588461538468</v>
      </c>
      <c r="I22" s="31">
        <v>0.98759303846153845</v>
      </c>
      <c r="J22" s="31">
        <v>0.92948715384615377</v>
      </c>
      <c r="K22" s="32">
        <v>0.97728690997464074</v>
      </c>
      <c r="M22" s="36">
        <v>5869</v>
      </c>
      <c r="O22" s="30"/>
      <c r="P22" s="37" t="s">
        <v>10</v>
      </c>
    </row>
    <row r="23" spans="2:16" x14ac:dyDescent="0.25">
      <c r="B23" t="s">
        <v>26</v>
      </c>
      <c r="C23" t="s">
        <v>127</v>
      </c>
      <c r="D23" t="s">
        <v>19</v>
      </c>
      <c r="E23" s="6">
        <v>0.88725490196078438</v>
      </c>
      <c r="F23" t="s">
        <v>15</v>
      </c>
      <c r="G23"/>
      <c r="H23" s="33">
        <v>1</v>
      </c>
      <c r="I23" s="31">
        <v>0.89861742857142857</v>
      </c>
      <c r="J23" s="31">
        <v>0.7142857142857143</v>
      </c>
      <c r="K23" s="32">
        <v>0.87127155729984307</v>
      </c>
      <c r="M23" s="36">
        <v>6509</v>
      </c>
      <c r="O23" s="30"/>
      <c r="P23" s="37" t="s">
        <v>10</v>
      </c>
    </row>
    <row r="24" spans="2:16" x14ac:dyDescent="0.25">
      <c r="B24" t="s">
        <v>26</v>
      </c>
      <c r="C24" t="s">
        <v>127</v>
      </c>
      <c r="D24" t="s">
        <v>19</v>
      </c>
      <c r="E24" s="6">
        <v>0.88725490196078438</v>
      </c>
      <c r="F24" t="s">
        <v>128</v>
      </c>
      <c r="G24"/>
      <c r="H24" s="33">
        <v>1</v>
      </c>
      <c r="I24" s="31">
        <v>1</v>
      </c>
      <c r="J24" s="31">
        <v>1</v>
      </c>
      <c r="K24" s="32">
        <v>1</v>
      </c>
      <c r="M24" s="36">
        <v>6749</v>
      </c>
      <c r="O24" s="30"/>
      <c r="P24" s="37" t="s">
        <v>10</v>
      </c>
    </row>
    <row r="25" spans="2:16" x14ac:dyDescent="0.25">
      <c r="B25" t="s">
        <v>26</v>
      </c>
      <c r="C25" t="s">
        <v>127</v>
      </c>
      <c r="D25" t="s">
        <v>21</v>
      </c>
      <c r="E25" s="6">
        <v>0.79118773946360144</v>
      </c>
      <c r="F25" t="s">
        <v>22</v>
      </c>
      <c r="G25"/>
      <c r="H25" s="33">
        <v>0.79855069565217385</v>
      </c>
      <c r="I25" s="31">
        <v>0.78260865217391318</v>
      </c>
      <c r="J25" s="31">
        <v>0.7995168695652175</v>
      </c>
      <c r="K25" s="32">
        <v>0.79534262732919248</v>
      </c>
      <c r="M25" s="36">
        <v>7446.826086956522</v>
      </c>
      <c r="O25" s="29">
        <v>-0.05</v>
      </c>
      <c r="P25" s="37">
        <v>7074.4847826086952</v>
      </c>
    </row>
    <row r="26" spans="2:16" x14ac:dyDescent="0.25">
      <c r="B26" t="s">
        <v>26</v>
      </c>
      <c r="C26" t="s">
        <v>127</v>
      </c>
      <c r="D26" t="s">
        <v>21</v>
      </c>
      <c r="E26" s="6">
        <v>0.79118773946360144</v>
      </c>
      <c r="F26" t="s">
        <v>23</v>
      </c>
      <c r="G26"/>
      <c r="H26" s="33">
        <v>0.99444433333333337</v>
      </c>
      <c r="I26" s="31">
        <v>0.83333333333333337</v>
      </c>
      <c r="J26" s="31">
        <v>0.75925916666666671</v>
      </c>
      <c r="K26" s="32">
        <v>0.85539091575091575</v>
      </c>
      <c r="M26" s="36">
        <v>8109</v>
      </c>
      <c r="O26" s="29"/>
      <c r="P26" s="37" t="s">
        <v>10</v>
      </c>
    </row>
    <row r="27" spans="2:16" s="10" customFormat="1" x14ac:dyDescent="0.25">
      <c r="B27" t="s">
        <v>26</v>
      </c>
      <c r="C27" t="s">
        <v>127</v>
      </c>
      <c r="D27" t="s">
        <v>13</v>
      </c>
      <c r="E27" s="6">
        <v>0.84577114427860689</v>
      </c>
      <c r="F27" t="s">
        <v>14</v>
      </c>
      <c r="G27"/>
      <c r="H27" s="33">
        <v>0.86031742857142868</v>
      </c>
      <c r="I27" s="31">
        <v>0.88018428571428564</v>
      </c>
      <c r="J27" s="31">
        <v>0.76984123809523808</v>
      </c>
      <c r="K27" s="32">
        <v>0.83668915227629526</v>
      </c>
      <c r="L27"/>
      <c r="M27" s="36">
        <v>389</v>
      </c>
      <c r="N27"/>
      <c r="O27" s="30"/>
      <c r="P27" s="37" t="s">
        <v>10</v>
      </c>
    </row>
    <row r="28" spans="2:16" x14ac:dyDescent="0.25">
      <c r="B28" t="s">
        <v>26</v>
      </c>
      <c r="C28" t="s">
        <v>127</v>
      </c>
      <c r="D28" t="s">
        <v>13</v>
      </c>
      <c r="E28" s="6">
        <v>0.84577114427860689</v>
      </c>
      <c r="F28" t="s">
        <v>15</v>
      </c>
      <c r="G28"/>
      <c r="H28" s="33">
        <v>0.83629628888888885</v>
      </c>
      <c r="I28" s="31">
        <v>0.91418441306775333</v>
      </c>
      <c r="J28" s="31">
        <v>0.88043478260869568</v>
      </c>
      <c r="K28" s="32">
        <v>0.88399495930431127</v>
      </c>
      <c r="M28" s="36">
        <v>319</v>
      </c>
      <c r="O28" s="30"/>
      <c r="P28" s="37" t="s">
        <v>10</v>
      </c>
    </row>
    <row r="29" spans="2:16" s="10" customFormat="1" x14ac:dyDescent="0.25">
      <c r="B29" t="s">
        <v>26</v>
      </c>
      <c r="C29" t="s">
        <v>127</v>
      </c>
      <c r="D29" t="s">
        <v>24</v>
      </c>
      <c r="E29" s="6">
        <v>0.69444444444444442</v>
      </c>
      <c r="F29" t="s">
        <v>80</v>
      </c>
      <c r="G29"/>
      <c r="H29" s="33">
        <v>0.83055554166666667</v>
      </c>
      <c r="I29" s="31">
        <v>0.80327865658873032</v>
      </c>
      <c r="J29" s="31">
        <v>0.9</v>
      </c>
      <c r="K29" s="32">
        <v>0.84113058815200492</v>
      </c>
      <c r="L29"/>
      <c r="M29" s="36">
        <v>3499</v>
      </c>
      <c r="N29"/>
      <c r="O29" s="30"/>
      <c r="P29" s="37" t="s">
        <v>10</v>
      </c>
    </row>
    <row r="30" spans="2:16" x14ac:dyDescent="0.25">
      <c r="B30" t="s">
        <v>26</v>
      </c>
      <c r="C30" t="s">
        <v>127</v>
      </c>
      <c r="D30" t="s">
        <v>24</v>
      </c>
      <c r="E30" s="6">
        <v>0.69444444444444442</v>
      </c>
      <c r="F30" t="s">
        <v>74</v>
      </c>
      <c r="G30"/>
      <c r="H30" s="33">
        <v>0.21875</v>
      </c>
      <c r="I30" s="31">
        <v>0.25</v>
      </c>
      <c r="J30" s="31">
        <v>0.25</v>
      </c>
      <c r="K30" s="32">
        <v>0.24383223684210525</v>
      </c>
      <c r="M30" s="36">
        <v>3299</v>
      </c>
      <c r="O30" s="30"/>
      <c r="P30" s="37" t="s">
        <v>10</v>
      </c>
    </row>
    <row r="31" spans="2:16" x14ac:dyDescent="0.25">
      <c r="B31" t="s">
        <v>26</v>
      </c>
      <c r="C31" t="s">
        <v>127</v>
      </c>
      <c r="D31" t="s">
        <v>24</v>
      </c>
      <c r="E31" s="6">
        <v>0.69444444444444442</v>
      </c>
      <c r="F31" t="s">
        <v>75</v>
      </c>
      <c r="G31"/>
      <c r="H31" s="33">
        <v>0.5625</v>
      </c>
      <c r="I31" s="31">
        <v>0.51612899999999995</v>
      </c>
      <c r="J31" s="31">
        <v>0.625</v>
      </c>
      <c r="K31" s="32">
        <v>0.5682565657894737</v>
      </c>
      <c r="M31" s="36">
        <v>3499</v>
      </c>
      <c r="O31" s="30"/>
      <c r="P31" s="37" t="s">
        <v>10</v>
      </c>
    </row>
    <row r="32" spans="2:16" x14ac:dyDescent="0.25">
      <c r="B32" t="s">
        <v>26</v>
      </c>
      <c r="C32" t="s">
        <v>138</v>
      </c>
      <c r="D32" t="s">
        <v>19</v>
      </c>
      <c r="E32" s="6">
        <v>0.91666666666666663</v>
      </c>
      <c r="F32" t="s">
        <v>20</v>
      </c>
      <c r="G32"/>
      <c r="H32" s="33">
        <v>0.65208331250000007</v>
      </c>
      <c r="I32" s="31">
        <v>0.81451606250000008</v>
      </c>
      <c r="J32" s="31">
        <v>0.91666662499999996</v>
      </c>
      <c r="K32" s="32">
        <v>0.79971924244505499</v>
      </c>
      <c r="M32" s="36">
        <v>2339</v>
      </c>
      <c r="O32" s="30"/>
      <c r="P32" s="37" t="s">
        <v>10</v>
      </c>
    </row>
    <row r="33" spans="2:16" x14ac:dyDescent="0.25">
      <c r="B33" t="s">
        <v>26</v>
      </c>
      <c r="C33" t="s">
        <v>138</v>
      </c>
      <c r="D33" t="s">
        <v>13</v>
      </c>
      <c r="E33" s="6">
        <v>0.93253968253968245</v>
      </c>
      <c r="F33" t="s">
        <v>14</v>
      </c>
      <c r="G33"/>
      <c r="H33" s="33">
        <v>0.85</v>
      </c>
      <c r="I33" s="31">
        <v>0.92529710526315789</v>
      </c>
      <c r="J33" s="31">
        <v>0.95029236842105258</v>
      </c>
      <c r="K33" s="32">
        <v>0.88700858929200421</v>
      </c>
      <c r="M33" s="36">
        <v>349</v>
      </c>
      <c r="O33" s="29">
        <v>0.1</v>
      </c>
      <c r="P33" s="37">
        <v>383.90000000000003</v>
      </c>
    </row>
    <row r="34" spans="2:16" x14ac:dyDescent="0.25">
      <c r="B34" t="s">
        <v>26</v>
      </c>
      <c r="C34" t="s">
        <v>138</v>
      </c>
      <c r="D34" t="s">
        <v>13</v>
      </c>
      <c r="E34" s="6">
        <v>0.93253968253968245</v>
      </c>
      <c r="F34" t="s">
        <v>15</v>
      </c>
      <c r="G34"/>
      <c r="H34" s="33">
        <v>0.9511904642857143</v>
      </c>
      <c r="I34" s="31">
        <v>0.9158986071428572</v>
      </c>
      <c r="J34" s="31">
        <v>0.93253967857142861</v>
      </c>
      <c r="K34" s="32">
        <v>0.9383659697802198</v>
      </c>
      <c r="M34" s="36">
        <v>299</v>
      </c>
      <c r="O34" s="30"/>
      <c r="P34" s="37" t="s">
        <v>10</v>
      </c>
    </row>
    <row r="35" spans="2:16" x14ac:dyDescent="0.25">
      <c r="B35" t="s">
        <v>26</v>
      </c>
      <c r="C35" t="s">
        <v>138</v>
      </c>
      <c r="D35" t="s">
        <v>13</v>
      </c>
      <c r="E35" s="6">
        <v>0.93253968253968245</v>
      </c>
      <c r="F35" t="s">
        <v>29</v>
      </c>
      <c r="G35"/>
      <c r="H35" s="33" t="s">
        <v>10</v>
      </c>
      <c r="I35" s="31">
        <v>0.87532691891891889</v>
      </c>
      <c r="J35" s="31">
        <v>0.92342340540540535</v>
      </c>
      <c r="K35" s="32">
        <v>0.8880969233495789</v>
      </c>
      <c r="M35" s="36">
        <v>479</v>
      </c>
      <c r="O35" s="30"/>
      <c r="P35" s="37" t="s">
        <v>10</v>
      </c>
    </row>
    <row r="36" spans="2:16" x14ac:dyDescent="0.25">
      <c r="B36" t="s">
        <v>26</v>
      </c>
      <c r="C36" t="s">
        <v>139</v>
      </c>
      <c r="D36" t="s">
        <v>19</v>
      </c>
      <c r="E36" s="6">
        <v>0.96111111111111103</v>
      </c>
      <c r="F36" t="s">
        <v>20</v>
      </c>
      <c r="G36"/>
      <c r="H36" s="33">
        <v>0.88030300000000006</v>
      </c>
      <c r="I36" s="31">
        <v>0.96187681818181825</v>
      </c>
      <c r="J36" s="31">
        <v>0.94696968181818175</v>
      </c>
      <c r="K36" s="32">
        <v>0.93126436563436565</v>
      </c>
      <c r="M36" s="36">
        <v>3172.6363636363635</v>
      </c>
      <c r="O36" s="30"/>
      <c r="P36" s="37" t="s">
        <v>10</v>
      </c>
    </row>
    <row r="37" spans="2:16" x14ac:dyDescent="0.25">
      <c r="B37" t="s">
        <v>26</v>
      </c>
      <c r="C37" t="s">
        <v>139</v>
      </c>
      <c r="D37" t="s">
        <v>19</v>
      </c>
      <c r="E37" s="6">
        <v>0.96111111111111103</v>
      </c>
      <c r="F37" t="s">
        <v>31</v>
      </c>
      <c r="G37"/>
      <c r="H37" s="33">
        <v>1</v>
      </c>
      <c r="I37" s="31">
        <v>1</v>
      </c>
      <c r="J37" s="31">
        <v>1</v>
      </c>
      <c r="K37" s="32">
        <v>1</v>
      </c>
      <c r="M37" s="36">
        <v>3889</v>
      </c>
      <c r="O37" s="29">
        <v>0.01</v>
      </c>
      <c r="P37" s="37">
        <v>3927.89</v>
      </c>
    </row>
    <row r="38" spans="2:16" s="10" customFormat="1" x14ac:dyDescent="0.25">
      <c r="B38" t="s">
        <v>26</v>
      </c>
      <c r="C38" t="s">
        <v>139</v>
      </c>
      <c r="D38" t="s">
        <v>19</v>
      </c>
      <c r="E38" s="6">
        <v>0.96111111111111103</v>
      </c>
      <c r="F38" t="s">
        <v>30</v>
      </c>
      <c r="G38"/>
      <c r="H38" s="33">
        <v>0.81666649999999996</v>
      </c>
      <c r="I38" s="31">
        <v>1</v>
      </c>
      <c r="J38" s="31">
        <v>1</v>
      </c>
      <c r="K38" s="32">
        <v>0.9395603846153846</v>
      </c>
      <c r="L38"/>
      <c r="M38" s="36">
        <v>3999</v>
      </c>
      <c r="N38"/>
      <c r="O38" s="29">
        <v>9.8444427744796031E-2</v>
      </c>
      <c r="P38" s="37">
        <v>4392.6792665514395</v>
      </c>
    </row>
    <row r="39" spans="2:16" x14ac:dyDescent="0.25">
      <c r="B39" t="s">
        <v>26</v>
      </c>
      <c r="C39" t="s">
        <v>139</v>
      </c>
      <c r="D39" t="s">
        <v>21</v>
      </c>
      <c r="E39" s="6">
        <v>0.95959595959595956</v>
      </c>
      <c r="F39" t="s">
        <v>17</v>
      </c>
      <c r="G39"/>
      <c r="H39" s="33">
        <v>0.89629622222222216</v>
      </c>
      <c r="I39" s="31">
        <v>0.92473111111111117</v>
      </c>
      <c r="J39" s="31">
        <v>0.95061722222222222</v>
      </c>
      <c r="K39" s="32">
        <v>0.92742997557997542</v>
      </c>
      <c r="M39" s="36">
        <v>6649</v>
      </c>
      <c r="O39" s="30"/>
      <c r="P39" s="37" t="s">
        <v>10</v>
      </c>
    </row>
    <row r="40" spans="2:16" x14ac:dyDescent="0.25">
      <c r="B40" t="s">
        <v>26</v>
      </c>
      <c r="C40" t="s">
        <v>139</v>
      </c>
      <c r="D40" t="s">
        <v>21</v>
      </c>
      <c r="E40" s="6">
        <v>0.95959595959595956</v>
      </c>
      <c r="F40" t="s">
        <v>18</v>
      </c>
      <c r="G40"/>
      <c r="H40" s="33">
        <v>1</v>
      </c>
      <c r="I40" s="31">
        <v>1</v>
      </c>
      <c r="J40" s="31">
        <v>1</v>
      </c>
      <c r="K40" s="32">
        <v>1</v>
      </c>
      <c r="M40" s="36">
        <v>6649</v>
      </c>
      <c r="O40" s="29">
        <v>0.05</v>
      </c>
      <c r="P40" s="37">
        <v>6981.4500000000007</v>
      </c>
    </row>
    <row r="41" spans="2:16" x14ac:dyDescent="0.25">
      <c r="B41" t="s">
        <v>26</v>
      </c>
      <c r="C41" t="s">
        <v>139</v>
      </c>
      <c r="D41" t="s">
        <v>13</v>
      </c>
      <c r="E41" s="6">
        <v>0.85185185185185186</v>
      </c>
      <c r="F41" t="s">
        <v>14</v>
      </c>
      <c r="G41"/>
      <c r="H41" s="33">
        <v>0.830232558139535</v>
      </c>
      <c r="I41" s="31">
        <v>0.87771941860465108</v>
      </c>
      <c r="J41" s="31">
        <v>0.85917311627906967</v>
      </c>
      <c r="K41" s="32">
        <v>0.84870942627140311</v>
      </c>
      <c r="M41" s="36">
        <v>339</v>
      </c>
      <c r="O41" s="30"/>
      <c r="P41" s="37" t="s">
        <v>10</v>
      </c>
    </row>
    <row r="42" spans="2:16" x14ac:dyDescent="0.25">
      <c r="B42" t="s">
        <v>26</v>
      </c>
      <c r="C42" t="s">
        <v>139</v>
      </c>
      <c r="D42" t="s">
        <v>13</v>
      </c>
      <c r="E42" s="6">
        <v>0.85185185185185186</v>
      </c>
      <c r="F42" t="s">
        <v>15</v>
      </c>
      <c r="G42"/>
      <c r="H42" s="33">
        <v>0.8571428571428571</v>
      </c>
      <c r="I42" s="31">
        <v>0.83870964285714289</v>
      </c>
      <c r="J42" s="31">
        <v>0.82936507142857141</v>
      </c>
      <c r="K42" s="32">
        <v>0.84369666012558864</v>
      </c>
      <c r="M42" s="36">
        <v>299</v>
      </c>
      <c r="O42" s="30"/>
      <c r="P42" s="37" t="s">
        <v>10</v>
      </c>
    </row>
    <row r="43" spans="2:16" x14ac:dyDescent="0.25">
      <c r="B43" t="s">
        <v>26</v>
      </c>
      <c r="C43" t="s">
        <v>193</v>
      </c>
      <c r="D43" t="s">
        <v>19</v>
      </c>
      <c r="E43" s="6">
        <v>1</v>
      </c>
      <c r="F43" t="s">
        <v>20</v>
      </c>
      <c r="G43"/>
      <c r="H43" s="33">
        <v>0.97555553333333334</v>
      </c>
      <c r="I43" s="31">
        <v>1</v>
      </c>
      <c r="J43" s="31">
        <v>1</v>
      </c>
      <c r="K43" s="32">
        <v>0.99194138461538472</v>
      </c>
      <c r="M43" s="36">
        <v>4599</v>
      </c>
      <c r="O43" s="29">
        <v>2.5000000000000001E-2</v>
      </c>
      <c r="P43" s="37">
        <v>4713.9749999999995</v>
      </c>
    </row>
    <row r="44" spans="2:16" x14ac:dyDescent="0.25">
      <c r="B44" t="s">
        <v>26</v>
      </c>
      <c r="C44" t="s">
        <v>193</v>
      </c>
      <c r="D44" t="s">
        <v>13</v>
      </c>
      <c r="E44" s="6">
        <v>0.85185185185185186</v>
      </c>
      <c r="F44" t="s">
        <v>14</v>
      </c>
      <c r="G44"/>
      <c r="H44" s="33">
        <v>0.890625</v>
      </c>
      <c r="I44" s="31">
        <v>0.88810481249999995</v>
      </c>
      <c r="J44" s="31">
        <v>0.86458331249999998</v>
      </c>
      <c r="K44" s="32">
        <v>0.88013615521978017</v>
      </c>
      <c r="M44" s="36">
        <v>359</v>
      </c>
      <c r="O44" s="30"/>
      <c r="P44" s="37" t="s">
        <v>10</v>
      </c>
    </row>
    <row r="45" spans="2:16" x14ac:dyDescent="0.25">
      <c r="B45" t="s">
        <v>26</v>
      </c>
      <c r="C45" t="s">
        <v>193</v>
      </c>
      <c r="D45" t="s">
        <v>13</v>
      </c>
      <c r="E45" s="6">
        <v>0.85185185185185186</v>
      </c>
      <c r="F45" t="s">
        <v>15</v>
      </c>
      <c r="G45"/>
      <c r="H45" s="33">
        <v>0.82631578947368423</v>
      </c>
      <c r="I45" s="31">
        <v>0.84889642105263152</v>
      </c>
      <c r="J45" s="31">
        <v>0.83040931578947375</v>
      </c>
      <c r="K45" s="32">
        <v>0.83016066628108742</v>
      </c>
      <c r="M45" s="36">
        <v>349</v>
      </c>
      <c r="O45" s="30"/>
      <c r="P45" s="37" t="s">
        <v>10</v>
      </c>
    </row>
    <row r="46" spans="2:16" x14ac:dyDescent="0.25">
      <c r="B46" t="s">
        <v>26</v>
      </c>
      <c r="C46" t="s">
        <v>204</v>
      </c>
      <c r="D46" t="s">
        <v>19</v>
      </c>
      <c r="E46" s="6">
        <v>0.86363636363636365</v>
      </c>
      <c r="F46" t="s">
        <v>20</v>
      </c>
      <c r="G46"/>
      <c r="H46" s="33">
        <v>0.98703700000000005</v>
      </c>
      <c r="I46" s="31">
        <v>0.94444444444444442</v>
      </c>
      <c r="J46" s="31">
        <v>0.94444444444444442</v>
      </c>
      <c r="K46" s="32">
        <v>0.9584859462759463</v>
      </c>
      <c r="M46" s="36">
        <v>5359</v>
      </c>
      <c r="O46" s="30"/>
      <c r="P46" s="37" t="s">
        <v>10</v>
      </c>
    </row>
    <row r="47" spans="2:16" x14ac:dyDescent="0.25">
      <c r="B47" t="s">
        <v>26</v>
      </c>
      <c r="C47" t="s">
        <v>204</v>
      </c>
      <c r="D47" t="s">
        <v>19</v>
      </c>
      <c r="E47" s="6">
        <v>0.86363636363636365</v>
      </c>
      <c r="F47" t="s">
        <v>15</v>
      </c>
      <c r="G47"/>
      <c r="H47" s="33">
        <v>0.72499999999999998</v>
      </c>
      <c r="I47" s="31">
        <v>0.5</v>
      </c>
      <c r="J47" s="31">
        <v>0.5</v>
      </c>
      <c r="K47" s="32">
        <v>0.57417582417582413</v>
      </c>
      <c r="M47" s="36">
        <v>5959</v>
      </c>
      <c r="O47" s="30"/>
      <c r="P47" s="37" t="s">
        <v>10</v>
      </c>
    </row>
    <row r="48" spans="2:16" x14ac:dyDescent="0.25">
      <c r="B48" t="s">
        <v>26</v>
      </c>
      <c r="C48" t="s">
        <v>204</v>
      </c>
      <c r="D48" t="s">
        <v>21</v>
      </c>
      <c r="E48" s="6">
        <v>0.81818181818181823</v>
      </c>
      <c r="F48" t="s">
        <v>17</v>
      </c>
      <c r="G48"/>
      <c r="H48" s="33">
        <v>0.49259255555555559</v>
      </c>
      <c r="I48" s="31">
        <v>0.6523296666666667</v>
      </c>
      <c r="J48" s="31">
        <v>0.77777777777777779</v>
      </c>
      <c r="K48" s="32">
        <v>0.64102560073260073</v>
      </c>
      <c r="M48" s="36">
        <v>7119</v>
      </c>
      <c r="O48" s="29">
        <v>-0.05</v>
      </c>
      <c r="P48" s="37">
        <v>6763.0499999999993</v>
      </c>
    </row>
    <row r="49" spans="2:16" x14ac:dyDescent="0.25">
      <c r="B49" t="s">
        <v>26</v>
      </c>
      <c r="C49" t="s">
        <v>204</v>
      </c>
      <c r="D49" t="s">
        <v>21</v>
      </c>
      <c r="E49" s="6">
        <v>0.81818181818181823</v>
      </c>
      <c r="F49" t="s">
        <v>18</v>
      </c>
      <c r="G49"/>
      <c r="H49" s="33">
        <v>1</v>
      </c>
      <c r="I49" s="31">
        <v>1</v>
      </c>
      <c r="J49" s="31">
        <v>1</v>
      </c>
      <c r="K49" s="32">
        <v>1</v>
      </c>
      <c r="M49" s="36">
        <v>8909</v>
      </c>
      <c r="O49" s="30"/>
      <c r="P49" s="37" t="s">
        <v>10</v>
      </c>
    </row>
    <row r="50" spans="2:16" x14ac:dyDescent="0.25">
      <c r="B50" t="s">
        <v>26</v>
      </c>
      <c r="C50" t="s">
        <v>204</v>
      </c>
      <c r="D50" t="s">
        <v>13</v>
      </c>
      <c r="E50" s="6">
        <v>0.97988505747126442</v>
      </c>
      <c r="F50" t="s">
        <v>14</v>
      </c>
      <c r="G50"/>
      <c r="H50" s="33">
        <v>0.91333319999999996</v>
      </c>
      <c r="I50" s="31">
        <v>0.92903219999999997</v>
      </c>
      <c r="J50" s="31">
        <v>0.92222219999999999</v>
      </c>
      <c r="K50" s="32">
        <v>0.92718578241758232</v>
      </c>
      <c r="M50" s="36">
        <v>349</v>
      </c>
      <c r="O50" s="30"/>
      <c r="P50" s="37" t="s">
        <v>10</v>
      </c>
    </row>
    <row r="51" spans="2:16" x14ac:dyDescent="0.25">
      <c r="B51" t="s">
        <v>26</v>
      </c>
      <c r="C51" s="35" t="s">
        <v>204</v>
      </c>
      <c r="D51" t="s">
        <v>13</v>
      </c>
      <c r="E51" s="6">
        <v>0.97988505747126442</v>
      </c>
      <c r="F51" t="s">
        <v>15</v>
      </c>
      <c r="G51"/>
      <c r="H51" s="33">
        <v>0.89811320754716983</v>
      </c>
      <c r="I51" s="31">
        <v>0.92148507547169811</v>
      </c>
      <c r="J51" s="31">
        <v>0.98532494339622645</v>
      </c>
      <c r="K51" s="32">
        <v>0.92911681297947335</v>
      </c>
      <c r="M51" s="36">
        <v>289</v>
      </c>
      <c r="O51" s="30"/>
      <c r="P51" s="37" t="s">
        <v>10</v>
      </c>
    </row>
    <row r="52" spans="2:16" s="10" customFormat="1" x14ac:dyDescent="0.25">
      <c r="B52" t="s">
        <v>26</v>
      </c>
      <c r="C52" t="s">
        <v>205</v>
      </c>
      <c r="D52" t="s">
        <v>51</v>
      </c>
      <c r="E52" s="6">
        <v>0.9152542372881356</v>
      </c>
      <c r="F52" t="s">
        <v>30</v>
      </c>
      <c r="G52"/>
      <c r="H52" s="33">
        <v>0.95225224324324331</v>
      </c>
      <c r="I52" s="31">
        <v>0.95379248648648662</v>
      </c>
      <c r="J52" s="31">
        <v>0.97297297297297303</v>
      </c>
      <c r="K52" s="32">
        <v>0.95960795129195131</v>
      </c>
      <c r="L52"/>
      <c r="M52" s="36">
        <v>2879</v>
      </c>
      <c r="N52"/>
      <c r="O52" s="29">
        <v>6.8142380622712939E-2</v>
      </c>
      <c r="P52" s="37">
        <v>3075.1819138127903</v>
      </c>
    </row>
    <row r="53" spans="2:16" x14ac:dyDescent="0.25">
      <c r="B53" t="s">
        <v>26</v>
      </c>
      <c r="C53" t="s">
        <v>205</v>
      </c>
      <c r="D53" t="s">
        <v>51</v>
      </c>
      <c r="E53" s="6">
        <v>0.9152542372881356</v>
      </c>
      <c r="F53" t="s">
        <v>87</v>
      </c>
      <c r="G53"/>
      <c r="H53" s="33" t="s">
        <v>10</v>
      </c>
      <c r="I53" s="31" t="s">
        <v>10</v>
      </c>
      <c r="J53" s="31" t="s">
        <v>10</v>
      </c>
      <c r="K53" s="32" t="s">
        <v>10</v>
      </c>
      <c r="M53" s="36" t="s">
        <v>10</v>
      </c>
      <c r="O53" s="30"/>
      <c r="P53" s="37" t="s">
        <v>10</v>
      </c>
    </row>
    <row r="54" spans="2:16" x14ac:dyDescent="0.25">
      <c r="B54" t="s">
        <v>26</v>
      </c>
      <c r="C54" t="s">
        <v>205</v>
      </c>
      <c r="D54" t="s">
        <v>51</v>
      </c>
      <c r="E54" s="6">
        <v>0.9152542372881356</v>
      </c>
      <c r="F54" t="s">
        <v>20</v>
      </c>
      <c r="G54"/>
      <c r="H54" s="33">
        <v>0.78125</v>
      </c>
      <c r="I54" s="31">
        <v>0.84879031250000003</v>
      </c>
      <c r="J54" s="31">
        <v>0.8125</v>
      </c>
      <c r="K54" s="32">
        <v>0.81456043612637374</v>
      </c>
      <c r="M54" s="36">
        <v>2239</v>
      </c>
      <c r="O54" s="29">
        <v>2.6627540484729921E-2</v>
      </c>
      <c r="P54" s="37">
        <v>2298.6190631453101</v>
      </c>
    </row>
    <row r="55" spans="2:16" x14ac:dyDescent="0.25">
      <c r="B55" t="s">
        <v>26</v>
      </c>
      <c r="C55" t="s">
        <v>205</v>
      </c>
      <c r="D55" t="s">
        <v>51</v>
      </c>
      <c r="E55" s="6">
        <v>0.9152542372881356</v>
      </c>
      <c r="F55" t="s">
        <v>123</v>
      </c>
      <c r="G55"/>
      <c r="H55" s="33">
        <v>0.5</v>
      </c>
      <c r="I55" s="31">
        <v>0.72580624999999999</v>
      </c>
      <c r="J55" s="31">
        <v>0.75</v>
      </c>
      <c r="K55" s="32">
        <v>0.6593405906593407</v>
      </c>
      <c r="M55" s="36">
        <v>5809</v>
      </c>
      <c r="O55" s="30"/>
      <c r="P55" s="37" t="s">
        <v>10</v>
      </c>
    </row>
    <row r="56" spans="2:16" x14ac:dyDescent="0.25">
      <c r="B56" t="s">
        <v>26</v>
      </c>
      <c r="C56" t="s">
        <v>205</v>
      </c>
      <c r="D56" t="s">
        <v>51</v>
      </c>
      <c r="E56" s="6">
        <v>0.9152542372881356</v>
      </c>
      <c r="F56" t="s">
        <v>111</v>
      </c>
      <c r="G56"/>
      <c r="H56" s="33" t="s">
        <v>10</v>
      </c>
      <c r="I56" s="31" t="s">
        <v>10</v>
      </c>
      <c r="J56" s="31" t="s">
        <v>10</v>
      </c>
      <c r="K56" s="32" t="s">
        <v>10</v>
      </c>
      <c r="M56" s="36" t="s">
        <v>10</v>
      </c>
      <c r="O56" s="30"/>
      <c r="P56" s="37" t="s">
        <v>10</v>
      </c>
    </row>
    <row r="57" spans="2:16" x14ac:dyDescent="0.25">
      <c r="B57" t="s">
        <v>26</v>
      </c>
      <c r="C57" t="s">
        <v>205</v>
      </c>
      <c r="D57" t="s">
        <v>51</v>
      </c>
      <c r="E57" s="6">
        <v>0.9152542372881356</v>
      </c>
      <c r="F57" t="s">
        <v>57</v>
      </c>
      <c r="G57"/>
      <c r="H57" s="33">
        <v>1</v>
      </c>
      <c r="I57" s="31">
        <v>1</v>
      </c>
      <c r="J57" s="31">
        <v>1</v>
      </c>
      <c r="K57" s="32">
        <v>1</v>
      </c>
      <c r="M57" s="36">
        <v>4539</v>
      </c>
      <c r="O57" s="30"/>
      <c r="P57" s="37" t="s">
        <v>10</v>
      </c>
    </row>
    <row r="58" spans="2:16" x14ac:dyDescent="0.25">
      <c r="B58" t="s">
        <v>26</v>
      </c>
      <c r="C58" t="s">
        <v>205</v>
      </c>
      <c r="D58" t="s">
        <v>51</v>
      </c>
      <c r="E58" s="6">
        <v>0.9152542372881356</v>
      </c>
      <c r="F58" t="s">
        <v>113</v>
      </c>
      <c r="G58"/>
      <c r="H58" s="33" t="s">
        <v>10</v>
      </c>
      <c r="I58" s="31" t="s">
        <v>10</v>
      </c>
      <c r="J58" s="31" t="s">
        <v>10</v>
      </c>
      <c r="K58" s="32" t="s">
        <v>10</v>
      </c>
      <c r="M58" s="36" t="s">
        <v>10</v>
      </c>
      <c r="O58" s="30"/>
      <c r="P58" s="37" t="s">
        <v>10</v>
      </c>
    </row>
    <row r="59" spans="2:16" x14ac:dyDescent="0.25">
      <c r="B59" t="s">
        <v>26</v>
      </c>
      <c r="C59" t="s">
        <v>251</v>
      </c>
      <c r="D59" t="s">
        <v>19</v>
      </c>
      <c r="E59" s="6">
        <v>0.93518518518518523</v>
      </c>
      <c r="F59" t="s">
        <v>20</v>
      </c>
      <c r="G59"/>
      <c r="H59" s="33">
        <v>1</v>
      </c>
      <c r="I59" s="31">
        <v>1</v>
      </c>
      <c r="J59" s="31">
        <v>0.95138887500000002</v>
      </c>
      <c r="K59" s="32">
        <v>0.98148589285714294</v>
      </c>
      <c r="M59" s="36">
        <v>5409</v>
      </c>
      <c r="O59" s="29">
        <v>2.5000000000000001E-2</v>
      </c>
      <c r="P59" s="37">
        <v>5544.2249999999995</v>
      </c>
    </row>
    <row r="60" spans="2:16" x14ac:dyDescent="0.25">
      <c r="B60" t="s">
        <v>26</v>
      </c>
      <c r="C60" t="s">
        <v>251</v>
      </c>
      <c r="D60" t="s">
        <v>19</v>
      </c>
      <c r="E60" s="6">
        <v>0.93518518518518523</v>
      </c>
      <c r="F60" t="s">
        <v>31</v>
      </c>
      <c r="G60"/>
      <c r="H60" s="33">
        <v>1</v>
      </c>
      <c r="I60" s="31">
        <v>0.8387095</v>
      </c>
      <c r="J60" s="31">
        <v>1</v>
      </c>
      <c r="K60" s="32">
        <v>0.94505488461538456</v>
      </c>
      <c r="M60" s="36">
        <v>5689</v>
      </c>
      <c r="O60" s="30"/>
      <c r="P60" s="37" t="s">
        <v>10</v>
      </c>
    </row>
    <row r="61" spans="2:16" x14ac:dyDescent="0.25">
      <c r="B61" t="s">
        <v>26</v>
      </c>
      <c r="C61" t="s">
        <v>251</v>
      </c>
      <c r="D61" t="s">
        <v>19</v>
      </c>
      <c r="E61" s="6">
        <v>0.93518518518518523</v>
      </c>
      <c r="F61" t="s">
        <v>87</v>
      </c>
      <c r="G61"/>
      <c r="H61" s="33">
        <v>1</v>
      </c>
      <c r="I61" s="31">
        <v>1</v>
      </c>
      <c r="J61" s="31">
        <v>0.80555549999999998</v>
      </c>
      <c r="K61" s="32">
        <v>0.93191590659340662</v>
      </c>
      <c r="M61" s="36">
        <v>5889</v>
      </c>
      <c r="O61" s="30"/>
      <c r="P61" s="37" t="s">
        <v>10</v>
      </c>
    </row>
    <row r="62" spans="2:16" x14ac:dyDescent="0.25">
      <c r="B62" t="s">
        <v>26</v>
      </c>
      <c r="C62" t="s">
        <v>251</v>
      </c>
      <c r="D62" t="s">
        <v>21</v>
      </c>
      <c r="E62" s="6">
        <v>1</v>
      </c>
      <c r="F62" t="s">
        <v>58</v>
      </c>
      <c r="G62"/>
      <c r="H62" s="33">
        <v>0.98518511111111118</v>
      </c>
      <c r="I62" s="31">
        <v>0.98566300000000007</v>
      </c>
      <c r="J62" s="31">
        <v>1</v>
      </c>
      <c r="K62" s="32">
        <v>0.99023193772893769</v>
      </c>
      <c r="M62" s="36">
        <v>6719</v>
      </c>
      <c r="O62" s="29">
        <v>2.5000000000000001E-2</v>
      </c>
      <c r="P62" s="37">
        <v>6886.9749999999995</v>
      </c>
    </row>
    <row r="63" spans="2:16" x14ac:dyDescent="0.25">
      <c r="B63" t="s">
        <v>26</v>
      </c>
      <c r="C63" t="s">
        <v>251</v>
      </c>
      <c r="D63" t="s">
        <v>21</v>
      </c>
      <c r="E63" s="6">
        <v>1</v>
      </c>
      <c r="F63" t="s">
        <v>252</v>
      </c>
      <c r="G63"/>
      <c r="H63" s="33">
        <v>1</v>
      </c>
      <c r="I63" s="31">
        <v>1</v>
      </c>
      <c r="J63" s="31">
        <v>1</v>
      </c>
      <c r="K63" s="32">
        <v>1</v>
      </c>
      <c r="M63" s="36">
        <v>7309</v>
      </c>
      <c r="O63" s="29">
        <v>2.5000000000000001E-2</v>
      </c>
      <c r="P63" s="37">
        <v>7491.7249999999995</v>
      </c>
    </row>
    <row r="64" spans="2:16" x14ac:dyDescent="0.25">
      <c r="B64" t="s">
        <v>26</v>
      </c>
      <c r="C64" t="s">
        <v>251</v>
      </c>
      <c r="D64" t="s">
        <v>13</v>
      </c>
      <c r="E64" s="6">
        <v>0.91313131313131313</v>
      </c>
      <c r="F64" t="s">
        <v>14</v>
      </c>
      <c r="G64"/>
      <c r="H64" s="33">
        <v>0.9222222000000001</v>
      </c>
      <c r="I64" s="31">
        <v>0.92903222222222215</v>
      </c>
      <c r="J64" s="31">
        <v>0.93456788888888886</v>
      </c>
      <c r="K64" s="32">
        <v>0.92406431746031759</v>
      </c>
      <c r="M64" s="36">
        <v>421</v>
      </c>
      <c r="O64" s="30"/>
      <c r="P64" s="37" t="s">
        <v>10</v>
      </c>
    </row>
    <row r="65" spans="2:16" x14ac:dyDescent="0.25">
      <c r="B65" t="s">
        <v>26</v>
      </c>
      <c r="C65" t="s">
        <v>251</v>
      </c>
      <c r="D65" t="s">
        <v>13</v>
      </c>
      <c r="E65" s="6">
        <v>0.91313131313131313</v>
      </c>
      <c r="F65" t="s">
        <v>15</v>
      </c>
      <c r="G65"/>
      <c r="H65" s="33">
        <v>0.87333329999999998</v>
      </c>
      <c r="I65" s="31">
        <v>0.77741930000000004</v>
      </c>
      <c r="J65" s="31">
        <v>0.81666659999999991</v>
      </c>
      <c r="K65" s="32">
        <v>0.82365022307692315</v>
      </c>
      <c r="M65" s="36">
        <v>359</v>
      </c>
      <c r="O65" s="30"/>
      <c r="P65" s="37" t="s">
        <v>10</v>
      </c>
    </row>
    <row r="66" spans="2:16" x14ac:dyDescent="0.25">
      <c r="B66" t="s">
        <v>42</v>
      </c>
      <c r="C66" t="s">
        <v>43</v>
      </c>
      <c r="D66" t="s">
        <v>19</v>
      </c>
      <c r="E66" s="6">
        <v>0.94444444444444442</v>
      </c>
      <c r="F66" t="s">
        <v>20</v>
      </c>
      <c r="G66"/>
      <c r="H66" s="33">
        <v>0.93777776666666668</v>
      </c>
      <c r="I66" s="31">
        <v>0.96021503333333336</v>
      </c>
      <c r="J66" s="31">
        <v>0.94444443333333328</v>
      </c>
      <c r="K66" s="32">
        <v>0.94682272564102576</v>
      </c>
      <c r="M66" s="36">
        <v>5299</v>
      </c>
      <c r="O66" s="30"/>
      <c r="P66" s="37" t="s">
        <v>10</v>
      </c>
    </row>
    <row r="67" spans="2:16" x14ac:dyDescent="0.25">
      <c r="B67" t="s">
        <v>42</v>
      </c>
      <c r="C67" t="s">
        <v>43</v>
      </c>
      <c r="D67" t="s">
        <v>13</v>
      </c>
      <c r="E67" s="6">
        <v>0.90764790764790759</v>
      </c>
      <c r="F67" t="s">
        <v>14</v>
      </c>
      <c r="G67"/>
      <c r="H67" s="33">
        <v>0.90333333333333343</v>
      </c>
      <c r="I67" s="31">
        <v>0.89032256666666665</v>
      </c>
      <c r="J67" s="31">
        <v>0.92777776666666667</v>
      </c>
      <c r="K67" s="32">
        <v>0.90066888534798528</v>
      </c>
      <c r="M67" s="36">
        <v>439</v>
      </c>
      <c r="O67" s="30"/>
      <c r="P67" s="37" t="s">
        <v>10</v>
      </c>
    </row>
    <row r="68" spans="2:16" x14ac:dyDescent="0.25">
      <c r="B68" t="s">
        <v>42</v>
      </c>
      <c r="C68" t="s">
        <v>43</v>
      </c>
      <c r="D68" t="s">
        <v>13</v>
      </c>
      <c r="E68" s="6">
        <v>0.90764790764790759</v>
      </c>
      <c r="F68" t="s">
        <v>15</v>
      </c>
      <c r="G68"/>
      <c r="H68" s="33">
        <v>0.85106382978723405</v>
      </c>
      <c r="I68" s="31">
        <v>0.92312970212765955</v>
      </c>
      <c r="J68" s="31">
        <v>0.89479904255319143</v>
      </c>
      <c r="K68" s="32">
        <v>0.88994723310731805</v>
      </c>
      <c r="M68" s="36">
        <v>369</v>
      </c>
      <c r="O68" s="30"/>
      <c r="P68" s="37" t="s">
        <v>10</v>
      </c>
    </row>
    <row r="69" spans="2:16" x14ac:dyDescent="0.25">
      <c r="B69" t="s">
        <v>42</v>
      </c>
      <c r="C69" t="s">
        <v>48</v>
      </c>
      <c r="D69" t="s">
        <v>19</v>
      </c>
      <c r="E69" s="6">
        <v>1</v>
      </c>
      <c r="F69" t="s">
        <v>20</v>
      </c>
      <c r="G69"/>
      <c r="H69" s="33">
        <v>0.96444439999999998</v>
      </c>
      <c r="I69" s="31">
        <v>1</v>
      </c>
      <c r="J69" s="31">
        <v>1</v>
      </c>
      <c r="K69" s="32">
        <v>0.98827837362637361</v>
      </c>
      <c r="M69" s="36">
        <v>7183</v>
      </c>
      <c r="O69" s="29">
        <v>2.5000000000000001E-2</v>
      </c>
      <c r="P69" s="37">
        <v>7362.5749999999989</v>
      </c>
    </row>
    <row r="70" spans="2:16" x14ac:dyDescent="0.25">
      <c r="B70" t="s">
        <v>42</v>
      </c>
      <c r="C70" t="s">
        <v>48</v>
      </c>
      <c r="D70" t="s">
        <v>19</v>
      </c>
      <c r="E70" s="6">
        <v>1</v>
      </c>
      <c r="F70" t="s">
        <v>49</v>
      </c>
      <c r="G70"/>
      <c r="H70" s="33">
        <v>1</v>
      </c>
      <c r="I70" s="31">
        <v>1</v>
      </c>
      <c r="J70" s="31">
        <v>1</v>
      </c>
      <c r="K70" s="32">
        <v>1</v>
      </c>
      <c r="M70" s="36">
        <v>7711.5</v>
      </c>
      <c r="O70" s="29">
        <v>2.5000000000000001E-2</v>
      </c>
      <c r="P70" s="37">
        <v>7904.2874999999995</v>
      </c>
    </row>
    <row r="71" spans="2:16" x14ac:dyDescent="0.25">
      <c r="B71" t="s">
        <v>42</v>
      </c>
      <c r="C71" t="s">
        <v>48</v>
      </c>
      <c r="D71" t="s">
        <v>21</v>
      </c>
      <c r="E71" s="6">
        <v>0.77037037037037037</v>
      </c>
      <c r="F71" t="s">
        <v>37</v>
      </c>
      <c r="G71"/>
      <c r="H71" s="33">
        <v>0.9666665000000001</v>
      </c>
      <c r="I71" s="31">
        <v>0.85215050000000003</v>
      </c>
      <c r="J71" s="31">
        <v>0.79629616666666669</v>
      </c>
      <c r="K71" s="32">
        <v>0.87414385164835162</v>
      </c>
      <c r="M71" s="36">
        <v>7926.5</v>
      </c>
      <c r="O71" s="29">
        <v>-2.5000000000000001E-2</v>
      </c>
      <c r="P71" s="37">
        <v>7728.3374999999996</v>
      </c>
    </row>
    <row r="72" spans="2:16" x14ac:dyDescent="0.25">
      <c r="B72" t="s">
        <v>42</v>
      </c>
      <c r="C72" t="s">
        <v>48</v>
      </c>
      <c r="D72" t="s">
        <v>21</v>
      </c>
      <c r="E72" s="6">
        <v>0.77037037037037037</v>
      </c>
      <c r="F72" t="s">
        <v>50</v>
      </c>
      <c r="G72"/>
      <c r="H72" s="33">
        <v>0.66666666666666663</v>
      </c>
      <c r="I72" s="31">
        <v>0.66666666666666663</v>
      </c>
      <c r="J72" s="31">
        <v>0.66666666666666663</v>
      </c>
      <c r="K72" s="32">
        <v>0.66666666666666663</v>
      </c>
      <c r="M72" s="36">
        <v>9355.6666666666661</v>
      </c>
      <c r="O72" s="30"/>
      <c r="P72" s="37" t="s">
        <v>10</v>
      </c>
    </row>
    <row r="73" spans="2:16" s="10" customFormat="1" x14ac:dyDescent="0.25">
      <c r="B73" t="s">
        <v>42</v>
      </c>
      <c r="C73" t="s">
        <v>48</v>
      </c>
      <c r="D73" t="s">
        <v>13</v>
      </c>
      <c r="E73" s="6">
        <v>0.88796296296296295</v>
      </c>
      <c r="F73" t="s">
        <v>20</v>
      </c>
      <c r="G73"/>
      <c r="H73" s="33">
        <v>0.94166660416666659</v>
      </c>
      <c r="I73" s="31">
        <v>0.79032254166666671</v>
      </c>
      <c r="J73" s="31">
        <v>0.88888883333333324</v>
      </c>
      <c r="K73" s="32">
        <v>0.87649301556776571</v>
      </c>
      <c r="L73"/>
      <c r="M73" s="36">
        <v>406.70833333333331</v>
      </c>
      <c r="N73"/>
      <c r="O73" s="30"/>
      <c r="P73" s="37" t="s">
        <v>10</v>
      </c>
    </row>
    <row r="74" spans="2:16" x14ac:dyDescent="0.25">
      <c r="B74" t="s">
        <v>42</v>
      </c>
      <c r="C74" t="s">
        <v>48</v>
      </c>
      <c r="D74" t="s">
        <v>13</v>
      </c>
      <c r="E74" s="6">
        <v>0.88796296296296295</v>
      </c>
      <c r="F74" t="s">
        <v>49</v>
      </c>
      <c r="G74"/>
      <c r="H74" s="33">
        <v>0.91666658333333328</v>
      </c>
      <c r="I74" s="31">
        <v>0.88978483333333325</v>
      </c>
      <c r="J74" s="31">
        <v>0.88425916666666671</v>
      </c>
      <c r="K74" s="32">
        <v>0.89437005311355311</v>
      </c>
      <c r="M74" s="36">
        <v>355.66666666666669</v>
      </c>
      <c r="O74" s="30"/>
      <c r="P74" s="37" t="s">
        <v>10</v>
      </c>
    </row>
    <row r="75" spans="2:16" x14ac:dyDescent="0.25">
      <c r="B75" t="s">
        <v>42</v>
      </c>
      <c r="C75" t="s">
        <v>48</v>
      </c>
      <c r="D75" t="s">
        <v>51</v>
      </c>
      <c r="E75" s="6">
        <v>1</v>
      </c>
      <c r="F75" t="s">
        <v>34</v>
      </c>
      <c r="G75"/>
      <c r="H75" s="33">
        <v>0.97</v>
      </c>
      <c r="I75" s="31">
        <v>0.97096769999999988</v>
      </c>
      <c r="J75" s="31">
        <v>1</v>
      </c>
      <c r="K75" s="32">
        <v>0.98021976593406579</v>
      </c>
      <c r="M75" s="36">
        <v>5323</v>
      </c>
      <c r="O75" s="29">
        <v>0.05</v>
      </c>
      <c r="P75" s="37">
        <v>5589.1500000000005</v>
      </c>
    </row>
    <row r="76" spans="2:16" x14ac:dyDescent="0.25">
      <c r="B76" t="s">
        <v>42</v>
      </c>
      <c r="C76" t="s">
        <v>48</v>
      </c>
      <c r="D76" t="s">
        <v>51</v>
      </c>
      <c r="E76" s="6">
        <v>1</v>
      </c>
      <c r="F76" t="s">
        <v>20</v>
      </c>
      <c r="G76"/>
      <c r="H76" s="33">
        <v>1</v>
      </c>
      <c r="I76" s="31">
        <v>1</v>
      </c>
      <c r="J76" s="31">
        <v>1</v>
      </c>
      <c r="K76" s="32">
        <v>1</v>
      </c>
      <c r="M76" s="36">
        <v>4021.5</v>
      </c>
      <c r="O76" s="29">
        <v>0.05</v>
      </c>
      <c r="P76" s="37">
        <v>4222.5749999999998</v>
      </c>
    </row>
    <row r="77" spans="2:16" x14ac:dyDescent="0.25">
      <c r="B77" t="s">
        <v>42</v>
      </c>
      <c r="C77" t="s">
        <v>66</v>
      </c>
      <c r="D77" t="s">
        <v>19</v>
      </c>
      <c r="E77" s="6">
        <v>0.91812865497076013</v>
      </c>
      <c r="F77" t="s">
        <v>20</v>
      </c>
      <c r="G77"/>
      <c r="H77" s="33">
        <v>0.9133332666666667</v>
      </c>
      <c r="I77" s="31">
        <v>0.97634393333333336</v>
      </c>
      <c r="J77" s="31">
        <v>0.96296293333333338</v>
      </c>
      <c r="K77" s="32">
        <v>0.95381421904761909</v>
      </c>
      <c r="M77" s="36">
        <v>7469</v>
      </c>
      <c r="O77" s="30"/>
      <c r="P77" s="37" t="s">
        <v>10</v>
      </c>
    </row>
    <row r="78" spans="2:16" x14ac:dyDescent="0.25">
      <c r="B78" t="s">
        <v>42</v>
      </c>
      <c r="C78" t="s">
        <v>66</v>
      </c>
      <c r="D78" t="s">
        <v>19</v>
      </c>
      <c r="E78" s="6">
        <v>0.91812865497076013</v>
      </c>
      <c r="F78" t="s">
        <v>49</v>
      </c>
      <c r="G78"/>
      <c r="H78" s="33">
        <v>1</v>
      </c>
      <c r="I78" s="31">
        <v>0.87903224999999996</v>
      </c>
      <c r="J78" s="31">
        <v>0.75</v>
      </c>
      <c r="K78" s="32">
        <v>0.87637362362637361</v>
      </c>
      <c r="M78" s="36">
        <v>8569</v>
      </c>
      <c r="O78" s="30"/>
      <c r="P78" s="37" t="s">
        <v>10</v>
      </c>
    </row>
    <row r="79" spans="2:16" x14ac:dyDescent="0.25">
      <c r="B79" t="s">
        <v>42</v>
      </c>
      <c r="C79" t="s">
        <v>66</v>
      </c>
      <c r="D79" t="s">
        <v>21</v>
      </c>
      <c r="E79" s="6">
        <v>1</v>
      </c>
      <c r="F79" t="s">
        <v>37</v>
      </c>
      <c r="G79"/>
      <c r="H79" s="33">
        <v>0.73333333333333339</v>
      </c>
      <c r="I79" s="31">
        <v>0.91935483333333323</v>
      </c>
      <c r="J79" s="31">
        <v>1</v>
      </c>
      <c r="K79" s="32">
        <v>0.88461538278388285</v>
      </c>
      <c r="M79" s="36">
        <v>8187.333333333333</v>
      </c>
      <c r="O79" s="30"/>
      <c r="P79" s="37" t="s">
        <v>10</v>
      </c>
    </row>
    <row r="80" spans="2:16" x14ac:dyDescent="0.25">
      <c r="B80" t="s">
        <v>42</v>
      </c>
      <c r="C80" t="s">
        <v>66</v>
      </c>
      <c r="D80" t="s">
        <v>21</v>
      </c>
      <c r="E80" s="6">
        <v>1</v>
      </c>
      <c r="F80" t="s">
        <v>50</v>
      </c>
      <c r="G80"/>
      <c r="H80" s="33">
        <v>0.98888883333333333</v>
      </c>
      <c r="I80" s="31">
        <v>1</v>
      </c>
      <c r="J80" s="31">
        <v>1</v>
      </c>
      <c r="K80" s="32">
        <v>0.98200346153846152</v>
      </c>
      <c r="M80" s="36">
        <v>9129</v>
      </c>
      <c r="O80" s="29">
        <v>2.5000000000000001E-2</v>
      </c>
      <c r="P80" s="37">
        <v>9357.2249999999985</v>
      </c>
    </row>
    <row r="81" spans="2:16" x14ac:dyDescent="0.25">
      <c r="B81" t="s">
        <v>42</v>
      </c>
      <c r="C81" t="s">
        <v>66</v>
      </c>
      <c r="D81" t="s">
        <v>13</v>
      </c>
      <c r="E81" s="6">
        <v>0.82499999999999996</v>
      </c>
      <c r="F81" t="s">
        <v>20</v>
      </c>
      <c r="G81"/>
      <c r="H81" s="33">
        <v>0.87101445652173914</v>
      </c>
      <c r="I81" s="31">
        <v>0.86395506521739118</v>
      </c>
      <c r="J81" s="31">
        <v>0.79468595652173912</v>
      </c>
      <c r="K81" s="32">
        <v>0.84943596822742473</v>
      </c>
      <c r="M81" s="36">
        <v>443.13043478260869</v>
      </c>
      <c r="O81" s="30"/>
      <c r="P81" s="37" t="s">
        <v>10</v>
      </c>
    </row>
    <row r="82" spans="2:16" x14ac:dyDescent="0.25">
      <c r="B82" t="s">
        <v>42</v>
      </c>
      <c r="C82" t="s">
        <v>66</v>
      </c>
      <c r="D82" t="s">
        <v>13</v>
      </c>
      <c r="E82" s="6">
        <v>0.82499999999999996</v>
      </c>
      <c r="F82" t="s">
        <v>67</v>
      </c>
      <c r="G82"/>
      <c r="H82" s="33">
        <v>1</v>
      </c>
      <c r="I82" s="31">
        <v>1</v>
      </c>
      <c r="J82" s="31">
        <v>1</v>
      </c>
      <c r="K82" s="32">
        <v>1</v>
      </c>
      <c r="M82" s="36">
        <v>469</v>
      </c>
      <c r="O82" s="30"/>
      <c r="P82" s="37" t="s">
        <v>10</v>
      </c>
    </row>
    <row r="83" spans="2:16" x14ac:dyDescent="0.25">
      <c r="B83" t="s">
        <v>42</v>
      </c>
      <c r="C83" t="s">
        <v>66</v>
      </c>
      <c r="D83" t="s">
        <v>13</v>
      </c>
      <c r="E83" s="6">
        <v>0.82499999999999996</v>
      </c>
      <c r="F83" t="s">
        <v>49</v>
      </c>
      <c r="G83"/>
      <c r="H83" s="33">
        <v>0.875</v>
      </c>
      <c r="I83" s="31">
        <v>0.97311825000000007</v>
      </c>
      <c r="J83" s="31">
        <v>0.9120370000000001</v>
      </c>
      <c r="K83" s="32">
        <v>0.92096668406593407</v>
      </c>
      <c r="M83" s="36">
        <v>369</v>
      </c>
      <c r="O83" s="30"/>
      <c r="P83" s="37" t="s">
        <v>10</v>
      </c>
    </row>
    <row r="84" spans="2:16" x14ac:dyDescent="0.25">
      <c r="B84" t="s">
        <v>42</v>
      </c>
      <c r="C84" t="s">
        <v>66</v>
      </c>
      <c r="D84" t="s">
        <v>51</v>
      </c>
      <c r="E84" s="6">
        <v>0.95454545454545459</v>
      </c>
      <c r="F84" t="s">
        <v>34</v>
      </c>
      <c r="G84"/>
      <c r="H84" s="33">
        <v>0.8666666666666667</v>
      </c>
      <c r="I84" s="31">
        <v>0.96989246666666662</v>
      </c>
      <c r="J84" s="31">
        <v>1</v>
      </c>
      <c r="K84" s="32">
        <v>0.94578754358974348</v>
      </c>
      <c r="M84" s="36">
        <v>4945</v>
      </c>
      <c r="O84" s="30"/>
      <c r="P84" s="37" t="s">
        <v>10</v>
      </c>
    </row>
    <row r="85" spans="2:16" x14ac:dyDescent="0.25">
      <c r="B85" t="s">
        <v>42</v>
      </c>
      <c r="C85" t="s">
        <v>66</v>
      </c>
      <c r="D85" t="s">
        <v>51</v>
      </c>
      <c r="E85" s="6">
        <v>0.95454545454545459</v>
      </c>
      <c r="F85" t="s">
        <v>20</v>
      </c>
      <c r="G85"/>
      <c r="H85" s="33">
        <v>1</v>
      </c>
      <c r="I85" s="31">
        <v>0.98617500000000002</v>
      </c>
      <c r="J85" s="31">
        <v>0.8571428571428571</v>
      </c>
      <c r="K85" s="32">
        <v>0.94819462323390891</v>
      </c>
      <c r="M85" s="36">
        <v>3833.2857142857142</v>
      </c>
      <c r="O85" s="30"/>
      <c r="P85" s="37" t="s">
        <v>10</v>
      </c>
    </row>
    <row r="86" spans="2:16" x14ac:dyDescent="0.25">
      <c r="B86" t="s">
        <v>42</v>
      </c>
      <c r="C86" t="s">
        <v>137</v>
      </c>
      <c r="D86" t="s">
        <v>19</v>
      </c>
      <c r="E86" s="6">
        <v>1</v>
      </c>
      <c r="F86" t="s">
        <v>20</v>
      </c>
      <c r="G86"/>
      <c r="H86" s="33">
        <v>0.9844444</v>
      </c>
      <c r="I86" s="31">
        <v>0.93118273333333335</v>
      </c>
      <c r="J86" s="31">
        <v>1</v>
      </c>
      <c r="K86" s="32">
        <v>0.97142853553113551</v>
      </c>
      <c r="M86" s="36">
        <v>7149.666666666667</v>
      </c>
      <c r="O86" s="29">
        <v>2.5000000000000001E-2</v>
      </c>
      <c r="P86" s="37">
        <v>7328.4083333333328</v>
      </c>
    </row>
    <row r="87" spans="2:16" x14ac:dyDescent="0.25">
      <c r="B87" t="s">
        <v>42</v>
      </c>
      <c r="C87" t="s">
        <v>137</v>
      </c>
      <c r="D87" t="s">
        <v>19</v>
      </c>
      <c r="E87" s="6">
        <v>1</v>
      </c>
      <c r="F87" t="s">
        <v>49</v>
      </c>
      <c r="G87"/>
      <c r="H87" s="33">
        <v>1</v>
      </c>
      <c r="I87" s="31">
        <v>1</v>
      </c>
      <c r="J87" s="31">
        <v>1</v>
      </c>
      <c r="K87" s="32">
        <v>1</v>
      </c>
      <c r="M87" s="36">
        <v>7774</v>
      </c>
      <c r="O87" s="29">
        <v>2.5000000000000001E-2</v>
      </c>
      <c r="P87" s="37">
        <v>7968.3499999999995</v>
      </c>
    </row>
    <row r="88" spans="2:16" x14ac:dyDescent="0.25">
      <c r="B88" t="s">
        <v>42</v>
      </c>
      <c r="C88" t="s">
        <v>137</v>
      </c>
      <c r="D88" t="s">
        <v>21</v>
      </c>
      <c r="E88" s="6">
        <v>0.8666666666666667</v>
      </c>
      <c r="F88" t="s">
        <v>37</v>
      </c>
      <c r="G88"/>
      <c r="H88" s="33">
        <v>0.94166666666666676</v>
      </c>
      <c r="I88" s="31">
        <v>0.92473108333333343</v>
      </c>
      <c r="J88" s="31">
        <v>0.91666666666666663</v>
      </c>
      <c r="K88" s="32">
        <v>0.93482237454212458</v>
      </c>
      <c r="M88" s="36">
        <v>7914</v>
      </c>
      <c r="O88" s="30"/>
      <c r="P88" s="37" t="s">
        <v>10</v>
      </c>
    </row>
    <row r="89" spans="2:16" x14ac:dyDescent="0.25">
      <c r="B89" t="s">
        <v>42</v>
      </c>
      <c r="C89" t="s">
        <v>137</v>
      </c>
      <c r="D89" t="s">
        <v>21</v>
      </c>
      <c r="E89" s="6">
        <v>0.8666666666666667</v>
      </c>
      <c r="F89" t="s">
        <v>50</v>
      </c>
      <c r="G89"/>
      <c r="H89" s="33">
        <v>1</v>
      </c>
      <c r="I89" s="31">
        <v>0.93548366666666671</v>
      </c>
      <c r="J89" s="31">
        <v>0.66666666666666663</v>
      </c>
      <c r="K89" s="32">
        <v>0.8681317985347986</v>
      </c>
      <c r="M89" s="36">
        <v>8605.6666666666661</v>
      </c>
      <c r="O89" s="30"/>
      <c r="P89" s="37" t="s">
        <v>10</v>
      </c>
    </row>
    <row r="90" spans="2:16" s="10" customFormat="1" x14ac:dyDescent="0.25">
      <c r="B90" t="s">
        <v>42</v>
      </c>
      <c r="C90" t="s">
        <v>137</v>
      </c>
      <c r="D90" t="s">
        <v>13</v>
      </c>
      <c r="E90" s="6">
        <v>0.63505747126436785</v>
      </c>
      <c r="F90" t="s">
        <v>35</v>
      </c>
      <c r="G90"/>
      <c r="H90" s="33">
        <v>1</v>
      </c>
      <c r="I90" s="31">
        <v>0.419354</v>
      </c>
      <c r="J90" s="31">
        <v>0</v>
      </c>
      <c r="K90" s="32">
        <v>0.47252718681318684</v>
      </c>
      <c r="L90"/>
      <c r="M90" s="36">
        <v>449</v>
      </c>
      <c r="N90"/>
      <c r="O90" s="30"/>
      <c r="P90" s="37" t="s">
        <v>10</v>
      </c>
    </row>
    <row r="91" spans="2:16" x14ac:dyDescent="0.25">
      <c r="B91" t="s">
        <v>42</v>
      </c>
      <c r="C91" t="s">
        <v>137</v>
      </c>
      <c r="D91" t="s">
        <v>13</v>
      </c>
      <c r="E91" s="6">
        <v>0.63505747126436785</v>
      </c>
      <c r="F91" t="s">
        <v>20</v>
      </c>
      <c r="G91"/>
      <c r="H91" s="33">
        <v>0.70630629729729733</v>
      </c>
      <c r="I91" s="31">
        <v>0.72362681081081082</v>
      </c>
      <c r="J91" s="31">
        <v>0.68168159459459465</v>
      </c>
      <c r="K91" s="32">
        <v>0.71256824235224236</v>
      </c>
      <c r="M91" s="36">
        <v>419.81081081081084</v>
      </c>
      <c r="O91" s="30"/>
      <c r="P91" s="37" t="s">
        <v>10</v>
      </c>
    </row>
    <row r="92" spans="2:16" x14ac:dyDescent="0.25">
      <c r="B92" t="s">
        <v>42</v>
      </c>
      <c r="C92" t="s">
        <v>137</v>
      </c>
      <c r="D92" t="s">
        <v>13</v>
      </c>
      <c r="E92" s="6">
        <v>0.63505747126436785</v>
      </c>
      <c r="F92" t="s">
        <v>49</v>
      </c>
      <c r="G92"/>
      <c r="H92" s="33">
        <v>0.67333330000000002</v>
      </c>
      <c r="I92" s="31">
        <v>0.63225799999999999</v>
      </c>
      <c r="J92" s="31">
        <v>0.5805555</v>
      </c>
      <c r="K92" s="32">
        <v>0.62656467582417585</v>
      </c>
      <c r="M92" s="36">
        <v>351</v>
      </c>
      <c r="O92" s="30"/>
      <c r="P92" s="37" t="s">
        <v>10</v>
      </c>
    </row>
    <row r="93" spans="2:16" x14ac:dyDescent="0.25">
      <c r="B93" t="s">
        <v>42</v>
      </c>
      <c r="C93" t="s">
        <v>137</v>
      </c>
      <c r="D93" t="s">
        <v>51</v>
      </c>
      <c r="E93" s="6">
        <v>1</v>
      </c>
      <c r="F93" t="s">
        <v>36</v>
      </c>
      <c r="G93"/>
      <c r="H93" s="33">
        <v>1</v>
      </c>
      <c r="I93" s="31">
        <v>1</v>
      </c>
      <c r="J93" s="31">
        <v>1</v>
      </c>
      <c r="K93" s="32">
        <v>1</v>
      </c>
      <c r="M93" s="36">
        <v>5609</v>
      </c>
      <c r="O93" s="29">
        <v>2.5000000000000001E-2</v>
      </c>
      <c r="P93" s="37">
        <v>5749.2249999999995</v>
      </c>
    </row>
    <row r="94" spans="2:16" x14ac:dyDescent="0.25">
      <c r="B94" t="s">
        <v>42</v>
      </c>
      <c r="C94" t="s">
        <v>137</v>
      </c>
      <c r="D94" t="s">
        <v>51</v>
      </c>
      <c r="E94" s="6">
        <v>1</v>
      </c>
      <c r="F94" t="s">
        <v>34</v>
      </c>
      <c r="G94"/>
      <c r="H94" s="33">
        <v>1</v>
      </c>
      <c r="I94" s="31">
        <v>1</v>
      </c>
      <c r="J94" s="31">
        <v>1</v>
      </c>
      <c r="K94" s="32">
        <v>1</v>
      </c>
      <c r="M94" s="36">
        <v>4549.5263157894733</v>
      </c>
      <c r="O94" s="29">
        <v>2.5000000000000001E-2</v>
      </c>
      <c r="P94" s="37">
        <v>4663.2644736842094</v>
      </c>
    </row>
    <row r="95" spans="2:16" x14ac:dyDescent="0.25">
      <c r="B95" t="s">
        <v>42</v>
      </c>
      <c r="C95" t="s">
        <v>137</v>
      </c>
      <c r="D95" t="s">
        <v>51</v>
      </c>
      <c r="E95" s="6">
        <v>1</v>
      </c>
      <c r="F95" t="s">
        <v>20</v>
      </c>
      <c r="G95"/>
      <c r="H95" s="33">
        <v>1</v>
      </c>
      <c r="I95" s="31">
        <v>1</v>
      </c>
      <c r="J95" s="31">
        <v>1</v>
      </c>
      <c r="K95" s="32">
        <v>1</v>
      </c>
      <c r="M95" s="36">
        <v>3589</v>
      </c>
      <c r="O95" s="29">
        <v>0.05</v>
      </c>
      <c r="P95" s="37">
        <v>3768.4500000000003</v>
      </c>
    </row>
    <row r="96" spans="2:16" x14ac:dyDescent="0.25">
      <c r="B96" t="s">
        <v>42</v>
      </c>
      <c r="C96" t="s">
        <v>186</v>
      </c>
      <c r="D96" t="s">
        <v>19</v>
      </c>
      <c r="E96" s="6">
        <v>0.95</v>
      </c>
      <c r="F96" t="s">
        <v>20</v>
      </c>
      <c r="G96"/>
      <c r="H96" s="33">
        <v>0.97916662499999996</v>
      </c>
      <c r="I96" s="31">
        <v>0.99395156250000005</v>
      </c>
      <c r="J96" s="31">
        <v>0.9375</v>
      </c>
      <c r="K96" s="32">
        <v>0.9722586778846154</v>
      </c>
      <c r="M96" s="36">
        <v>6109</v>
      </c>
      <c r="O96" s="29">
        <v>2.5000000000000001E-2</v>
      </c>
      <c r="P96" s="37">
        <v>6261.7249999999995</v>
      </c>
    </row>
    <row r="97" spans="2:16" x14ac:dyDescent="0.25">
      <c r="B97" t="s">
        <v>42</v>
      </c>
      <c r="C97" t="s">
        <v>186</v>
      </c>
      <c r="D97" t="s">
        <v>19</v>
      </c>
      <c r="E97" s="6">
        <v>0.95</v>
      </c>
      <c r="F97" t="s">
        <v>15</v>
      </c>
      <c r="G97"/>
      <c r="H97" s="33">
        <v>1</v>
      </c>
      <c r="I97" s="31">
        <v>1</v>
      </c>
      <c r="J97" s="31">
        <v>1</v>
      </c>
      <c r="K97" s="32">
        <v>0.99283321428571436</v>
      </c>
      <c r="M97" s="36">
        <v>7319</v>
      </c>
      <c r="O97" s="29">
        <v>2.5000000000000001E-2</v>
      </c>
      <c r="P97" s="37">
        <v>7501.9749999999995</v>
      </c>
    </row>
    <row r="98" spans="2:16" x14ac:dyDescent="0.25">
      <c r="B98" t="s">
        <v>42</v>
      </c>
      <c r="C98" t="s">
        <v>186</v>
      </c>
      <c r="D98" t="s">
        <v>21</v>
      </c>
      <c r="E98" s="6">
        <v>1</v>
      </c>
      <c r="F98" t="s">
        <v>17</v>
      </c>
      <c r="G98"/>
      <c r="H98" s="33">
        <v>1</v>
      </c>
      <c r="I98" s="31">
        <v>0.98387087500000003</v>
      </c>
      <c r="J98" s="31">
        <v>1</v>
      </c>
      <c r="K98" s="32">
        <v>0.99450546291208786</v>
      </c>
      <c r="M98" s="36">
        <v>9099</v>
      </c>
      <c r="O98" s="29">
        <v>2.5000000000000001E-2</v>
      </c>
      <c r="P98" s="37">
        <v>9326.4749999999985</v>
      </c>
    </row>
    <row r="99" spans="2:16" x14ac:dyDescent="0.25">
      <c r="B99" t="s">
        <v>42</v>
      </c>
      <c r="C99" t="s">
        <v>186</v>
      </c>
      <c r="D99" t="s">
        <v>21</v>
      </c>
      <c r="E99" s="6">
        <v>1</v>
      </c>
      <c r="F99" t="s">
        <v>18</v>
      </c>
      <c r="G99"/>
      <c r="H99" s="33">
        <v>1</v>
      </c>
      <c r="I99" s="31">
        <v>1</v>
      </c>
      <c r="J99" s="31">
        <v>1</v>
      </c>
      <c r="K99" s="32">
        <v>1</v>
      </c>
      <c r="M99" s="36">
        <v>11539</v>
      </c>
      <c r="O99" s="29">
        <v>2.5000000000000001E-2</v>
      </c>
      <c r="P99" s="37">
        <v>11827.474999999999</v>
      </c>
    </row>
    <row r="100" spans="2:16" x14ac:dyDescent="0.25">
      <c r="B100" t="s">
        <v>42</v>
      </c>
      <c r="C100" t="s">
        <v>186</v>
      </c>
      <c r="D100" t="s">
        <v>13</v>
      </c>
      <c r="E100" s="6">
        <v>0.95114942528735624</v>
      </c>
      <c r="F100" t="s">
        <v>14</v>
      </c>
      <c r="G100"/>
      <c r="H100" s="33">
        <v>0.94117647058823528</v>
      </c>
      <c r="I100" s="31">
        <v>0.92125235294117647</v>
      </c>
      <c r="J100" s="31">
        <v>0.94934638235294122</v>
      </c>
      <c r="K100" s="32">
        <v>0.9348107045895282</v>
      </c>
      <c r="M100" s="36">
        <v>479</v>
      </c>
      <c r="O100" s="29">
        <v>2.5000000000000001E-2</v>
      </c>
      <c r="P100" s="37">
        <v>490.97499999999997</v>
      </c>
    </row>
    <row r="101" spans="2:16" x14ac:dyDescent="0.25">
      <c r="B101" t="s">
        <v>42</v>
      </c>
      <c r="C101" t="s">
        <v>186</v>
      </c>
      <c r="D101" t="s">
        <v>13</v>
      </c>
      <c r="E101" s="6">
        <v>0.95114942528735624</v>
      </c>
      <c r="F101" t="s">
        <v>15</v>
      </c>
      <c r="G101"/>
      <c r="H101" s="33">
        <v>0.99305554166666665</v>
      </c>
      <c r="I101" s="31">
        <v>0.93682791666666665</v>
      </c>
      <c r="J101" s="31">
        <v>0.95370366666666673</v>
      </c>
      <c r="K101" s="32">
        <v>0.96484310897435899</v>
      </c>
      <c r="M101" s="36">
        <v>399</v>
      </c>
      <c r="O101" s="29">
        <v>2.5000000000000001E-2</v>
      </c>
      <c r="P101" s="37">
        <v>408.97499999999997</v>
      </c>
    </row>
    <row r="102" spans="2:16" x14ac:dyDescent="0.25">
      <c r="B102" t="s">
        <v>42</v>
      </c>
      <c r="C102" t="s">
        <v>198</v>
      </c>
      <c r="D102" t="s">
        <v>19</v>
      </c>
      <c r="E102" s="6">
        <v>0.96198830409356728</v>
      </c>
      <c r="F102" t="s">
        <v>20</v>
      </c>
      <c r="G102"/>
      <c r="H102" s="33">
        <v>0.99111106666666671</v>
      </c>
      <c r="I102" s="31">
        <v>0.97849459999999999</v>
      </c>
      <c r="J102" s="31">
        <v>0.95185173333333328</v>
      </c>
      <c r="K102" s="32">
        <v>0.97254334725274727</v>
      </c>
      <c r="M102" s="36">
        <v>6871</v>
      </c>
      <c r="O102" s="29">
        <v>2.5000000000000001E-2</v>
      </c>
      <c r="P102" s="37">
        <v>7042.7749999999996</v>
      </c>
    </row>
    <row r="103" spans="2:16" x14ac:dyDescent="0.25">
      <c r="B103" t="s">
        <v>42</v>
      </c>
      <c r="C103" t="s">
        <v>198</v>
      </c>
      <c r="D103" t="s">
        <v>19</v>
      </c>
      <c r="E103" s="6">
        <v>0.96198830409356728</v>
      </c>
      <c r="F103" t="s">
        <v>49</v>
      </c>
      <c r="G103"/>
      <c r="H103" s="33">
        <v>0.98333325000000005</v>
      </c>
      <c r="I103" s="31">
        <v>0.91129024999999997</v>
      </c>
      <c r="J103" s="31">
        <v>1</v>
      </c>
      <c r="K103" s="32">
        <v>0.96428566208791222</v>
      </c>
      <c r="M103" s="36">
        <v>7569</v>
      </c>
      <c r="O103" s="29">
        <v>2.5000000000000001E-2</v>
      </c>
      <c r="P103" s="37">
        <v>7758.2249999999995</v>
      </c>
    </row>
    <row r="104" spans="2:16" s="10" customFormat="1" x14ac:dyDescent="0.25">
      <c r="B104" t="s">
        <v>42</v>
      </c>
      <c r="C104" t="s">
        <v>198</v>
      </c>
      <c r="D104" t="s">
        <v>21</v>
      </c>
      <c r="E104" s="6">
        <v>1</v>
      </c>
      <c r="F104" t="s">
        <v>37</v>
      </c>
      <c r="G104"/>
      <c r="H104" s="33">
        <v>0.92222216666666668</v>
      </c>
      <c r="I104" s="31">
        <v>0.9838709166666666</v>
      </c>
      <c r="J104" s="31">
        <v>1</v>
      </c>
      <c r="K104" s="32">
        <v>0.96169767490842484</v>
      </c>
      <c r="L104"/>
      <c r="M104" s="36">
        <v>7439</v>
      </c>
      <c r="N104"/>
      <c r="O104" s="29">
        <v>2.5000000000000001E-2</v>
      </c>
      <c r="P104" s="37">
        <v>7624.9749999999995</v>
      </c>
    </row>
    <row r="105" spans="2:16" x14ac:dyDescent="0.25">
      <c r="B105" t="s">
        <v>42</v>
      </c>
      <c r="C105" t="s">
        <v>198</v>
      </c>
      <c r="D105" t="s">
        <v>21</v>
      </c>
      <c r="E105" s="6">
        <v>1</v>
      </c>
      <c r="F105" t="s">
        <v>50</v>
      </c>
      <c r="G105"/>
      <c r="H105" s="33">
        <v>0.98888866666666664</v>
      </c>
      <c r="I105" s="31">
        <v>1</v>
      </c>
      <c r="J105" s="31">
        <v>1</v>
      </c>
      <c r="K105" s="32">
        <v>0.99633692307692312</v>
      </c>
      <c r="M105" s="36">
        <v>8369</v>
      </c>
      <c r="O105" s="29">
        <v>0.01</v>
      </c>
      <c r="P105" s="37">
        <v>8452.69</v>
      </c>
    </row>
    <row r="106" spans="2:16" x14ac:dyDescent="0.25">
      <c r="B106" t="s">
        <v>42</v>
      </c>
      <c r="C106" t="s">
        <v>198</v>
      </c>
      <c r="D106" t="s">
        <v>13</v>
      </c>
      <c r="E106" s="6">
        <v>0.66762452107279691</v>
      </c>
      <c r="F106" t="s">
        <v>35</v>
      </c>
      <c r="G106"/>
      <c r="H106" s="33">
        <v>0.7</v>
      </c>
      <c r="I106" s="31">
        <v>0.16128999999999999</v>
      </c>
      <c r="J106" s="31">
        <v>0.77777700000000005</v>
      </c>
      <c r="K106" s="32">
        <v>0.55805021978021974</v>
      </c>
      <c r="M106" s="36">
        <v>439</v>
      </c>
      <c r="O106" s="30"/>
      <c r="P106" s="37" t="s">
        <v>10</v>
      </c>
    </row>
    <row r="107" spans="2:16" x14ac:dyDescent="0.25">
      <c r="B107" t="s">
        <v>42</v>
      </c>
      <c r="C107" t="s">
        <v>198</v>
      </c>
      <c r="D107" t="s">
        <v>13</v>
      </c>
      <c r="E107" s="6">
        <v>0.66762452107279691</v>
      </c>
      <c r="F107" t="s">
        <v>20</v>
      </c>
      <c r="G107"/>
      <c r="H107" s="33">
        <v>0.60090089189189189</v>
      </c>
      <c r="I107" s="31">
        <v>0.57192672972972969</v>
      </c>
      <c r="J107" s="31">
        <v>0.63063056756756763</v>
      </c>
      <c r="K107" s="32">
        <v>0.61025809593109592</v>
      </c>
      <c r="M107" s="36">
        <v>419.81081081081084</v>
      </c>
      <c r="O107" s="30"/>
      <c r="P107" s="37" t="s">
        <v>10</v>
      </c>
    </row>
    <row r="108" spans="2:16" x14ac:dyDescent="0.25">
      <c r="B108" t="s">
        <v>42</v>
      </c>
      <c r="C108" t="s">
        <v>198</v>
      </c>
      <c r="D108" t="s">
        <v>13</v>
      </c>
      <c r="E108" s="6">
        <v>0.66762452107279691</v>
      </c>
      <c r="F108" t="s">
        <v>49</v>
      </c>
      <c r="G108"/>
      <c r="H108" s="33">
        <v>0.64666659999999998</v>
      </c>
      <c r="I108" s="31">
        <v>0.65161290000000005</v>
      </c>
      <c r="J108" s="31">
        <v>0.73055550000000002</v>
      </c>
      <c r="K108" s="32">
        <v>0.67310076263736263</v>
      </c>
      <c r="M108" s="36">
        <v>351</v>
      </c>
      <c r="O108" s="30"/>
      <c r="P108" s="37" t="s">
        <v>10</v>
      </c>
    </row>
    <row r="109" spans="2:16" x14ac:dyDescent="0.25">
      <c r="B109" t="s">
        <v>42</v>
      </c>
      <c r="C109" t="s">
        <v>198</v>
      </c>
      <c r="D109" t="s">
        <v>51</v>
      </c>
      <c r="E109" s="6">
        <v>0.94222222222222229</v>
      </c>
      <c r="F109" t="s">
        <v>36</v>
      </c>
      <c r="G109"/>
      <c r="H109" s="33">
        <v>1</v>
      </c>
      <c r="I109" s="31">
        <v>1</v>
      </c>
      <c r="J109" s="31">
        <v>1</v>
      </c>
      <c r="K109" s="32">
        <v>1</v>
      </c>
      <c r="M109" s="36">
        <v>5599</v>
      </c>
      <c r="O109" s="29">
        <v>2.5000000000000001E-2</v>
      </c>
      <c r="P109" s="37">
        <v>5738.9749999999995</v>
      </c>
    </row>
    <row r="110" spans="2:16" x14ac:dyDescent="0.25">
      <c r="B110" t="s">
        <v>42</v>
      </c>
      <c r="C110" t="s">
        <v>198</v>
      </c>
      <c r="D110" t="s">
        <v>51</v>
      </c>
      <c r="E110" s="6">
        <v>0.94222222222222229</v>
      </c>
      <c r="F110" t="s">
        <v>34</v>
      </c>
      <c r="G110"/>
      <c r="H110" s="33">
        <v>1</v>
      </c>
      <c r="I110" s="31">
        <v>1</v>
      </c>
      <c r="J110" s="31">
        <v>0.97368421052631582</v>
      </c>
      <c r="K110" s="32">
        <v>0.99321043956043964</v>
      </c>
      <c r="M110" s="36">
        <v>4552.1578947368425</v>
      </c>
      <c r="O110" s="29">
        <v>2.5000000000000001E-2</v>
      </c>
      <c r="P110" s="37">
        <v>4665.9618421052628</v>
      </c>
    </row>
    <row r="111" spans="2:16" x14ac:dyDescent="0.25">
      <c r="B111" t="s">
        <v>42</v>
      </c>
      <c r="C111" t="s">
        <v>198</v>
      </c>
      <c r="D111" t="s">
        <v>51</v>
      </c>
      <c r="E111" s="6">
        <v>0.94222222222222229</v>
      </c>
      <c r="F111" t="s">
        <v>20</v>
      </c>
      <c r="G111"/>
      <c r="H111" s="33">
        <v>0.49333320000000003</v>
      </c>
      <c r="I111" s="31">
        <v>0.75483860000000003</v>
      </c>
      <c r="J111" s="31">
        <v>0.81111080000000002</v>
      </c>
      <c r="K111" s="32">
        <v>0.67204954505494496</v>
      </c>
      <c r="M111" s="36">
        <v>3495</v>
      </c>
      <c r="O111" s="30"/>
      <c r="P111" s="37" t="s">
        <v>10</v>
      </c>
    </row>
    <row r="112" spans="2:16" x14ac:dyDescent="0.25">
      <c r="B112" t="s">
        <v>42</v>
      </c>
      <c r="C112" t="s">
        <v>229</v>
      </c>
      <c r="D112" t="s">
        <v>19</v>
      </c>
      <c r="E112" s="6">
        <v>0.87301587301587291</v>
      </c>
      <c r="F112" t="s">
        <v>192</v>
      </c>
      <c r="G112"/>
      <c r="H112" s="33">
        <v>1</v>
      </c>
      <c r="I112" s="31">
        <v>0.8387095</v>
      </c>
      <c r="J112" s="31">
        <v>1</v>
      </c>
      <c r="K112" s="32">
        <v>0.94505488461538456</v>
      </c>
      <c r="M112" s="36">
        <v>3799</v>
      </c>
      <c r="O112" s="30"/>
      <c r="P112" s="37" t="s">
        <v>10</v>
      </c>
    </row>
    <row r="113" spans="2:16" x14ac:dyDescent="0.25">
      <c r="B113" t="s">
        <v>42</v>
      </c>
      <c r="C113" t="s">
        <v>229</v>
      </c>
      <c r="D113" t="s">
        <v>19</v>
      </c>
      <c r="E113" s="6">
        <v>0.87301587301587291</v>
      </c>
      <c r="F113" t="s">
        <v>230</v>
      </c>
      <c r="G113"/>
      <c r="H113" s="33">
        <v>1</v>
      </c>
      <c r="I113" s="31">
        <v>1</v>
      </c>
      <c r="J113" s="31">
        <v>0.86111099999999996</v>
      </c>
      <c r="K113" s="32">
        <v>0.94624939560439558</v>
      </c>
      <c r="M113" s="36">
        <v>4509</v>
      </c>
      <c r="O113" s="30"/>
      <c r="P113" s="37" t="s">
        <v>10</v>
      </c>
    </row>
    <row r="114" spans="2:16" x14ac:dyDescent="0.25">
      <c r="B114" t="s">
        <v>42</v>
      </c>
      <c r="C114" t="s">
        <v>229</v>
      </c>
      <c r="D114" t="s">
        <v>19</v>
      </c>
      <c r="E114" s="6">
        <v>0.87301587301587291</v>
      </c>
      <c r="F114" t="s">
        <v>20</v>
      </c>
      <c r="G114"/>
      <c r="H114" s="33">
        <v>0.78333333333333333</v>
      </c>
      <c r="I114" s="31">
        <v>0.73655900000000007</v>
      </c>
      <c r="J114" s="31">
        <v>0.79629616666666669</v>
      </c>
      <c r="K114" s="32">
        <v>0.77432702197802206</v>
      </c>
      <c r="M114" s="36">
        <v>3239</v>
      </c>
      <c r="O114" s="30"/>
      <c r="P114" s="37" t="s">
        <v>10</v>
      </c>
    </row>
    <row r="115" spans="2:16" x14ac:dyDescent="0.25">
      <c r="B115" t="s">
        <v>42</v>
      </c>
      <c r="C115" t="s">
        <v>229</v>
      </c>
      <c r="D115" t="s">
        <v>13</v>
      </c>
      <c r="E115" s="6">
        <v>0.97001499250374801</v>
      </c>
      <c r="F115" t="s">
        <v>14</v>
      </c>
      <c r="G115"/>
      <c r="H115" s="33">
        <v>0.84285710714285711</v>
      </c>
      <c r="I115" s="31">
        <v>0.92857139285714296</v>
      </c>
      <c r="J115" s="31">
        <v>0.96230157142857142</v>
      </c>
      <c r="K115" s="32">
        <v>0.90543304513343803</v>
      </c>
      <c r="M115" s="36">
        <v>548.28571428571433</v>
      </c>
      <c r="O115" s="30"/>
      <c r="P115" s="37" t="s">
        <v>10</v>
      </c>
    </row>
    <row r="116" spans="2:16" x14ac:dyDescent="0.25">
      <c r="B116" t="s">
        <v>42</v>
      </c>
      <c r="C116" t="s">
        <v>229</v>
      </c>
      <c r="D116" t="s">
        <v>13</v>
      </c>
      <c r="E116" s="6">
        <v>0.97001499250374801</v>
      </c>
      <c r="F116" t="s">
        <v>15</v>
      </c>
      <c r="G116"/>
      <c r="H116" s="33">
        <v>0.86333330000000008</v>
      </c>
      <c r="I116" s="31">
        <v>0.94193539999999998</v>
      </c>
      <c r="J116" s="31">
        <v>0.99386509164816517</v>
      </c>
      <c r="K116" s="32">
        <v>0.93157372174066477</v>
      </c>
      <c r="M116" s="36">
        <v>459</v>
      </c>
      <c r="O116" s="29">
        <v>5.6526207605344297E-2</v>
      </c>
      <c r="P116" s="37">
        <v>484.94552929085307</v>
      </c>
    </row>
    <row r="117" spans="2:16" x14ac:dyDescent="0.25">
      <c r="B117" t="s">
        <v>42</v>
      </c>
      <c r="C117" t="s">
        <v>240</v>
      </c>
      <c r="D117" t="s">
        <v>19</v>
      </c>
      <c r="E117" s="6">
        <v>0.7990196078431373</v>
      </c>
      <c r="F117" t="s">
        <v>20</v>
      </c>
      <c r="G117"/>
      <c r="H117" s="33">
        <v>0.73209874074074077</v>
      </c>
      <c r="I117" s="31">
        <v>0.86021503703703717</v>
      </c>
      <c r="J117" s="31">
        <v>0.78395059259259259</v>
      </c>
      <c r="K117" s="32">
        <v>0.78974003093203093</v>
      </c>
      <c r="M117" s="36">
        <v>4850.8518518518522</v>
      </c>
      <c r="O117" s="30"/>
      <c r="P117" s="37" t="s">
        <v>10</v>
      </c>
    </row>
    <row r="118" spans="2:16" x14ac:dyDescent="0.25">
      <c r="B118" t="s">
        <v>42</v>
      </c>
      <c r="C118" t="s">
        <v>240</v>
      </c>
      <c r="D118" t="s">
        <v>19</v>
      </c>
      <c r="E118" s="6">
        <v>0.7990196078431373</v>
      </c>
      <c r="F118" t="s">
        <v>15</v>
      </c>
      <c r="G118"/>
      <c r="H118" s="33">
        <v>0.83333333333333337</v>
      </c>
      <c r="I118" s="31">
        <v>0.86021500000000006</v>
      </c>
      <c r="J118" s="31">
        <v>1</v>
      </c>
      <c r="K118" s="32">
        <v>0.89743587912087908</v>
      </c>
      <c r="M118" s="36">
        <v>5890.666666666667</v>
      </c>
      <c r="O118" s="30"/>
      <c r="P118" s="37" t="s">
        <v>10</v>
      </c>
    </row>
    <row r="119" spans="2:16" x14ac:dyDescent="0.25">
      <c r="B119" t="s">
        <v>42</v>
      </c>
      <c r="C119" t="s">
        <v>240</v>
      </c>
      <c r="D119" t="s">
        <v>19</v>
      </c>
      <c r="E119" s="6">
        <v>0.7990196078431373</v>
      </c>
      <c r="F119" t="s">
        <v>31</v>
      </c>
      <c r="G119"/>
      <c r="H119" s="33">
        <v>1</v>
      </c>
      <c r="I119" s="31">
        <v>3.2258000000000002E-2</v>
      </c>
      <c r="J119" s="31">
        <v>0</v>
      </c>
      <c r="K119" s="32">
        <v>0.34065931868131871</v>
      </c>
      <c r="M119" s="36">
        <v>5819</v>
      </c>
      <c r="O119" s="30"/>
      <c r="P119" s="37" t="s">
        <v>10</v>
      </c>
    </row>
    <row r="120" spans="2:16" x14ac:dyDescent="0.25">
      <c r="B120" t="s">
        <v>42</v>
      </c>
      <c r="C120" t="s">
        <v>240</v>
      </c>
      <c r="D120" t="s">
        <v>21</v>
      </c>
      <c r="E120" s="6">
        <v>0.94061302681992343</v>
      </c>
      <c r="F120" t="s">
        <v>22</v>
      </c>
      <c r="G120"/>
      <c r="H120" s="33">
        <v>0.9217948461538461</v>
      </c>
      <c r="I120" s="31">
        <v>0.90198507692307694</v>
      </c>
      <c r="J120" s="31">
        <v>0.93376065384615381</v>
      </c>
      <c r="K120" s="32">
        <v>0.92153328486897723</v>
      </c>
      <c r="M120" s="36">
        <v>6309</v>
      </c>
      <c r="O120" s="29">
        <v>0.01</v>
      </c>
      <c r="P120" s="37">
        <v>6372.09</v>
      </c>
    </row>
    <row r="121" spans="2:16" x14ac:dyDescent="0.25">
      <c r="B121" t="s">
        <v>42</v>
      </c>
      <c r="C121" t="s">
        <v>240</v>
      </c>
      <c r="D121" t="s">
        <v>21</v>
      </c>
      <c r="E121" s="6">
        <v>0.94061302681992343</v>
      </c>
      <c r="F121" t="s">
        <v>23</v>
      </c>
      <c r="G121"/>
      <c r="H121" s="33">
        <v>1</v>
      </c>
      <c r="I121" s="31">
        <v>1</v>
      </c>
      <c r="J121" s="31">
        <v>1</v>
      </c>
      <c r="K121" s="32">
        <v>1</v>
      </c>
      <c r="M121" s="36">
        <v>6999</v>
      </c>
      <c r="O121" s="29">
        <v>2.5000000000000001E-2</v>
      </c>
      <c r="P121" s="37">
        <v>7173.9749999999995</v>
      </c>
    </row>
    <row r="122" spans="2:16" x14ac:dyDescent="0.25">
      <c r="B122" t="s">
        <v>42</v>
      </c>
      <c r="C122" t="s">
        <v>240</v>
      </c>
      <c r="D122" t="s">
        <v>13</v>
      </c>
      <c r="E122" s="6">
        <v>0.95628415300546454</v>
      </c>
      <c r="F122" t="s">
        <v>14</v>
      </c>
      <c r="G122"/>
      <c r="H122" s="33">
        <v>0.93055555555555558</v>
      </c>
      <c r="I122" s="31">
        <v>0.91845877777777774</v>
      </c>
      <c r="J122" s="31">
        <v>0.98919752777777781</v>
      </c>
      <c r="K122" s="32">
        <v>0.94415245909645895</v>
      </c>
      <c r="M122" s="36">
        <v>399</v>
      </c>
      <c r="O122" s="29">
        <v>2.5000000000000001E-2</v>
      </c>
      <c r="P122" s="37">
        <v>408.97499999999997</v>
      </c>
    </row>
    <row r="123" spans="2:16" x14ac:dyDescent="0.25">
      <c r="B123" t="s">
        <v>42</v>
      </c>
      <c r="C123" t="s">
        <v>240</v>
      </c>
      <c r="D123" t="s">
        <v>13</v>
      </c>
      <c r="E123" s="6">
        <v>0.95628415300546454</v>
      </c>
      <c r="F123" t="s">
        <v>15</v>
      </c>
      <c r="G123"/>
      <c r="H123" s="33">
        <v>0.9236110833333333</v>
      </c>
      <c r="I123" s="31">
        <v>0.90456987499999997</v>
      </c>
      <c r="J123" s="31">
        <v>0.90972220833333328</v>
      </c>
      <c r="K123" s="32">
        <v>0.91304346016483517</v>
      </c>
      <c r="M123" s="36">
        <v>339</v>
      </c>
      <c r="O123" s="29">
        <v>2.5000000000000001E-2</v>
      </c>
      <c r="P123" s="37">
        <v>347.47499999999997</v>
      </c>
    </row>
    <row r="124" spans="2:16" x14ac:dyDescent="0.25">
      <c r="B124" t="s">
        <v>42</v>
      </c>
      <c r="C124" t="s">
        <v>240</v>
      </c>
      <c r="D124" t="s">
        <v>13</v>
      </c>
      <c r="E124" s="6">
        <v>0.95628415300546454</v>
      </c>
      <c r="F124" t="s">
        <v>104</v>
      </c>
      <c r="G124"/>
      <c r="H124" s="33">
        <v>1</v>
      </c>
      <c r="I124" s="31">
        <v>0.83870900000000004</v>
      </c>
      <c r="J124" s="31">
        <v>0.88888800000000001</v>
      </c>
      <c r="K124" s="32">
        <v>0.91638757142857141</v>
      </c>
      <c r="M124" s="36">
        <v>569</v>
      </c>
      <c r="O124" s="29">
        <v>2.5000000000000001E-2</v>
      </c>
      <c r="P124" s="37">
        <v>583.22499999999991</v>
      </c>
    </row>
    <row r="125" spans="2:16" x14ac:dyDescent="0.25">
      <c r="B125" t="s">
        <v>42</v>
      </c>
      <c r="C125" t="s">
        <v>248</v>
      </c>
      <c r="D125" t="s">
        <v>19</v>
      </c>
      <c r="E125" s="6">
        <v>0.89920634920634923</v>
      </c>
      <c r="F125" t="s">
        <v>192</v>
      </c>
      <c r="G125"/>
      <c r="H125" s="33">
        <v>0.90416665625000003</v>
      </c>
      <c r="I125" s="31">
        <v>0.8780241875</v>
      </c>
      <c r="J125" s="31">
        <v>0.84722221875000003</v>
      </c>
      <c r="K125" s="32">
        <v>0.8762392390109891</v>
      </c>
      <c r="M125" s="36">
        <v>4329</v>
      </c>
      <c r="O125" s="30"/>
      <c r="P125" s="37" t="s">
        <v>10</v>
      </c>
    </row>
    <row r="126" spans="2:16" x14ac:dyDescent="0.25">
      <c r="B126" t="s">
        <v>42</v>
      </c>
      <c r="C126" t="s">
        <v>248</v>
      </c>
      <c r="D126" t="s">
        <v>19</v>
      </c>
      <c r="E126" s="6">
        <v>0.89920634920634923</v>
      </c>
      <c r="F126" t="s">
        <v>20</v>
      </c>
      <c r="G126"/>
      <c r="H126" s="33">
        <v>0.93958331250000005</v>
      </c>
      <c r="I126" s="31">
        <v>0.9717741875</v>
      </c>
      <c r="J126" s="31">
        <v>0.96354165624999999</v>
      </c>
      <c r="K126" s="32">
        <v>0.95882105906593418</v>
      </c>
      <c r="M126" s="36">
        <v>3609</v>
      </c>
      <c r="O126" s="30"/>
      <c r="P126" s="37" t="s">
        <v>10</v>
      </c>
    </row>
    <row r="127" spans="2:16" x14ac:dyDescent="0.25">
      <c r="B127" t="s">
        <v>42</v>
      </c>
      <c r="C127" t="s">
        <v>248</v>
      </c>
      <c r="D127" t="s">
        <v>19</v>
      </c>
      <c r="E127" s="6">
        <v>0.89920634920634923</v>
      </c>
      <c r="F127" t="s">
        <v>230</v>
      </c>
      <c r="G127"/>
      <c r="H127" s="33">
        <v>1</v>
      </c>
      <c r="I127" s="31">
        <v>0.90860200000000002</v>
      </c>
      <c r="J127" s="31">
        <v>0.83333333333333337</v>
      </c>
      <c r="K127" s="32">
        <v>0.91391936263736262</v>
      </c>
      <c r="M127" s="36">
        <v>4489</v>
      </c>
      <c r="O127" s="29">
        <v>0.01</v>
      </c>
      <c r="P127" s="37">
        <v>4533.8900000000003</v>
      </c>
    </row>
    <row r="128" spans="2:16" x14ac:dyDescent="0.25">
      <c r="B128" t="s">
        <v>42</v>
      </c>
      <c r="C128" t="s">
        <v>248</v>
      </c>
      <c r="D128" t="s">
        <v>21</v>
      </c>
      <c r="E128" s="6">
        <v>0.91666666666666663</v>
      </c>
      <c r="F128" t="s">
        <v>38</v>
      </c>
      <c r="G128"/>
      <c r="H128" s="33">
        <v>1</v>
      </c>
      <c r="I128" s="31">
        <v>1</v>
      </c>
      <c r="J128" s="31">
        <v>1</v>
      </c>
      <c r="K128" s="32">
        <v>1</v>
      </c>
      <c r="M128" s="36">
        <v>6239</v>
      </c>
      <c r="O128" s="29">
        <v>0.01</v>
      </c>
      <c r="P128" s="37">
        <v>6301.39</v>
      </c>
    </row>
    <row r="129" spans="2:16" x14ac:dyDescent="0.25">
      <c r="B129" t="s">
        <v>42</v>
      </c>
      <c r="C129" t="s">
        <v>248</v>
      </c>
      <c r="D129" t="s">
        <v>21</v>
      </c>
      <c r="E129" s="6">
        <v>0.91666666666666663</v>
      </c>
      <c r="F129" t="s">
        <v>249</v>
      </c>
      <c r="G129"/>
      <c r="H129" s="33">
        <v>0.94523807142857141</v>
      </c>
      <c r="I129" s="31">
        <v>0.89861750000000007</v>
      </c>
      <c r="J129" s="31">
        <v>0.9642857142857143</v>
      </c>
      <c r="K129" s="32">
        <v>0.93819531789638944</v>
      </c>
      <c r="M129" s="36">
        <v>7149</v>
      </c>
      <c r="O129" s="30"/>
      <c r="P129" s="37" t="s">
        <v>10</v>
      </c>
    </row>
    <row r="130" spans="2:16" x14ac:dyDescent="0.25">
      <c r="B130" t="s">
        <v>42</v>
      </c>
      <c r="C130" t="s">
        <v>248</v>
      </c>
      <c r="D130" t="s">
        <v>21</v>
      </c>
      <c r="E130" s="6">
        <v>0.91666666666666663</v>
      </c>
      <c r="F130" t="s">
        <v>88</v>
      </c>
      <c r="G130"/>
      <c r="H130" s="33">
        <v>1</v>
      </c>
      <c r="I130" s="31">
        <v>0.72580599999999995</v>
      </c>
      <c r="J130" s="31">
        <v>0.5</v>
      </c>
      <c r="K130" s="32">
        <v>0.74175808791208797</v>
      </c>
      <c r="M130" s="36">
        <v>6939</v>
      </c>
      <c r="O130" s="30"/>
      <c r="P130" s="37" t="s">
        <v>10</v>
      </c>
    </row>
    <row r="131" spans="2:16" x14ac:dyDescent="0.25">
      <c r="B131" t="s">
        <v>42</v>
      </c>
      <c r="C131" t="s">
        <v>248</v>
      </c>
      <c r="D131" t="s">
        <v>64</v>
      </c>
      <c r="E131" s="6">
        <v>0.89920634920634923</v>
      </c>
      <c r="F131" t="s">
        <v>192</v>
      </c>
      <c r="G131"/>
      <c r="H131" s="33">
        <v>0.90416665625000003</v>
      </c>
      <c r="I131" s="31">
        <v>0.8780241875</v>
      </c>
      <c r="J131" s="31">
        <v>0.84722221875000003</v>
      </c>
      <c r="K131" s="32">
        <v>0.8762392390109891</v>
      </c>
      <c r="M131" s="36">
        <v>3609</v>
      </c>
      <c r="O131" s="30"/>
      <c r="P131" s="37" t="s">
        <v>10</v>
      </c>
    </row>
    <row r="132" spans="2:16" x14ac:dyDescent="0.25">
      <c r="B132" t="s">
        <v>42</v>
      </c>
      <c r="C132" t="s">
        <v>248</v>
      </c>
      <c r="D132" t="s">
        <v>64</v>
      </c>
      <c r="E132" s="6">
        <v>0.89920634920634923</v>
      </c>
      <c r="F132" t="s">
        <v>20</v>
      </c>
      <c r="G132"/>
      <c r="H132" s="33">
        <v>0.93958331250000005</v>
      </c>
      <c r="I132" s="31">
        <v>0.9717741875</v>
      </c>
      <c r="J132" s="31">
        <v>0.96354165624999999</v>
      </c>
      <c r="K132" s="32">
        <v>0.95882105906593418</v>
      </c>
      <c r="M132" s="36">
        <v>2659</v>
      </c>
      <c r="O132" s="30"/>
      <c r="P132" s="37" t="s">
        <v>10</v>
      </c>
    </row>
    <row r="133" spans="2:16" x14ac:dyDescent="0.25">
      <c r="B133" t="s">
        <v>42</v>
      </c>
      <c r="C133" t="s">
        <v>248</v>
      </c>
      <c r="D133" t="s">
        <v>64</v>
      </c>
      <c r="E133" s="6">
        <v>0.89920634920634923</v>
      </c>
      <c r="F133" t="s">
        <v>230</v>
      </c>
      <c r="G133"/>
      <c r="H133" s="33">
        <v>1</v>
      </c>
      <c r="I133" s="31">
        <v>0.90860200000000002</v>
      </c>
      <c r="J133" s="31">
        <v>0.83333333333333337</v>
      </c>
      <c r="K133" s="32">
        <v>0.91391936263736262</v>
      </c>
      <c r="M133" s="36">
        <v>4529</v>
      </c>
      <c r="O133" s="30"/>
      <c r="P133" s="37" t="s">
        <v>10</v>
      </c>
    </row>
    <row r="134" spans="2:16" x14ac:dyDescent="0.25">
      <c r="B134" t="s">
        <v>42</v>
      </c>
      <c r="C134" t="s">
        <v>248</v>
      </c>
      <c r="D134" t="s">
        <v>13</v>
      </c>
      <c r="E134" s="6">
        <v>0.9508196721311476</v>
      </c>
      <c r="F134" t="s">
        <v>14</v>
      </c>
      <c r="G134"/>
      <c r="H134" s="33">
        <v>0.93660129411764703</v>
      </c>
      <c r="I134" s="31">
        <v>0.91461100000000006</v>
      </c>
      <c r="J134" s="31">
        <v>0.97167754901960779</v>
      </c>
      <c r="K134" s="32">
        <v>0.9368014654169361</v>
      </c>
      <c r="M134" s="36">
        <v>519</v>
      </c>
      <c r="O134" s="29">
        <v>2.5000000000000001E-2</v>
      </c>
      <c r="P134" s="37">
        <v>531.97499999999991</v>
      </c>
    </row>
    <row r="135" spans="2:16" x14ac:dyDescent="0.25">
      <c r="B135" t="s">
        <v>42</v>
      </c>
      <c r="C135" t="s">
        <v>248</v>
      </c>
      <c r="D135" t="s">
        <v>13</v>
      </c>
      <c r="E135" s="6">
        <v>0.9508196721311476</v>
      </c>
      <c r="F135" t="s">
        <v>15</v>
      </c>
      <c r="G135"/>
      <c r="H135" s="33">
        <v>0.91025638461538461</v>
      </c>
      <c r="I135" s="31">
        <v>0.91315130769230768</v>
      </c>
      <c r="J135" s="31">
        <v>0.87136930266352208</v>
      </c>
      <c r="K135" s="32">
        <v>0.8915448232158959</v>
      </c>
      <c r="M135" s="36">
        <v>489</v>
      </c>
      <c r="O135" s="30"/>
      <c r="P135" s="37" t="s">
        <v>10</v>
      </c>
    </row>
    <row r="136" spans="2:16" x14ac:dyDescent="0.25">
      <c r="B136" t="s">
        <v>42</v>
      </c>
      <c r="C136" t="s">
        <v>248</v>
      </c>
      <c r="D136" t="s">
        <v>24</v>
      </c>
      <c r="E136" s="6">
        <v>1</v>
      </c>
      <c r="F136" t="s">
        <v>192</v>
      </c>
      <c r="G136"/>
      <c r="H136" s="33">
        <v>1</v>
      </c>
      <c r="I136" s="31">
        <v>1</v>
      </c>
      <c r="J136" s="31">
        <v>1</v>
      </c>
      <c r="K136" s="32">
        <v>1</v>
      </c>
      <c r="M136" s="36">
        <v>2629</v>
      </c>
      <c r="O136" s="29">
        <v>2.5000000000000001E-2</v>
      </c>
      <c r="P136" s="37">
        <v>2694.7249999999999</v>
      </c>
    </row>
    <row r="137" spans="2:16" x14ac:dyDescent="0.25">
      <c r="B137" t="s">
        <v>81</v>
      </c>
      <c r="C137" t="s">
        <v>82</v>
      </c>
      <c r="D137" t="s">
        <v>19</v>
      </c>
      <c r="E137" s="6">
        <v>0.88596491228070173</v>
      </c>
      <c r="F137" t="s">
        <v>20</v>
      </c>
      <c r="G137"/>
      <c r="H137" s="33">
        <v>0.8666666666666667</v>
      </c>
      <c r="I137" s="31">
        <v>0.9075268666666666</v>
      </c>
      <c r="J137" s="31">
        <v>0.8666666666666667</v>
      </c>
      <c r="K137" s="32">
        <v>0.88058607545787537</v>
      </c>
      <c r="M137" s="36">
        <v>6389</v>
      </c>
      <c r="O137" s="29">
        <v>0.01</v>
      </c>
      <c r="P137" s="37">
        <v>6452.89</v>
      </c>
    </row>
    <row r="138" spans="2:16" x14ac:dyDescent="0.25">
      <c r="B138" t="s">
        <v>81</v>
      </c>
      <c r="C138" t="s">
        <v>82</v>
      </c>
      <c r="D138" t="s">
        <v>19</v>
      </c>
      <c r="E138" s="6">
        <v>0.88596491228070173</v>
      </c>
      <c r="F138" t="s">
        <v>15</v>
      </c>
      <c r="G138"/>
      <c r="H138" s="33">
        <v>1</v>
      </c>
      <c r="I138" s="31">
        <v>0.76612899999999995</v>
      </c>
      <c r="J138" s="31">
        <v>0.95833325000000003</v>
      </c>
      <c r="K138" s="32">
        <v>0.89166259890109889</v>
      </c>
      <c r="M138" s="36">
        <v>7719</v>
      </c>
      <c r="O138" s="29">
        <v>1.2031230001279918E-2</v>
      </c>
      <c r="P138" s="37">
        <v>7811.86906437988</v>
      </c>
    </row>
    <row r="139" spans="2:16" x14ac:dyDescent="0.25">
      <c r="B139" t="s">
        <v>81</v>
      </c>
      <c r="C139" t="s">
        <v>82</v>
      </c>
      <c r="D139" t="s">
        <v>21</v>
      </c>
      <c r="E139" s="6">
        <v>0.73232323232323226</v>
      </c>
      <c r="F139" t="s">
        <v>22</v>
      </c>
      <c r="G139"/>
      <c r="H139" s="33">
        <v>0.87083325</v>
      </c>
      <c r="I139" s="31">
        <v>0.83467737500000005</v>
      </c>
      <c r="J139" s="31">
        <v>0.92361099999999996</v>
      </c>
      <c r="K139" s="32">
        <v>0.87243183928571422</v>
      </c>
      <c r="M139" s="36">
        <v>7499</v>
      </c>
      <c r="O139" s="30"/>
      <c r="P139" s="37" t="s">
        <v>10</v>
      </c>
    </row>
    <row r="140" spans="2:16" x14ac:dyDescent="0.25">
      <c r="B140" t="s">
        <v>81</v>
      </c>
      <c r="C140" t="s">
        <v>82</v>
      </c>
      <c r="D140" t="s">
        <v>21</v>
      </c>
      <c r="E140" s="6">
        <v>0.73232323232323226</v>
      </c>
      <c r="F140" t="s">
        <v>23</v>
      </c>
      <c r="G140"/>
      <c r="H140" s="33">
        <v>0</v>
      </c>
      <c r="I140" s="31">
        <v>0</v>
      </c>
      <c r="J140" s="31">
        <v>0.222222</v>
      </c>
      <c r="K140" s="32">
        <v>5.7333956043956032E-2</v>
      </c>
      <c r="M140" s="36">
        <v>8509</v>
      </c>
      <c r="O140" s="29">
        <v>-0.05</v>
      </c>
      <c r="P140" s="37">
        <v>8083.5499999999993</v>
      </c>
    </row>
    <row r="141" spans="2:16" x14ac:dyDescent="0.25">
      <c r="B141" t="s">
        <v>81</v>
      </c>
      <c r="C141" t="s">
        <v>82</v>
      </c>
      <c r="D141" t="s">
        <v>13</v>
      </c>
      <c r="E141" s="6">
        <v>0.74137931034482762</v>
      </c>
      <c r="F141" t="s">
        <v>14</v>
      </c>
      <c r="G141"/>
      <c r="H141" s="33">
        <v>0.8970588235294118</v>
      </c>
      <c r="I141" s="31">
        <v>0.85104361764705883</v>
      </c>
      <c r="J141" s="31">
        <v>0.73366011764705885</v>
      </c>
      <c r="K141" s="32">
        <v>0.82468169457013574</v>
      </c>
      <c r="M141" s="36">
        <v>409</v>
      </c>
      <c r="O141" s="30"/>
      <c r="P141" s="37" t="s">
        <v>10</v>
      </c>
    </row>
    <row r="142" spans="2:16" x14ac:dyDescent="0.25">
      <c r="B142" t="s">
        <v>81</v>
      </c>
      <c r="C142" t="s">
        <v>82</v>
      </c>
      <c r="D142" t="s">
        <v>13</v>
      </c>
      <c r="E142" s="6">
        <v>0.74137931034482762</v>
      </c>
      <c r="F142" t="s">
        <v>15</v>
      </c>
      <c r="G142"/>
      <c r="H142" s="33">
        <v>0.84861108333333324</v>
      </c>
      <c r="I142" s="31">
        <v>0.73790320833333334</v>
      </c>
      <c r="J142" s="31">
        <v>0.75231479166666659</v>
      </c>
      <c r="K142" s="32">
        <v>0.77779102426739921</v>
      </c>
      <c r="M142" s="36">
        <v>329</v>
      </c>
      <c r="O142" s="30"/>
      <c r="P142" s="37" t="s">
        <v>10</v>
      </c>
    </row>
    <row r="143" spans="2:16" x14ac:dyDescent="0.25">
      <c r="B143" t="s">
        <v>81</v>
      </c>
      <c r="C143" t="s">
        <v>82</v>
      </c>
      <c r="D143" t="s">
        <v>24</v>
      </c>
      <c r="E143" s="6">
        <v>1</v>
      </c>
      <c r="F143" t="s">
        <v>83</v>
      </c>
      <c r="G143"/>
      <c r="H143" s="33">
        <v>1</v>
      </c>
      <c r="I143" s="31">
        <v>1</v>
      </c>
      <c r="J143" s="31">
        <v>1</v>
      </c>
      <c r="K143" s="32">
        <v>1</v>
      </c>
      <c r="M143" s="36">
        <v>3229</v>
      </c>
      <c r="O143" s="29">
        <v>2.5000000000000001E-2</v>
      </c>
      <c r="P143" s="37">
        <v>3309.7249999999999</v>
      </c>
    </row>
    <row r="144" spans="2:16" x14ac:dyDescent="0.25">
      <c r="B144" t="s">
        <v>81</v>
      </c>
      <c r="C144" t="s">
        <v>82</v>
      </c>
      <c r="D144" t="s">
        <v>24</v>
      </c>
      <c r="E144" s="6">
        <v>1</v>
      </c>
      <c r="F144" t="s">
        <v>84</v>
      </c>
      <c r="G144"/>
      <c r="H144" s="33">
        <v>0.89166665000000001</v>
      </c>
      <c r="I144" s="31">
        <v>0.95161289999999998</v>
      </c>
      <c r="J144" s="31">
        <v>1</v>
      </c>
      <c r="K144" s="32">
        <v>0.94780219120879128</v>
      </c>
      <c r="M144" s="36">
        <v>3229</v>
      </c>
      <c r="O144" s="30"/>
      <c r="P144" s="37" t="s">
        <v>10</v>
      </c>
    </row>
    <row r="145" spans="2:16" x14ac:dyDescent="0.25">
      <c r="B145" t="s">
        <v>81</v>
      </c>
      <c r="C145" t="s">
        <v>82</v>
      </c>
      <c r="D145" t="s">
        <v>24</v>
      </c>
      <c r="E145" s="6">
        <v>1</v>
      </c>
      <c r="F145" t="s">
        <v>85</v>
      </c>
      <c r="G145"/>
      <c r="H145" s="33">
        <v>1</v>
      </c>
      <c r="I145" s="31">
        <v>1</v>
      </c>
      <c r="J145" s="31">
        <v>1</v>
      </c>
      <c r="K145" s="32">
        <v>1</v>
      </c>
      <c r="M145" s="36">
        <v>3339</v>
      </c>
      <c r="O145" s="29">
        <v>2.5000000000000001E-2</v>
      </c>
      <c r="P145" s="37">
        <v>3422.4749999999999</v>
      </c>
    </row>
    <row r="146" spans="2:16" x14ac:dyDescent="0.25">
      <c r="B146" t="s">
        <v>81</v>
      </c>
      <c r="C146" t="s">
        <v>171</v>
      </c>
      <c r="D146" t="s">
        <v>21</v>
      </c>
      <c r="E146" s="6">
        <v>1</v>
      </c>
      <c r="F146" t="s">
        <v>38</v>
      </c>
      <c r="G146"/>
      <c r="H146" s="33">
        <v>0.94833331666666654</v>
      </c>
      <c r="I146" s="31">
        <v>0.95860213333333322</v>
      </c>
      <c r="J146" s="31">
        <v>1</v>
      </c>
      <c r="K146" s="32">
        <v>0.96719221575091585</v>
      </c>
      <c r="M146" s="36">
        <v>8643</v>
      </c>
      <c r="O146" s="29">
        <v>2.5000000000000001E-2</v>
      </c>
      <c r="P146" s="37">
        <v>8859.0749999999989</v>
      </c>
    </row>
    <row r="147" spans="2:16" x14ac:dyDescent="0.25">
      <c r="B147" t="s">
        <v>81</v>
      </c>
      <c r="C147" t="s">
        <v>172</v>
      </c>
      <c r="D147" t="s">
        <v>19</v>
      </c>
      <c r="E147" s="6">
        <v>0.95726495726495731</v>
      </c>
      <c r="F147" t="s">
        <v>20</v>
      </c>
      <c r="G147"/>
      <c r="H147" s="33">
        <v>1</v>
      </c>
      <c r="I147" s="31">
        <v>0.99704579606789023</v>
      </c>
      <c r="J147" s="31">
        <v>0.9444444090909091</v>
      </c>
      <c r="K147" s="32">
        <v>0.99560349945234783</v>
      </c>
      <c r="M147" s="36">
        <v>2549</v>
      </c>
      <c r="O147" s="29">
        <v>5.3296193129062211E-2</v>
      </c>
      <c r="P147" s="37">
        <v>2684.85199628598</v>
      </c>
    </row>
    <row r="148" spans="2:16" x14ac:dyDescent="0.25">
      <c r="B148" t="s">
        <v>81</v>
      </c>
      <c r="C148" t="s">
        <v>172</v>
      </c>
      <c r="D148" t="s">
        <v>19</v>
      </c>
      <c r="E148" s="6">
        <v>0.95726495726495731</v>
      </c>
      <c r="F148" t="s">
        <v>87</v>
      </c>
      <c r="G148"/>
      <c r="H148" s="33">
        <v>1</v>
      </c>
      <c r="I148" s="31">
        <v>1</v>
      </c>
      <c r="J148" s="31">
        <v>0.95833333333333337</v>
      </c>
      <c r="K148" s="32">
        <v>0.98984710164835166</v>
      </c>
      <c r="M148" s="36">
        <v>2739</v>
      </c>
      <c r="O148" s="29">
        <v>0.05</v>
      </c>
      <c r="P148" s="37">
        <v>2875.9500000000003</v>
      </c>
    </row>
    <row r="149" spans="2:16" x14ac:dyDescent="0.25">
      <c r="B149" t="s">
        <v>81</v>
      </c>
      <c r="C149" t="s">
        <v>172</v>
      </c>
      <c r="D149" t="s">
        <v>19</v>
      </c>
      <c r="E149" s="6">
        <v>0.95726495726495731</v>
      </c>
      <c r="F149" t="s">
        <v>111</v>
      </c>
      <c r="G149"/>
      <c r="H149" s="33">
        <v>0.96666649999999998</v>
      </c>
      <c r="I149" s="31">
        <v>1</v>
      </c>
      <c r="J149" s="31">
        <v>1</v>
      </c>
      <c r="K149" s="32">
        <v>0.98901093406593421</v>
      </c>
      <c r="M149" s="36">
        <v>2929</v>
      </c>
      <c r="O149" s="29">
        <v>2.5000000000000001E-2</v>
      </c>
      <c r="P149" s="37">
        <v>3002.2249999999999</v>
      </c>
    </row>
    <row r="150" spans="2:16" x14ac:dyDescent="0.25">
      <c r="B150" t="s">
        <v>81</v>
      </c>
      <c r="C150" t="s">
        <v>172</v>
      </c>
      <c r="D150" t="s">
        <v>64</v>
      </c>
      <c r="E150" s="6">
        <v>0.95726495726495731</v>
      </c>
      <c r="F150" t="s">
        <v>20</v>
      </c>
      <c r="G150"/>
      <c r="H150" s="33">
        <v>1</v>
      </c>
      <c r="I150" s="31">
        <v>0.99704579606789023</v>
      </c>
      <c r="J150" s="31">
        <v>0.9444444090909091</v>
      </c>
      <c r="K150" s="32">
        <v>0.99560349945234783</v>
      </c>
      <c r="M150" s="36">
        <v>2549</v>
      </c>
      <c r="O150" s="29">
        <v>2.5000000000000001E-2</v>
      </c>
      <c r="P150" s="37">
        <v>2612.7249999999999</v>
      </c>
    </row>
    <row r="151" spans="2:16" x14ac:dyDescent="0.25">
      <c r="B151" t="s">
        <v>81</v>
      </c>
      <c r="C151" t="s">
        <v>172</v>
      </c>
      <c r="D151" t="s">
        <v>64</v>
      </c>
      <c r="E151" s="6">
        <v>0.95726495726495731</v>
      </c>
      <c r="F151" t="s">
        <v>111</v>
      </c>
      <c r="G151"/>
      <c r="H151" s="33">
        <v>0.96666649999999998</v>
      </c>
      <c r="I151" s="31">
        <v>1</v>
      </c>
      <c r="J151" s="31">
        <v>1</v>
      </c>
      <c r="K151" s="32">
        <v>0.98901093406593421</v>
      </c>
      <c r="M151" s="36">
        <v>2779</v>
      </c>
      <c r="O151" s="29">
        <v>0.05</v>
      </c>
      <c r="P151" s="37">
        <v>2917.9500000000003</v>
      </c>
    </row>
    <row r="152" spans="2:16" x14ac:dyDescent="0.25">
      <c r="B152" t="s">
        <v>81</v>
      </c>
      <c r="C152" t="s">
        <v>172</v>
      </c>
      <c r="D152" t="s">
        <v>64</v>
      </c>
      <c r="E152" s="6">
        <v>0.95726495726495731</v>
      </c>
      <c r="F152" t="s">
        <v>87</v>
      </c>
      <c r="G152"/>
      <c r="H152" s="33">
        <v>1</v>
      </c>
      <c r="I152" s="31">
        <v>1</v>
      </c>
      <c r="J152" s="31">
        <v>0.95833333333333337</v>
      </c>
      <c r="K152" s="32">
        <v>0.98984710164835166</v>
      </c>
      <c r="M152" s="36">
        <v>2739</v>
      </c>
      <c r="O152" s="29">
        <v>2.5000000000000001E-2</v>
      </c>
      <c r="P152" s="37">
        <v>2807.4749999999999</v>
      </c>
    </row>
    <row r="153" spans="2:16" x14ac:dyDescent="0.25">
      <c r="B153" t="s">
        <v>81</v>
      </c>
      <c r="C153" t="s">
        <v>172</v>
      </c>
      <c r="D153" t="s">
        <v>13</v>
      </c>
      <c r="E153" s="6">
        <v>0.86781609195402298</v>
      </c>
      <c r="F153" t="s">
        <v>14</v>
      </c>
      <c r="G153"/>
      <c r="H153" s="33">
        <v>0.92582159154929577</v>
      </c>
      <c r="I153" s="31">
        <v>0.95820081690140846</v>
      </c>
      <c r="J153" s="31">
        <v>0.90375585915492962</v>
      </c>
      <c r="K153" s="32">
        <v>0.92617914378579158</v>
      </c>
      <c r="M153" s="36">
        <v>429</v>
      </c>
      <c r="O153" s="30"/>
      <c r="P153" s="37" t="s">
        <v>10</v>
      </c>
    </row>
    <row r="154" spans="2:16" x14ac:dyDescent="0.25">
      <c r="B154" t="s">
        <v>81</v>
      </c>
      <c r="C154" t="s">
        <v>172</v>
      </c>
      <c r="D154" t="s">
        <v>13</v>
      </c>
      <c r="E154" s="6">
        <v>0.86781609195402298</v>
      </c>
      <c r="F154" t="s">
        <v>15</v>
      </c>
      <c r="G154"/>
      <c r="H154" s="33">
        <v>0.6083333125</v>
      </c>
      <c r="I154" s="31">
        <v>0.71774187499999997</v>
      </c>
      <c r="J154" s="31">
        <v>0.70833331249999998</v>
      </c>
      <c r="K154" s="32">
        <v>0.67528664148351647</v>
      </c>
      <c r="M154" s="36">
        <v>419</v>
      </c>
      <c r="O154" s="30"/>
      <c r="P154" s="37" t="s">
        <v>10</v>
      </c>
    </row>
    <row r="155" spans="2:16" x14ac:dyDescent="0.25">
      <c r="B155" t="s">
        <v>81</v>
      </c>
      <c r="C155" t="s">
        <v>173</v>
      </c>
      <c r="D155" t="s">
        <v>19</v>
      </c>
      <c r="E155" s="6">
        <v>0.95</v>
      </c>
      <c r="F155" t="s">
        <v>20</v>
      </c>
      <c r="G155"/>
      <c r="H155" s="33">
        <v>0.81176470588235294</v>
      </c>
      <c r="I155" s="31">
        <v>0.90132823529411765</v>
      </c>
      <c r="J155" s="31">
        <v>0.94117647058823528</v>
      </c>
      <c r="K155" s="32">
        <v>0.88915430510665805</v>
      </c>
      <c r="M155" s="36">
        <v>6399</v>
      </c>
      <c r="O155" s="30"/>
      <c r="P155" s="37" t="s">
        <v>10</v>
      </c>
    </row>
    <row r="156" spans="2:16" x14ac:dyDescent="0.25">
      <c r="B156" t="s">
        <v>81</v>
      </c>
      <c r="C156" t="s">
        <v>173</v>
      </c>
      <c r="D156" t="s">
        <v>19</v>
      </c>
      <c r="E156" s="6">
        <v>0.95</v>
      </c>
      <c r="F156" t="s">
        <v>15</v>
      </c>
      <c r="G156"/>
      <c r="H156" s="33">
        <v>0.7777776666666667</v>
      </c>
      <c r="I156" s="31">
        <v>0.78494600000000003</v>
      </c>
      <c r="J156" s="31">
        <v>1</v>
      </c>
      <c r="K156" s="32">
        <v>0.8534797362637363</v>
      </c>
      <c r="M156" s="36">
        <v>6569</v>
      </c>
      <c r="O156" s="30"/>
      <c r="P156" s="37" t="s">
        <v>10</v>
      </c>
    </row>
    <row r="157" spans="2:16" x14ac:dyDescent="0.25">
      <c r="B157" t="s">
        <v>81</v>
      </c>
      <c r="C157" t="s">
        <v>173</v>
      </c>
      <c r="D157" t="s">
        <v>21</v>
      </c>
      <c r="E157" s="6">
        <v>1</v>
      </c>
      <c r="F157" t="s">
        <v>38</v>
      </c>
      <c r="G157"/>
      <c r="H157" s="33">
        <v>0.91249999999999998</v>
      </c>
      <c r="I157" s="31">
        <v>1</v>
      </c>
      <c r="J157" s="31">
        <v>1</v>
      </c>
      <c r="K157" s="32">
        <v>0.97115384615384615</v>
      </c>
      <c r="M157" s="36">
        <v>8249</v>
      </c>
      <c r="O157" s="29">
        <v>2.5000000000000001E-2</v>
      </c>
      <c r="P157" s="37">
        <v>8455.2249999999985</v>
      </c>
    </row>
    <row r="158" spans="2:16" x14ac:dyDescent="0.25">
      <c r="B158" t="s">
        <v>81</v>
      </c>
      <c r="C158" t="s">
        <v>173</v>
      </c>
      <c r="D158" t="s">
        <v>21</v>
      </c>
      <c r="E158" s="6">
        <v>1</v>
      </c>
      <c r="F158" t="s">
        <v>88</v>
      </c>
      <c r="G158"/>
      <c r="H158" s="33">
        <v>1</v>
      </c>
      <c r="I158" s="31">
        <v>1</v>
      </c>
      <c r="J158" s="31">
        <v>1</v>
      </c>
      <c r="K158" s="32">
        <v>1</v>
      </c>
      <c r="M158" s="36">
        <v>8709</v>
      </c>
      <c r="O158" s="29">
        <v>0.05</v>
      </c>
      <c r="P158" s="37">
        <v>9144.4500000000007</v>
      </c>
    </row>
    <row r="159" spans="2:16" x14ac:dyDescent="0.25">
      <c r="B159" t="s">
        <v>81</v>
      </c>
      <c r="C159" t="s">
        <v>173</v>
      </c>
      <c r="D159" t="s">
        <v>13</v>
      </c>
      <c r="E159" s="6">
        <v>0.93869731800766276</v>
      </c>
      <c r="F159" t="s">
        <v>14</v>
      </c>
      <c r="G159"/>
      <c r="H159" s="33">
        <v>0.97254899999999989</v>
      </c>
      <c r="I159" s="31">
        <v>0.94022767647058825</v>
      </c>
      <c r="J159" s="31">
        <v>0.95098038235294124</v>
      </c>
      <c r="K159" s="32">
        <v>0.94824483225597922</v>
      </c>
      <c r="M159" s="36">
        <v>469</v>
      </c>
      <c r="O159" s="30"/>
      <c r="P159" s="37" t="s">
        <v>10</v>
      </c>
    </row>
    <row r="160" spans="2:16" x14ac:dyDescent="0.25">
      <c r="B160" t="s">
        <v>81</v>
      </c>
      <c r="C160" t="s">
        <v>173</v>
      </c>
      <c r="D160" t="s">
        <v>13</v>
      </c>
      <c r="E160" s="6">
        <v>0.93869731800766276</v>
      </c>
      <c r="F160" t="s">
        <v>15</v>
      </c>
      <c r="G160"/>
      <c r="H160" s="33">
        <v>0.91666666666666663</v>
      </c>
      <c r="I160" s="31">
        <v>0.92607524999999991</v>
      </c>
      <c r="J160" s="31">
        <v>0.92129629166666671</v>
      </c>
      <c r="K160" s="32">
        <v>0.92763575824175815</v>
      </c>
      <c r="M160" s="36">
        <v>399</v>
      </c>
      <c r="O160" s="30"/>
      <c r="P160" s="37" t="s">
        <v>10</v>
      </c>
    </row>
    <row r="161" spans="2:16" s="10" customFormat="1" x14ac:dyDescent="0.25">
      <c r="B161" t="s">
        <v>81</v>
      </c>
      <c r="C161" t="s">
        <v>173</v>
      </c>
      <c r="D161" t="s">
        <v>24</v>
      </c>
      <c r="E161" s="6">
        <v>1</v>
      </c>
      <c r="F161" t="s">
        <v>80</v>
      </c>
      <c r="G161"/>
      <c r="H161" s="33">
        <v>0.99901958823529402</v>
      </c>
      <c r="I161" s="31">
        <v>0.97248576470588233</v>
      </c>
      <c r="J161" s="31">
        <v>1</v>
      </c>
      <c r="K161" s="32">
        <v>0.99030380607627677</v>
      </c>
      <c r="L161"/>
      <c r="M161" s="36">
        <v>3249</v>
      </c>
      <c r="N161"/>
      <c r="O161" s="29">
        <v>9.8170477831024283E-2</v>
      </c>
      <c r="P161" s="37">
        <v>3567.9558824729975</v>
      </c>
    </row>
    <row r="162" spans="2:16" s="10" customFormat="1" x14ac:dyDescent="0.25">
      <c r="B162" t="s">
        <v>81</v>
      </c>
      <c r="C162" t="s">
        <v>174</v>
      </c>
      <c r="D162" t="s">
        <v>19</v>
      </c>
      <c r="E162" s="6">
        <v>0.95454545454545459</v>
      </c>
      <c r="F162" t="s">
        <v>20</v>
      </c>
      <c r="G162"/>
      <c r="H162" s="33">
        <v>0.88148144444444443</v>
      </c>
      <c r="I162" s="31">
        <v>0.8709677222222223</v>
      </c>
      <c r="J162" s="31">
        <v>0.94444444444444442</v>
      </c>
      <c r="K162" s="32">
        <v>0.89865687973137964</v>
      </c>
      <c r="L162"/>
      <c r="M162" s="36">
        <v>5499</v>
      </c>
      <c r="N162"/>
      <c r="O162" s="30"/>
      <c r="P162" s="37" t="s">
        <v>10</v>
      </c>
    </row>
    <row r="163" spans="2:16" x14ac:dyDescent="0.25">
      <c r="B163" t="s">
        <v>81</v>
      </c>
      <c r="C163" t="s">
        <v>174</v>
      </c>
      <c r="D163" t="s">
        <v>19</v>
      </c>
      <c r="E163" s="6">
        <v>0.95454545454545459</v>
      </c>
      <c r="F163" t="s">
        <v>15</v>
      </c>
      <c r="G163"/>
      <c r="H163" s="33">
        <v>0.83333325000000003</v>
      </c>
      <c r="I163" s="31">
        <v>0.86290299999999998</v>
      </c>
      <c r="J163" s="31">
        <v>1</v>
      </c>
      <c r="K163" s="32">
        <v>0.89835154395604389</v>
      </c>
      <c r="M163" s="36">
        <v>6789</v>
      </c>
      <c r="O163" s="29">
        <v>1.0926573426573426E-2</v>
      </c>
      <c r="P163" s="37">
        <v>6863.180506993006</v>
      </c>
    </row>
    <row r="164" spans="2:16" x14ac:dyDescent="0.25">
      <c r="B164" t="s">
        <v>81</v>
      </c>
      <c r="C164" t="s">
        <v>174</v>
      </c>
      <c r="D164" t="s">
        <v>13</v>
      </c>
      <c r="E164" s="6">
        <v>0.92919389978213507</v>
      </c>
      <c r="F164" t="s">
        <v>14</v>
      </c>
      <c r="G164"/>
      <c r="H164" s="33">
        <v>0.93333332258064516</v>
      </c>
      <c r="I164" s="31">
        <v>0.94172735483870962</v>
      </c>
      <c r="J164" s="31">
        <v>0.92293906451612906</v>
      </c>
      <c r="K164" s="32">
        <v>0.93551468557249196</v>
      </c>
      <c r="M164" s="36">
        <v>419</v>
      </c>
      <c r="O164" s="30"/>
      <c r="P164" s="37" t="s">
        <v>10</v>
      </c>
    </row>
    <row r="165" spans="2:16" x14ac:dyDescent="0.25">
      <c r="B165" t="s">
        <v>81</v>
      </c>
      <c r="C165" t="s">
        <v>174</v>
      </c>
      <c r="D165" t="s">
        <v>13</v>
      </c>
      <c r="E165" s="6">
        <v>0.92919389978213507</v>
      </c>
      <c r="F165" t="s">
        <v>15</v>
      </c>
      <c r="G165"/>
      <c r="H165" s="33">
        <v>0.97666664999999997</v>
      </c>
      <c r="I165" s="31">
        <v>0.90645159999999991</v>
      </c>
      <c r="J165" s="31">
        <v>0.93888885</v>
      </c>
      <c r="K165" s="32">
        <v>0.94037264945054955</v>
      </c>
      <c r="M165" s="36">
        <v>409</v>
      </c>
      <c r="O165" s="30"/>
      <c r="P165" s="37" t="s">
        <v>10</v>
      </c>
    </row>
    <row r="166" spans="2:16" x14ac:dyDescent="0.25">
      <c r="B166" t="s">
        <v>81</v>
      </c>
      <c r="C166" t="s">
        <v>174</v>
      </c>
      <c r="D166" t="s">
        <v>16</v>
      </c>
      <c r="E166" s="6">
        <v>0.95925925925925926</v>
      </c>
      <c r="F166" t="s">
        <v>175</v>
      </c>
      <c r="G166"/>
      <c r="H166" s="33">
        <v>0.97272727272727266</v>
      </c>
      <c r="I166" s="31">
        <v>0.98533718181818175</v>
      </c>
      <c r="J166" s="31">
        <v>0.9646464545454545</v>
      </c>
      <c r="K166" s="32">
        <v>0.9716804685314685</v>
      </c>
      <c r="M166" s="36">
        <v>449</v>
      </c>
      <c r="O166" s="30"/>
      <c r="P166" s="37" t="s">
        <v>10</v>
      </c>
    </row>
    <row r="167" spans="2:16" x14ac:dyDescent="0.25">
      <c r="B167" t="s">
        <v>81</v>
      </c>
      <c r="C167" t="s">
        <v>174</v>
      </c>
      <c r="D167" t="s">
        <v>16</v>
      </c>
      <c r="E167" s="6">
        <v>0.95925925925925926</v>
      </c>
      <c r="F167" t="s">
        <v>88</v>
      </c>
      <c r="G167"/>
      <c r="H167" s="33">
        <v>1</v>
      </c>
      <c r="I167" s="31">
        <v>0.84677400000000003</v>
      </c>
      <c r="J167" s="31">
        <v>0.94444424999999999</v>
      </c>
      <c r="K167" s="32">
        <v>0.93346856043956039</v>
      </c>
      <c r="M167" s="36">
        <v>429</v>
      </c>
      <c r="O167" s="30"/>
      <c r="P167" s="37" t="s">
        <v>10</v>
      </c>
    </row>
    <row r="168" spans="2:16" x14ac:dyDescent="0.25">
      <c r="B168" t="s">
        <v>81</v>
      </c>
      <c r="C168" t="s">
        <v>176</v>
      </c>
      <c r="D168" t="s">
        <v>13</v>
      </c>
      <c r="E168" s="6">
        <v>0.83518518518518525</v>
      </c>
      <c r="F168" t="s">
        <v>56</v>
      </c>
      <c r="G168"/>
      <c r="H168" s="33">
        <v>0.87777776190476198</v>
      </c>
      <c r="I168" s="31">
        <v>0.89708138095238099</v>
      </c>
      <c r="J168" s="31">
        <v>0.76455023809523803</v>
      </c>
      <c r="K168" s="32">
        <v>0.85502693825222409</v>
      </c>
      <c r="M168" s="36">
        <v>379</v>
      </c>
      <c r="O168" s="30"/>
      <c r="P168" s="37" t="s">
        <v>10</v>
      </c>
    </row>
    <row r="169" spans="2:16" x14ac:dyDescent="0.25">
      <c r="B169" t="s">
        <v>81</v>
      </c>
      <c r="C169" t="s">
        <v>176</v>
      </c>
      <c r="D169" t="s">
        <v>13</v>
      </c>
      <c r="E169" s="6">
        <v>0.83518518518518525</v>
      </c>
      <c r="F169" t="s">
        <v>14</v>
      </c>
      <c r="G169"/>
      <c r="H169" s="33">
        <v>0.91965810256410263</v>
      </c>
      <c r="I169" s="31">
        <v>0.92224976923076918</v>
      </c>
      <c r="J169" s="31">
        <v>0.87321935897435898</v>
      </c>
      <c r="K169" s="32">
        <v>0.91064229670329688</v>
      </c>
      <c r="M169" s="36">
        <v>389</v>
      </c>
      <c r="O169" s="30"/>
      <c r="P169" s="37" t="s">
        <v>10</v>
      </c>
    </row>
    <row r="170" spans="2:16" x14ac:dyDescent="0.25">
      <c r="B170" t="s">
        <v>81</v>
      </c>
      <c r="C170" t="s">
        <v>176</v>
      </c>
      <c r="D170" t="s">
        <v>16</v>
      </c>
      <c r="E170" s="6">
        <v>0.96626984126984128</v>
      </c>
      <c r="F170" t="s">
        <v>17</v>
      </c>
      <c r="G170"/>
      <c r="H170" s="33">
        <v>0.99444433333333337</v>
      </c>
      <c r="I170" s="31">
        <v>0.95698916666666667</v>
      </c>
      <c r="J170" s="31">
        <v>1</v>
      </c>
      <c r="K170" s="32">
        <v>1.0054944542124542</v>
      </c>
      <c r="M170" s="36">
        <v>409</v>
      </c>
      <c r="O170" s="30"/>
      <c r="P170" s="37" t="s">
        <v>10</v>
      </c>
    </row>
    <row r="171" spans="2:16" x14ac:dyDescent="0.25">
      <c r="B171" t="s">
        <v>81</v>
      </c>
      <c r="C171" t="s">
        <v>176</v>
      </c>
      <c r="D171" t="s">
        <v>16</v>
      </c>
      <c r="E171" s="6">
        <v>0.96626984126984128</v>
      </c>
      <c r="F171" t="s">
        <v>18</v>
      </c>
      <c r="G171"/>
      <c r="H171" s="33">
        <v>0.92727272727272725</v>
      </c>
      <c r="I171" s="31">
        <v>0.9648093636363636</v>
      </c>
      <c r="J171" s="31">
        <v>0.95707068181818178</v>
      </c>
      <c r="K171" s="32">
        <v>0.93914779170829166</v>
      </c>
      <c r="M171" s="36">
        <v>369</v>
      </c>
      <c r="O171" s="30"/>
      <c r="P171" s="37" t="s">
        <v>10</v>
      </c>
    </row>
    <row r="172" spans="2:16" x14ac:dyDescent="0.25">
      <c r="B172" t="s">
        <v>81</v>
      </c>
      <c r="C172" t="s">
        <v>177</v>
      </c>
      <c r="D172" t="s">
        <v>19</v>
      </c>
      <c r="E172" s="6">
        <v>0.86111111111111105</v>
      </c>
      <c r="F172" t="s">
        <v>20</v>
      </c>
      <c r="G172"/>
      <c r="H172" s="33">
        <v>0.92708331249999998</v>
      </c>
      <c r="I172" s="31">
        <v>0.87298374999999995</v>
      </c>
      <c r="J172" s="31">
        <v>0.80555549999999998</v>
      </c>
      <c r="K172" s="32">
        <v>0.87267074862637362</v>
      </c>
      <c r="M172" s="36">
        <v>6096.5</v>
      </c>
      <c r="O172" s="30"/>
      <c r="P172" s="37" t="s">
        <v>10</v>
      </c>
    </row>
    <row r="173" spans="2:16" s="10" customFormat="1" x14ac:dyDescent="0.25">
      <c r="B173" t="s">
        <v>81</v>
      </c>
      <c r="C173" t="s">
        <v>177</v>
      </c>
      <c r="D173" t="s">
        <v>19</v>
      </c>
      <c r="E173" s="6">
        <v>0.86111111111111105</v>
      </c>
      <c r="F173" t="s">
        <v>49</v>
      </c>
      <c r="G173"/>
      <c r="H173" s="33">
        <v>0.82</v>
      </c>
      <c r="I173" s="31">
        <v>0.8</v>
      </c>
      <c r="J173" s="31">
        <v>0.84444440000000009</v>
      </c>
      <c r="K173" s="32">
        <v>0.83239367032967038</v>
      </c>
      <c r="L173"/>
      <c r="M173" s="36">
        <v>6375</v>
      </c>
      <c r="N173"/>
      <c r="O173" s="30"/>
      <c r="P173" s="37" t="s">
        <v>10</v>
      </c>
    </row>
    <row r="174" spans="2:16" s="10" customFormat="1" x14ac:dyDescent="0.25">
      <c r="B174" t="s">
        <v>81</v>
      </c>
      <c r="C174" t="s">
        <v>177</v>
      </c>
      <c r="D174" t="s">
        <v>19</v>
      </c>
      <c r="E174" s="6">
        <v>0.86111111111111105</v>
      </c>
      <c r="F174" t="s">
        <v>179</v>
      </c>
      <c r="G174"/>
      <c r="H174" s="33">
        <v>1</v>
      </c>
      <c r="I174" s="31">
        <v>1</v>
      </c>
      <c r="J174" s="31">
        <v>1</v>
      </c>
      <c r="K174" s="32">
        <v>1</v>
      </c>
      <c r="L174"/>
      <c r="M174" s="36">
        <v>7396.1428571428569</v>
      </c>
      <c r="N174"/>
      <c r="O174" s="30"/>
      <c r="P174" s="37" t="s">
        <v>10</v>
      </c>
    </row>
    <row r="175" spans="2:16" x14ac:dyDescent="0.25">
      <c r="B175" t="s">
        <v>81</v>
      </c>
      <c r="C175" t="s">
        <v>177</v>
      </c>
      <c r="D175" t="s">
        <v>13</v>
      </c>
      <c r="E175" s="6">
        <v>0.97486772486772488</v>
      </c>
      <c r="F175" t="s">
        <v>20</v>
      </c>
      <c r="G175"/>
      <c r="H175" s="33">
        <v>0.96282046153846146</v>
      </c>
      <c r="I175" s="31">
        <v>0.93052096153846142</v>
      </c>
      <c r="J175" s="31">
        <v>0.97222211538461545</v>
      </c>
      <c r="K175" s="32">
        <v>0.95249722950126769</v>
      </c>
      <c r="M175" s="36">
        <v>433.61538461538464</v>
      </c>
      <c r="O175" s="29">
        <v>2.5000000000000001E-2</v>
      </c>
      <c r="P175" s="37">
        <v>444.45576923076919</v>
      </c>
    </row>
    <row r="176" spans="2:16" x14ac:dyDescent="0.25">
      <c r="B176" t="s">
        <v>81</v>
      </c>
      <c r="C176" t="s">
        <v>177</v>
      </c>
      <c r="D176" t="s">
        <v>13</v>
      </c>
      <c r="E176" s="6">
        <v>0.97486772486772488</v>
      </c>
      <c r="F176" t="s">
        <v>49</v>
      </c>
      <c r="G176"/>
      <c r="H176" s="33">
        <v>0.935416625</v>
      </c>
      <c r="I176" s="31">
        <v>0.98387087500000003</v>
      </c>
      <c r="J176" s="31">
        <v>0.97916662499999996</v>
      </c>
      <c r="K176" s="32">
        <v>0.96515163736263743</v>
      </c>
      <c r="M176" s="36">
        <v>409</v>
      </c>
      <c r="O176" s="29">
        <v>2.5000000000000001E-2</v>
      </c>
      <c r="P176" s="37">
        <v>419.22499999999997</v>
      </c>
    </row>
    <row r="177" spans="2:16" x14ac:dyDescent="0.25">
      <c r="B177" t="s">
        <v>81</v>
      </c>
      <c r="C177" t="s">
        <v>177</v>
      </c>
      <c r="D177" t="s">
        <v>16</v>
      </c>
      <c r="E177" s="6">
        <v>0.96064814814814825</v>
      </c>
      <c r="F177" t="s">
        <v>72</v>
      </c>
      <c r="G177"/>
      <c r="H177" s="33">
        <v>1</v>
      </c>
      <c r="I177" s="31">
        <v>1</v>
      </c>
      <c r="J177" s="31">
        <v>0.97712417647058825</v>
      </c>
      <c r="K177" s="32">
        <v>0.99409797026502911</v>
      </c>
      <c r="M177" s="36">
        <v>480.1764705882353</v>
      </c>
      <c r="O177" s="29">
        <v>2.5000000000000001E-2</v>
      </c>
      <c r="P177" s="37">
        <v>492.18088235294113</v>
      </c>
    </row>
    <row r="178" spans="2:16" x14ac:dyDescent="0.25">
      <c r="B178" t="s">
        <v>81</v>
      </c>
      <c r="C178" t="s">
        <v>177</v>
      </c>
      <c r="D178" t="s">
        <v>16</v>
      </c>
      <c r="E178" s="6">
        <v>0.96064814814814825</v>
      </c>
      <c r="F178" t="s">
        <v>178</v>
      </c>
      <c r="G178"/>
      <c r="H178" s="33">
        <v>1</v>
      </c>
      <c r="I178" s="31">
        <v>1</v>
      </c>
      <c r="J178" s="31">
        <v>1</v>
      </c>
      <c r="K178" s="32">
        <v>1</v>
      </c>
      <c r="M178" s="36">
        <v>519</v>
      </c>
      <c r="O178" s="29">
        <v>2.5000000000000001E-2</v>
      </c>
      <c r="P178" s="37">
        <v>531.97499999999991</v>
      </c>
    </row>
    <row r="179" spans="2:16" x14ac:dyDescent="0.25">
      <c r="B179" t="s">
        <v>81</v>
      </c>
      <c r="C179" t="s">
        <v>177</v>
      </c>
      <c r="D179" t="s">
        <v>16</v>
      </c>
      <c r="E179" s="6">
        <v>0.96064814814814825</v>
      </c>
      <c r="F179" t="s">
        <v>73</v>
      </c>
      <c r="G179"/>
      <c r="H179" s="33">
        <v>0.96111099999999994</v>
      </c>
      <c r="I179" s="31">
        <v>0.98387083333333336</v>
      </c>
      <c r="J179" s="31">
        <v>0.90740733333333334</v>
      </c>
      <c r="K179" s="32">
        <v>0.96018462454212461</v>
      </c>
      <c r="M179" s="36">
        <v>419</v>
      </c>
      <c r="O179" s="29">
        <v>2.5000000000000001E-2</v>
      </c>
      <c r="P179" s="37">
        <v>429.47499999999997</v>
      </c>
    </row>
    <row r="180" spans="2:16" x14ac:dyDescent="0.25">
      <c r="B180" t="s">
        <v>81</v>
      </c>
      <c r="C180" t="s">
        <v>177</v>
      </c>
      <c r="D180" t="s">
        <v>51</v>
      </c>
      <c r="E180" s="6">
        <v>0.95454545454545459</v>
      </c>
      <c r="F180" t="s">
        <v>34</v>
      </c>
      <c r="G180"/>
      <c r="H180" s="33">
        <v>0.98703700000000005</v>
      </c>
      <c r="I180" s="31">
        <v>0.9623655555555557</v>
      </c>
      <c r="J180" s="31">
        <v>0.94444444444444442</v>
      </c>
      <c r="K180" s="32">
        <v>0.96459094017094016</v>
      </c>
      <c r="M180" s="36">
        <v>3880.1111111111113</v>
      </c>
      <c r="O180" s="29">
        <v>2.5000000000000001E-2</v>
      </c>
      <c r="P180" s="37">
        <v>3977.1138888888886</v>
      </c>
    </row>
    <row r="181" spans="2:16" x14ac:dyDescent="0.25">
      <c r="B181" t="s">
        <v>81</v>
      </c>
      <c r="C181" t="s">
        <v>177</v>
      </c>
      <c r="D181" t="s">
        <v>51</v>
      </c>
      <c r="E181" s="6">
        <v>0.95454545454545459</v>
      </c>
      <c r="F181" t="s">
        <v>20</v>
      </c>
      <c r="G181"/>
      <c r="H181" s="33">
        <v>0.94166649999999996</v>
      </c>
      <c r="I181" s="31">
        <v>0.88709674999999999</v>
      </c>
      <c r="J181" s="31">
        <v>1</v>
      </c>
      <c r="K181" s="32">
        <v>0.94230762912087918</v>
      </c>
      <c r="M181" s="36">
        <v>3204</v>
      </c>
      <c r="O181" s="30"/>
      <c r="P181" s="37" t="s">
        <v>10</v>
      </c>
    </row>
    <row r="182" spans="2:16" x14ac:dyDescent="0.25">
      <c r="B182" t="s">
        <v>81</v>
      </c>
      <c r="C182" t="s">
        <v>180</v>
      </c>
      <c r="D182" t="s">
        <v>19</v>
      </c>
      <c r="E182" s="6">
        <v>0.89646464646464641</v>
      </c>
      <c r="F182" t="s">
        <v>20</v>
      </c>
      <c r="G182"/>
      <c r="H182" s="33">
        <v>0.84074072222222229</v>
      </c>
      <c r="I182" s="31">
        <v>0.89426522222222227</v>
      </c>
      <c r="J182" s="31">
        <v>0.92901233333333322</v>
      </c>
      <c r="K182" s="32">
        <v>0.89316238339438336</v>
      </c>
      <c r="M182" s="36">
        <v>6459</v>
      </c>
      <c r="O182" s="30"/>
      <c r="P182" s="37" t="s">
        <v>10</v>
      </c>
    </row>
    <row r="183" spans="2:16" x14ac:dyDescent="0.25">
      <c r="B183" t="s">
        <v>81</v>
      </c>
      <c r="C183" t="s">
        <v>180</v>
      </c>
      <c r="D183" t="s">
        <v>19</v>
      </c>
      <c r="E183" s="6">
        <v>0.89646464646464641</v>
      </c>
      <c r="F183" t="s">
        <v>15</v>
      </c>
      <c r="G183"/>
      <c r="H183" s="33">
        <v>1</v>
      </c>
      <c r="I183" s="31">
        <v>0.83064499999999997</v>
      </c>
      <c r="J183" s="31">
        <v>0.75</v>
      </c>
      <c r="K183" s="32">
        <v>0.85989005494505488</v>
      </c>
      <c r="M183" s="36">
        <v>6999</v>
      </c>
      <c r="O183" s="29">
        <v>0.01</v>
      </c>
      <c r="P183" s="37">
        <v>7068.99</v>
      </c>
    </row>
    <row r="184" spans="2:16" x14ac:dyDescent="0.25">
      <c r="B184" t="s">
        <v>81</v>
      </c>
      <c r="C184" t="s">
        <v>180</v>
      </c>
      <c r="D184" t="s">
        <v>13</v>
      </c>
      <c r="E184" s="6">
        <v>0.93915343915343907</v>
      </c>
      <c r="F184" t="s">
        <v>14</v>
      </c>
      <c r="G184"/>
      <c r="H184" s="33">
        <v>0.94551280769230772</v>
      </c>
      <c r="I184" s="31">
        <v>0.90136475000000005</v>
      </c>
      <c r="J184" s="31">
        <v>0.94764955769230774</v>
      </c>
      <c r="K184" s="32">
        <v>0.92693592709213868</v>
      </c>
      <c r="M184" s="36">
        <v>459</v>
      </c>
      <c r="O184" s="30"/>
      <c r="P184" s="37" t="s">
        <v>10</v>
      </c>
    </row>
    <row r="185" spans="2:16" x14ac:dyDescent="0.25">
      <c r="B185" t="s">
        <v>81</v>
      </c>
      <c r="C185" t="s">
        <v>180</v>
      </c>
      <c r="D185" t="s">
        <v>13</v>
      </c>
      <c r="E185" s="6">
        <v>0.93915343915343907</v>
      </c>
      <c r="F185" t="s">
        <v>15</v>
      </c>
      <c r="G185"/>
      <c r="H185" s="33">
        <v>0.77878781818181819</v>
      </c>
      <c r="I185" s="31">
        <v>0.83577709090909091</v>
      </c>
      <c r="J185" s="31">
        <v>0.89898981818181811</v>
      </c>
      <c r="K185" s="32">
        <v>0.83594660139860122</v>
      </c>
      <c r="M185" s="36">
        <v>399</v>
      </c>
      <c r="O185" s="30"/>
      <c r="P185" s="37" t="s">
        <v>10</v>
      </c>
    </row>
    <row r="186" spans="2:16" x14ac:dyDescent="0.25">
      <c r="B186" t="s">
        <v>81</v>
      </c>
      <c r="C186" t="s">
        <v>181</v>
      </c>
      <c r="D186" t="s">
        <v>19</v>
      </c>
      <c r="E186" s="6">
        <v>0.90322580645161288</v>
      </c>
      <c r="F186" t="s">
        <v>34</v>
      </c>
      <c r="G186"/>
      <c r="H186" s="33">
        <v>0.89133331999999998</v>
      </c>
      <c r="I186" s="31">
        <v>0.89161287999999994</v>
      </c>
      <c r="J186" s="31">
        <v>0.88</v>
      </c>
      <c r="K186" s="32">
        <v>0.88740562065934059</v>
      </c>
      <c r="M186" s="36">
        <v>5327.125</v>
      </c>
      <c r="O186" s="30"/>
      <c r="P186" s="37" t="s">
        <v>10</v>
      </c>
    </row>
    <row r="187" spans="2:16" x14ac:dyDescent="0.25">
      <c r="B187" t="s">
        <v>81</v>
      </c>
      <c r="C187" t="s">
        <v>181</v>
      </c>
      <c r="D187" t="s">
        <v>19</v>
      </c>
      <c r="E187" s="6">
        <v>0.90322580645161288</v>
      </c>
      <c r="F187" t="s">
        <v>184</v>
      </c>
      <c r="G187"/>
      <c r="H187" s="33">
        <v>1</v>
      </c>
      <c r="I187" s="31">
        <v>1</v>
      </c>
      <c r="J187" s="31">
        <v>1</v>
      </c>
      <c r="K187" s="32">
        <v>1</v>
      </c>
      <c r="M187" s="36">
        <v>6579</v>
      </c>
      <c r="O187" s="30"/>
      <c r="P187" s="37" t="s">
        <v>10</v>
      </c>
    </row>
    <row r="188" spans="2:16" x14ac:dyDescent="0.25">
      <c r="B188" t="s">
        <v>81</v>
      </c>
      <c r="C188" t="s">
        <v>181</v>
      </c>
      <c r="D188" t="s">
        <v>19</v>
      </c>
      <c r="E188" s="6">
        <v>0.90322580645161288</v>
      </c>
      <c r="F188" t="s">
        <v>20</v>
      </c>
      <c r="G188"/>
      <c r="H188" s="33">
        <v>0.875</v>
      </c>
      <c r="I188" s="31">
        <v>0.86290299999999998</v>
      </c>
      <c r="J188" s="31">
        <v>1</v>
      </c>
      <c r="K188" s="32">
        <v>0.91208783516483516</v>
      </c>
      <c r="M188" s="36">
        <v>4779</v>
      </c>
      <c r="O188" s="29">
        <v>1.0832068442113917E-2</v>
      </c>
      <c r="P188" s="37">
        <v>4830.7664550848622</v>
      </c>
    </row>
    <row r="189" spans="2:16" x14ac:dyDescent="0.25">
      <c r="B189" t="s">
        <v>81</v>
      </c>
      <c r="C189" t="s">
        <v>181</v>
      </c>
      <c r="D189" t="s">
        <v>19</v>
      </c>
      <c r="E189" s="6">
        <v>0.90322580645161288</v>
      </c>
      <c r="F189" t="s">
        <v>36</v>
      </c>
      <c r="G189"/>
      <c r="H189" s="33">
        <v>1</v>
      </c>
      <c r="I189" s="31">
        <v>1</v>
      </c>
      <c r="J189" s="31">
        <v>1</v>
      </c>
      <c r="K189" s="32">
        <v>1</v>
      </c>
      <c r="M189" s="36">
        <v>6469</v>
      </c>
      <c r="O189" s="30"/>
      <c r="P189" s="37" t="s">
        <v>10</v>
      </c>
    </row>
    <row r="190" spans="2:16" x14ac:dyDescent="0.25">
      <c r="B190" t="s">
        <v>81</v>
      </c>
      <c r="C190" t="s">
        <v>181</v>
      </c>
      <c r="D190" t="s">
        <v>21</v>
      </c>
      <c r="E190" s="6">
        <v>1</v>
      </c>
      <c r="F190" t="s">
        <v>37</v>
      </c>
      <c r="G190"/>
      <c r="H190" s="33">
        <v>0.77291662499999991</v>
      </c>
      <c r="I190" s="31">
        <v>0.95967737500000005</v>
      </c>
      <c r="J190" s="31">
        <v>1</v>
      </c>
      <c r="K190" s="32">
        <v>0.90602600137362643</v>
      </c>
      <c r="M190" s="36">
        <v>7671.5</v>
      </c>
      <c r="O190" s="29">
        <v>0.01</v>
      </c>
      <c r="P190" s="37">
        <v>7748.2150000000001</v>
      </c>
    </row>
    <row r="191" spans="2:16" x14ac:dyDescent="0.25">
      <c r="B191" t="s">
        <v>81</v>
      </c>
      <c r="C191" t="s">
        <v>181</v>
      </c>
      <c r="D191" t="s">
        <v>13</v>
      </c>
      <c r="E191" s="6">
        <v>0.92948717948717952</v>
      </c>
      <c r="F191" t="s">
        <v>182</v>
      </c>
      <c r="G191"/>
      <c r="H191" s="33">
        <v>0.96190471428571434</v>
      </c>
      <c r="I191" s="31">
        <v>0.98502296428571423</v>
      </c>
      <c r="J191" s="31">
        <v>1</v>
      </c>
      <c r="K191" s="32">
        <v>0.97773183398744101</v>
      </c>
      <c r="M191" s="36">
        <v>469</v>
      </c>
      <c r="O191" s="30"/>
      <c r="P191" s="37" t="s">
        <v>10</v>
      </c>
    </row>
    <row r="192" spans="2:16" x14ac:dyDescent="0.25">
      <c r="B192" t="s">
        <v>81</v>
      </c>
      <c r="C192" t="s">
        <v>181</v>
      </c>
      <c r="D192" t="s">
        <v>13</v>
      </c>
      <c r="E192" s="6">
        <v>0.92948717948717952</v>
      </c>
      <c r="F192" t="s">
        <v>183</v>
      </c>
      <c r="G192"/>
      <c r="H192" s="33">
        <v>0.93749995833333333</v>
      </c>
      <c r="I192" s="31">
        <v>0.84139779166666662</v>
      </c>
      <c r="J192" s="31">
        <v>0.84722220833333328</v>
      </c>
      <c r="K192" s="32">
        <v>0.87878240705128208</v>
      </c>
      <c r="M192" s="36">
        <v>679</v>
      </c>
      <c r="O192" s="30"/>
      <c r="P192" s="37" t="s">
        <v>10</v>
      </c>
    </row>
    <row r="193" spans="2:16" x14ac:dyDescent="0.25">
      <c r="B193" t="s">
        <v>81</v>
      </c>
      <c r="C193" t="s">
        <v>181</v>
      </c>
      <c r="D193" t="s">
        <v>51</v>
      </c>
      <c r="E193" s="6">
        <v>0.70588235294117652</v>
      </c>
      <c r="F193" t="s">
        <v>36</v>
      </c>
      <c r="G193"/>
      <c r="H193" s="33">
        <v>1</v>
      </c>
      <c r="I193" s="31">
        <v>1</v>
      </c>
      <c r="J193" s="31">
        <v>1</v>
      </c>
      <c r="K193" s="32">
        <v>1</v>
      </c>
      <c r="M193" s="36">
        <v>3269</v>
      </c>
      <c r="O193" s="30"/>
      <c r="P193" s="37" t="s">
        <v>10</v>
      </c>
    </row>
    <row r="194" spans="2:16" x14ac:dyDescent="0.25">
      <c r="B194" t="s">
        <v>81</v>
      </c>
      <c r="C194" t="s">
        <v>181</v>
      </c>
      <c r="D194" t="s">
        <v>51</v>
      </c>
      <c r="E194" s="6">
        <v>0.70588235294117652</v>
      </c>
      <c r="F194" t="s">
        <v>34</v>
      </c>
      <c r="G194"/>
      <c r="H194" s="33">
        <v>0.69393927272727274</v>
      </c>
      <c r="I194" s="31">
        <v>0.54545445454545449</v>
      </c>
      <c r="J194" s="31">
        <v>0.54545454545454541</v>
      </c>
      <c r="K194" s="32">
        <v>0.59440552347652353</v>
      </c>
      <c r="M194" s="36">
        <v>2899</v>
      </c>
      <c r="O194" s="30"/>
      <c r="P194" s="37" t="s">
        <v>10</v>
      </c>
    </row>
    <row r="195" spans="2:16" x14ac:dyDescent="0.25">
      <c r="B195" t="s">
        <v>81</v>
      </c>
      <c r="C195" t="s">
        <v>181</v>
      </c>
      <c r="D195" t="s">
        <v>24</v>
      </c>
      <c r="E195" s="6">
        <v>0.99521072796934862</v>
      </c>
      <c r="F195" t="s">
        <v>185</v>
      </c>
      <c r="G195"/>
      <c r="H195" s="33">
        <v>0.98465172354960706</v>
      </c>
      <c r="I195" s="31">
        <v>0.97666478031868009</v>
      </c>
      <c r="J195" s="31">
        <v>0.99521070689655178</v>
      </c>
      <c r="K195" s="32">
        <v>0.98583669410939612</v>
      </c>
      <c r="M195" s="36">
        <v>4089.6896551724139</v>
      </c>
      <c r="O195" s="29">
        <v>0.05</v>
      </c>
      <c r="P195" s="37">
        <v>4294.1741379310351</v>
      </c>
    </row>
    <row r="196" spans="2:16" x14ac:dyDescent="0.25">
      <c r="B196" t="s">
        <v>81</v>
      </c>
      <c r="C196" t="s">
        <v>199</v>
      </c>
      <c r="D196" t="s">
        <v>13</v>
      </c>
      <c r="E196" s="6">
        <v>0.80874316939890711</v>
      </c>
      <c r="F196" t="s">
        <v>15</v>
      </c>
      <c r="G196"/>
      <c r="H196" s="33">
        <v>0.82647058823529418</v>
      </c>
      <c r="I196" s="31">
        <v>0.80834911764705886</v>
      </c>
      <c r="J196" s="31">
        <v>0.7875816764705883</v>
      </c>
      <c r="K196" s="32">
        <v>0.80836681318681314</v>
      </c>
      <c r="M196" s="36">
        <v>349</v>
      </c>
      <c r="O196" s="30"/>
      <c r="P196" s="37" t="s">
        <v>10</v>
      </c>
    </row>
    <row r="197" spans="2:16" x14ac:dyDescent="0.25">
      <c r="B197" t="s">
        <v>81</v>
      </c>
      <c r="C197" t="s">
        <v>199</v>
      </c>
      <c r="D197" t="s">
        <v>13</v>
      </c>
      <c r="E197" s="6">
        <v>0.80874316939890711</v>
      </c>
      <c r="F197" t="s">
        <v>14</v>
      </c>
      <c r="G197"/>
      <c r="H197" s="33">
        <v>0.92592592592592593</v>
      </c>
      <c r="I197" s="31">
        <v>0.8948625925925926</v>
      </c>
      <c r="J197" s="31">
        <v>0.8353909259259259</v>
      </c>
      <c r="K197" s="32">
        <v>0.89623258038258047</v>
      </c>
      <c r="M197" s="36">
        <v>429</v>
      </c>
      <c r="O197" s="30"/>
      <c r="P197" s="37" t="s">
        <v>10</v>
      </c>
    </row>
    <row r="198" spans="2:16" x14ac:dyDescent="0.25">
      <c r="B198" t="s">
        <v>81</v>
      </c>
      <c r="C198" t="s">
        <v>199</v>
      </c>
      <c r="D198" t="s">
        <v>16</v>
      </c>
      <c r="E198" s="6">
        <v>0.812962962962963</v>
      </c>
      <c r="F198" t="s">
        <v>17</v>
      </c>
      <c r="G198"/>
      <c r="H198" s="33">
        <v>0.7690475714285715</v>
      </c>
      <c r="I198" s="31">
        <v>0.75115207142857143</v>
      </c>
      <c r="J198" s="31">
        <v>0.7857142857142857</v>
      </c>
      <c r="K198" s="32">
        <v>0.78482695368916799</v>
      </c>
      <c r="M198" s="36">
        <v>479</v>
      </c>
      <c r="O198" s="30"/>
      <c r="P198" s="37" t="s">
        <v>10</v>
      </c>
    </row>
    <row r="199" spans="2:16" x14ac:dyDescent="0.25">
      <c r="B199" t="s">
        <v>81</v>
      </c>
      <c r="C199" t="s">
        <v>199</v>
      </c>
      <c r="D199" t="s">
        <v>16</v>
      </c>
      <c r="E199" s="6">
        <v>0.812962962962963</v>
      </c>
      <c r="F199" t="s">
        <v>18</v>
      </c>
      <c r="G199"/>
      <c r="H199" s="33">
        <v>0.82083331250000002</v>
      </c>
      <c r="I199" s="31">
        <v>0.79233868750000003</v>
      </c>
      <c r="J199" s="31">
        <v>0.83680549999999998</v>
      </c>
      <c r="K199" s="32">
        <v>0.81912922321428572</v>
      </c>
      <c r="M199" s="36">
        <v>419</v>
      </c>
      <c r="O199" s="30"/>
      <c r="P199" s="37" t="s">
        <v>10</v>
      </c>
    </row>
    <row r="200" spans="2:16" x14ac:dyDescent="0.25">
      <c r="B200" t="s">
        <v>81</v>
      </c>
      <c r="C200" t="s">
        <v>200</v>
      </c>
      <c r="D200" t="s">
        <v>19</v>
      </c>
      <c r="E200" s="6">
        <v>0.76884920634920639</v>
      </c>
      <c r="F200" t="s">
        <v>20</v>
      </c>
      <c r="G200"/>
      <c r="H200" s="33">
        <v>0.79365076190476191</v>
      </c>
      <c r="I200" s="31">
        <v>0.77265738095238079</v>
      </c>
      <c r="J200" s="31">
        <v>0.7142857142857143</v>
      </c>
      <c r="K200" s="32">
        <v>0.76033486917844062</v>
      </c>
      <c r="M200" s="36">
        <v>4947.0952380952385</v>
      </c>
      <c r="O200" s="30"/>
      <c r="P200" s="37" t="s">
        <v>10</v>
      </c>
    </row>
    <row r="201" spans="2:16" x14ac:dyDescent="0.25">
      <c r="B201" t="s">
        <v>81</v>
      </c>
      <c r="C201" t="s">
        <v>200</v>
      </c>
      <c r="D201" t="s">
        <v>19</v>
      </c>
      <c r="E201" s="6">
        <v>0.76884920634920639</v>
      </c>
      <c r="F201" t="s">
        <v>34</v>
      </c>
      <c r="G201"/>
      <c r="H201" s="33">
        <v>0.71111109523809524</v>
      </c>
      <c r="I201" s="31">
        <v>0.84331790476190482</v>
      </c>
      <c r="J201" s="31">
        <v>0.93650785714285723</v>
      </c>
      <c r="K201" s="32">
        <v>0.82818005546834128</v>
      </c>
      <c r="M201" s="36">
        <v>6438.0476190476193</v>
      </c>
      <c r="O201" s="30"/>
      <c r="P201" s="37" t="s">
        <v>10</v>
      </c>
    </row>
    <row r="202" spans="2:16" x14ac:dyDescent="0.25">
      <c r="B202" t="s">
        <v>81</v>
      </c>
      <c r="C202" t="s">
        <v>200</v>
      </c>
      <c r="D202" t="s">
        <v>19</v>
      </c>
      <c r="E202" s="6">
        <v>0.76884920634920639</v>
      </c>
      <c r="F202" t="s">
        <v>35</v>
      </c>
      <c r="G202"/>
      <c r="H202" s="33">
        <v>0.46388883333333331</v>
      </c>
      <c r="I202" s="31">
        <v>0.49731175</v>
      </c>
      <c r="J202" s="31">
        <v>0.53240733333333334</v>
      </c>
      <c r="K202" s="32">
        <v>0.49554062362637358</v>
      </c>
      <c r="M202" s="36">
        <v>5369</v>
      </c>
      <c r="O202" s="30"/>
      <c r="P202" s="37" t="s">
        <v>10</v>
      </c>
    </row>
    <row r="203" spans="2:16" x14ac:dyDescent="0.25">
      <c r="B203" t="s">
        <v>81</v>
      </c>
      <c r="C203" t="s">
        <v>200</v>
      </c>
      <c r="D203" t="s">
        <v>19</v>
      </c>
      <c r="E203" s="6">
        <v>0.76884920634920639</v>
      </c>
      <c r="F203" t="s">
        <v>36</v>
      </c>
      <c r="G203"/>
      <c r="H203" s="33">
        <v>1</v>
      </c>
      <c r="I203" s="31">
        <v>1</v>
      </c>
      <c r="J203" s="31">
        <v>1</v>
      </c>
      <c r="K203" s="32">
        <v>1</v>
      </c>
      <c r="M203" s="36">
        <v>7359</v>
      </c>
      <c r="O203" s="30"/>
      <c r="P203" s="37" t="s">
        <v>10</v>
      </c>
    </row>
    <row r="204" spans="2:16" x14ac:dyDescent="0.25">
      <c r="B204" t="s">
        <v>81</v>
      </c>
      <c r="C204" t="s">
        <v>200</v>
      </c>
      <c r="D204" t="s">
        <v>21</v>
      </c>
      <c r="E204" s="6">
        <v>0.73913043478260865</v>
      </c>
      <c r="F204" t="s">
        <v>37</v>
      </c>
      <c r="G204"/>
      <c r="H204" s="33">
        <v>0.8</v>
      </c>
      <c r="I204" s="31">
        <v>0.71582180952380958</v>
      </c>
      <c r="J204" s="31">
        <v>0.7142857142857143</v>
      </c>
      <c r="K204" s="32">
        <v>0.74647918785975931</v>
      </c>
      <c r="M204" s="36">
        <v>8049</v>
      </c>
      <c r="O204" s="29">
        <v>-2.5000000000000001E-2</v>
      </c>
      <c r="P204" s="37">
        <v>7847.7749999999996</v>
      </c>
    </row>
    <row r="205" spans="2:16" x14ac:dyDescent="0.25">
      <c r="B205" t="s">
        <v>81</v>
      </c>
      <c r="C205" t="s">
        <v>200</v>
      </c>
      <c r="D205" t="s">
        <v>21</v>
      </c>
      <c r="E205" s="6">
        <v>0.73913043478260865</v>
      </c>
      <c r="F205" t="s">
        <v>50</v>
      </c>
      <c r="G205"/>
      <c r="H205" s="33">
        <v>1</v>
      </c>
      <c r="I205" s="31">
        <v>1</v>
      </c>
      <c r="J205" s="31">
        <v>1</v>
      </c>
      <c r="K205" s="32">
        <v>1</v>
      </c>
      <c r="M205" s="36">
        <v>8569</v>
      </c>
      <c r="O205" s="30"/>
      <c r="P205" s="37" t="s">
        <v>10</v>
      </c>
    </row>
    <row r="206" spans="2:16" x14ac:dyDescent="0.25">
      <c r="B206" t="s">
        <v>81</v>
      </c>
      <c r="C206" t="s">
        <v>200</v>
      </c>
      <c r="D206" t="s">
        <v>24</v>
      </c>
      <c r="E206" s="6">
        <v>1</v>
      </c>
      <c r="F206" t="s">
        <v>201</v>
      </c>
      <c r="G206"/>
      <c r="H206" s="33">
        <v>0.83958331249999996</v>
      </c>
      <c r="I206" s="31">
        <v>0.88911287500000002</v>
      </c>
      <c r="J206" s="31">
        <v>1</v>
      </c>
      <c r="K206" s="32">
        <v>0.90934064285714289</v>
      </c>
      <c r="M206" s="36">
        <v>3579</v>
      </c>
      <c r="O206" s="30"/>
      <c r="P206" s="37" t="s">
        <v>10</v>
      </c>
    </row>
    <row r="207" spans="2:16" x14ac:dyDescent="0.25">
      <c r="B207" t="s">
        <v>81</v>
      </c>
      <c r="C207" t="s">
        <v>202</v>
      </c>
      <c r="D207" t="s">
        <v>19</v>
      </c>
      <c r="E207" s="6">
        <v>0.87606837606837595</v>
      </c>
      <c r="F207" t="s">
        <v>20</v>
      </c>
      <c r="G207"/>
      <c r="H207" s="33">
        <v>0.79999999999999993</v>
      </c>
      <c r="I207" s="31">
        <v>0.9623655000000001</v>
      </c>
      <c r="J207" s="31">
        <v>1</v>
      </c>
      <c r="K207" s="32">
        <v>0.92124539010989015</v>
      </c>
      <c r="M207" s="36">
        <v>5309</v>
      </c>
      <c r="O207" s="30"/>
      <c r="P207" s="37" t="s">
        <v>10</v>
      </c>
    </row>
    <row r="208" spans="2:16" x14ac:dyDescent="0.25">
      <c r="B208" t="s">
        <v>81</v>
      </c>
      <c r="C208" t="s">
        <v>202</v>
      </c>
      <c r="D208" t="s">
        <v>19</v>
      </c>
      <c r="E208" s="6">
        <v>0.87606837606837595</v>
      </c>
      <c r="F208" t="s">
        <v>34</v>
      </c>
      <c r="G208"/>
      <c r="H208" s="33">
        <v>0.66666666666666663</v>
      </c>
      <c r="I208" s="31">
        <v>0.72580641666666657</v>
      </c>
      <c r="J208" s="31">
        <v>0.83333333333333337</v>
      </c>
      <c r="K208" s="32">
        <v>0.74892496062271052</v>
      </c>
      <c r="M208" s="36">
        <v>5907.333333333333</v>
      </c>
      <c r="O208" s="30"/>
      <c r="P208" s="37" t="s">
        <v>10</v>
      </c>
    </row>
    <row r="209" spans="2:16" x14ac:dyDescent="0.25">
      <c r="B209" t="s">
        <v>81</v>
      </c>
      <c r="C209" t="s">
        <v>202</v>
      </c>
      <c r="D209" t="s">
        <v>19</v>
      </c>
      <c r="E209" s="6">
        <v>0.87606837606837595</v>
      </c>
      <c r="F209" t="s">
        <v>184</v>
      </c>
      <c r="G209"/>
      <c r="H209" s="33">
        <v>0.73333333333333328</v>
      </c>
      <c r="I209" s="31">
        <v>0.74408600000000003</v>
      </c>
      <c r="J209" s="31">
        <v>0.81111100000000003</v>
      </c>
      <c r="K209" s="32">
        <v>0.76059877362637363</v>
      </c>
      <c r="M209" s="36">
        <v>5897</v>
      </c>
      <c r="O209" s="30"/>
      <c r="P209" s="37" t="s">
        <v>10</v>
      </c>
    </row>
    <row r="210" spans="2:16" x14ac:dyDescent="0.25">
      <c r="B210" t="s">
        <v>81</v>
      </c>
      <c r="C210" t="s">
        <v>202</v>
      </c>
      <c r="D210" t="s">
        <v>19</v>
      </c>
      <c r="E210" s="6">
        <v>0.87606837606837595</v>
      </c>
      <c r="F210" t="s">
        <v>31</v>
      </c>
      <c r="G210"/>
      <c r="H210" s="33">
        <v>0.5</v>
      </c>
      <c r="I210" s="31">
        <v>0.67741899999999999</v>
      </c>
      <c r="J210" s="31">
        <v>1</v>
      </c>
      <c r="K210" s="32">
        <v>0.72527460439560443</v>
      </c>
      <c r="M210" s="36">
        <v>5499</v>
      </c>
      <c r="O210" s="30"/>
      <c r="P210" s="37" t="s">
        <v>10</v>
      </c>
    </row>
    <row r="211" spans="2:16" x14ac:dyDescent="0.25">
      <c r="B211" t="s">
        <v>81</v>
      </c>
      <c r="C211" t="s">
        <v>202</v>
      </c>
      <c r="D211" t="s">
        <v>19</v>
      </c>
      <c r="E211" s="6">
        <v>0.87606837606837595</v>
      </c>
      <c r="F211" t="s">
        <v>111</v>
      </c>
      <c r="G211"/>
      <c r="H211" s="33">
        <v>0.76377950895901647</v>
      </c>
      <c r="I211" s="31">
        <v>1</v>
      </c>
      <c r="J211" s="31">
        <v>1</v>
      </c>
      <c r="K211" s="32">
        <v>0.91913746412769448</v>
      </c>
      <c r="M211" s="36">
        <v>6999</v>
      </c>
      <c r="O211" s="30"/>
      <c r="P211" s="37" t="s">
        <v>10</v>
      </c>
    </row>
    <row r="212" spans="2:16" x14ac:dyDescent="0.25">
      <c r="B212" t="s">
        <v>81</v>
      </c>
      <c r="C212" t="s">
        <v>202</v>
      </c>
      <c r="D212" t="s">
        <v>13</v>
      </c>
      <c r="E212" s="6">
        <v>0.85615079365079361</v>
      </c>
      <c r="F212" t="s">
        <v>14</v>
      </c>
      <c r="G212"/>
      <c r="H212" s="33">
        <v>0.94047617857142851</v>
      </c>
      <c r="I212" s="31">
        <v>0.93548385714285709</v>
      </c>
      <c r="J212" s="31">
        <v>0.875</v>
      </c>
      <c r="K212" s="32">
        <v>0.91949353924646782</v>
      </c>
      <c r="M212" s="36">
        <v>419</v>
      </c>
      <c r="O212" s="30"/>
      <c r="P212" s="37" t="s">
        <v>10</v>
      </c>
    </row>
    <row r="213" spans="2:16" x14ac:dyDescent="0.25">
      <c r="B213" t="s">
        <v>81</v>
      </c>
      <c r="C213" t="s">
        <v>202</v>
      </c>
      <c r="D213" t="s">
        <v>13</v>
      </c>
      <c r="E213" s="6">
        <v>0.85615079365079361</v>
      </c>
      <c r="F213" t="s">
        <v>79</v>
      </c>
      <c r="G213"/>
      <c r="H213" s="33">
        <v>0.97499999999999998</v>
      </c>
      <c r="I213" s="31">
        <v>0.91129024999999997</v>
      </c>
      <c r="J213" s="31">
        <v>1</v>
      </c>
      <c r="K213" s="32">
        <v>0.95795500274725265</v>
      </c>
      <c r="M213" s="36">
        <v>499</v>
      </c>
      <c r="O213" s="30"/>
      <c r="P213" s="37" t="s">
        <v>10</v>
      </c>
    </row>
    <row r="214" spans="2:16" x14ac:dyDescent="0.25">
      <c r="B214" t="s">
        <v>81</v>
      </c>
      <c r="C214" t="s">
        <v>202</v>
      </c>
      <c r="D214" t="s">
        <v>13</v>
      </c>
      <c r="E214" s="6">
        <v>0.85615079365079361</v>
      </c>
      <c r="F214" t="s">
        <v>15</v>
      </c>
      <c r="G214"/>
      <c r="H214" s="33">
        <v>0.79444441666666676</v>
      </c>
      <c r="I214" s="31">
        <v>0.85483870833333331</v>
      </c>
      <c r="J214" s="31">
        <v>0.81018516666666673</v>
      </c>
      <c r="K214" s="32">
        <v>0.82126929899267409</v>
      </c>
      <c r="M214" s="36">
        <v>339</v>
      </c>
      <c r="O214" s="30"/>
      <c r="P214" s="37" t="s">
        <v>10</v>
      </c>
    </row>
    <row r="215" spans="2:16" x14ac:dyDescent="0.25">
      <c r="B215" t="s">
        <v>81</v>
      </c>
      <c r="C215" t="s">
        <v>202</v>
      </c>
      <c r="D215" t="s">
        <v>24</v>
      </c>
      <c r="E215" s="6">
        <v>0.85694444444444451</v>
      </c>
      <c r="F215" t="s">
        <v>30</v>
      </c>
      <c r="G215"/>
      <c r="H215" s="33">
        <v>1</v>
      </c>
      <c r="I215" s="31">
        <v>1</v>
      </c>
      <c r="J215" s="31">
        <v>1</v>
      </c>
      <c r="K215" s="32">
        <v>1</v>
      </c>
      <c r="M215" s="36">
        <v>2369</v>
      </c>
      <c r="O215" s="30"/>
      <c r="P215" s="37" t="s">
        <v>10</v>
      </c>
    </row>
    <row r="216" spans="2:16" x14ac:dyDescent="0.25">
      <c r="B216" t="s">
        <v>81</v>
      </c>
      <c r="C216" t="s">
        <v>202</v>
      </c>
      <c r="D216" t="s">
        <v>24</v>
      </c>
      <c r="E216" s="6">
        <v>0.85694444444444451</v>
      </c>
      <c r="F216" t="s">
        <v>123</v>
      </c>
      <c r="G216"/>
      <c r="H216" s="33">
        <v>0.66666666666666663</v>
      </c>
      <c r="I216" s="31">
        <v>0.66666666666666663</v>
      </c>
      <c r="J216" s="31">
        <v>0.66666666666666663</v>
      </c>
      <c r="K216" s="32">
        <v>0.66666666666666663</v>
      </c>
      <c r="M216" s="36">
        <v>2855.6666666666665</v>
      </c>
      <c r="O216" s="30"/>
      <c r="P216" s="37" t="s">
        <v>10</v>
      </c>
    </row>
    <row r="217" spans="2:16" x14ac:dyDescent="0.25">
      <c r="B217" t="s">
        <v>81</v>
      </c>
      <c r="C217" t="s">
        <v>202</v>
      </c>
      <c r="D217" t="s">
        <v>24</v>
      </c>
      <c r="E217" s="6">
        <v>0.85694444444444451</v>
      </c>
      <c r="F217" t="s">
        <v>25</v>
      </c>
      <c r="G217"/>
      <c r="H217" s="33">
        <v>0.86296294444444444</v>
      </c>
      <c r="I217" s="31">
        <v>0.88888888888888884</v>
      </c>
      <c r="J217" s="31">
        <v>0.86882713888888885</v>
      </c>
      <c r="K217" s="32">
        <v>0.87516588522588512</v>
      </c>
      <c r="M217" s="36">
        <v>3389</v>
      </c>
      <c r="O217" s="30"/>
      <c r="P217" s="37" t="s">
        <v>10</v>
      </c>
    </row>
    <row r="218" spans="2:16" x14ac:dyDescent="0.25">
      <c r="B218" t="s">
        <v>77</v>
      </c>
      <c r="C218" t="s">
        <v>78</v>
      </c>
      <c r="D218" t="s">
        <v>19</v>
      </c>
      <c r="E218" s="6">
        <v>0.93939393939393945</v>
      </c>
      <c r="F218" t="s">
        <v>20</v>
      </c>
      <c r="G218"/>
      <c r="H218" s="33">
        <v>0.9907407222222222</v>
      </c>
      <c r="I218" s="31">
        <v>0.96415766666666669</v>
      </c>
      <c r="J218" s="31">
        <v>0.95987650000000002</v>
      </c>
      <c r="K218" s="32">
        <v>0.97120026739926735</v>
      </c>
      <c r="M218" s="36">
        <v>7779</v>
      </c>
      <c r="O218" s="29">
        <v>2.5000000000000001E-2</v>
      </c>
      <c r="P218" s="37">
        <v>7973.4749999999995</v>
      </c>
    </row>
    <row r="219" spans="2:16" x14ac:dyDescent="0.25">
      <c r="B219" t="s">
        <v>77</v>
      </c>
      <c r="C219" t="s">
        <v>78</v>
      </c>
      <c r="D219" t="s">
        <v>19</v>
      </c>
      <c r="E219" s="6">
        <v>0.93939393939393945</v>
      </c>
      <c r="F219" t="s">
        <v>15</v>
      </c>
      <c r="G219"/>
      <c r="H219" s="33">
        <v>1</v>
      </c>
      <c r="I219" s="31">
        <v>0.87903224999999996</v>
      </c>
      <c r="J219" s="31">
        <v>0.84722200000000003</v>
      </c>
      <c r="K219" s="32">
        <v>0.91937409065934073</v>
      </c>
      <c r="M219" s="36">
        <v>9149</v>
      </c>
      <c r="O219" s="30"/>
      <c r="P219" s="37" t="s">
        <v>10</v>
      </c>
    </row>
    <row r="220" spans="2:16" x14ac:dyDescent="0.25">
      <c r="B220" t="s">
        <v>77</v>
      </c>
      <c r="C220" t="s">
        <v>78</v>
      </c>
      <c r="D220" t="s">
        <v>21</v>
      </c>
      <c r="E220" s="6">
        <v>0.94636015325670497</v>
      </c>
      <c r="F220" t="s">
        <v>22</v>
      </c>
      <c r="G220"/>
      <c r="H220" s="33">
        <v>0.82435896153846155</v>
      </c>
      <c r="I220" s="31">
        <v>0.93548384615384605</v>
      </c>
      <c r="J220" s="31">
        <v>0.94017092307692307</v>
      </c>
      <c r="K220" s="32">
        <v>0.89641292899408276</v>
      </c>
      <c r="M220" s="36">
        <v>7499</v>
      </c>
      <c r="O220" s="29">
        <v>2.9852194443546039E-2</v>
      </c>
      <c r="P220" s="37">
        <v>7722.8616061321527</v>
      </c>
    </row>
    <row r="221" spans="2:16" x14ac:dyDescent="0.25">
      <c r="B221" t="s">
        <v>77</v>
      </c>
      <c r="C221" t="s">
        <v>78</v>
      </c>
      <c r="D221" t="s">
        <v>21</v>
      </c>
      <c r="E221" s="6">
        <v>0.94636015325670497</v>
      </c>
      <c r="F221" t="s">
        <v>23</v>
      </c>
      <c r="G221"/>
      <c r="H221" s="33">
        <v>0.84444433333333324</v>
      </c>
      <c r="I221" s="31">
        <v>1</v>
      </c>
      <c r="J221" s="31">
        <v>1</v>
      </c>
      <c r="K221" s="32">
        <v>0.94871791208791212</v>
      </c>
      <c r="M221" s="36">
        <v>7999</v>
      </c>
      <c r="O221" s="29">
        <v>5.3708742458298826E-2</v>
      </c>
      <c r="P221" s="37">
        <v>8428.6162309239335</v>
      </c>
    </row>
    <row r="222" spans="2:16" x14ac:dyDescent="0.25">
      <c r="B222" t="s">
        <v>77</v>
      </c>
      <c r="C222" t="s">
        <v>78</v>
      </c>
      <c r="D222" t="s">
        <v>13</v>
      </c>
      <c r="E222" s="6">
        <v>0.98178506375227681</v>
      </c>
      <c r="F222" t="s">
        <v>14</v>
      </c>
      <c r="G222"/>
      <c r="H222" s="33">
        <v>0.92400000000000004</v>
      </c>
      <c r="I222" s="31">
        <v>0.97290322000000007</v>
      </c>
      <c r="J222" s="31">
        <v>0.98222222000000003</v>
      </c>
      <c r="K222" s="32">
        <v>0.95596750791208795</v>
      </c>
      <c r="M222" s="36">
        <v>499</v>
      </c>
      <c r="O222" s="30"/>
      <c r="P222" s="37" t="s">
        <v>10</v>
      </c>
    </row>
    <row r="223" spans="2:16" x14ac:dyDescent="0.25">
      <c r="B223" t="s">
        <v>77</v>
      </c>
      <c r="C223" t="s">
        <v>78</v>
      </c>
      <c r="D223" t="s">
        <v>13</v>
      </c>
      <c r="E223" s="6">
        <v>0.98178506375227681</v>
      </c>
      <c r="F223" t="s">
        <v>15</v>
      </c>
      <c r="G223"/>
      <c r="H223" s="33">
        <v>0.56111100000000003</v>
      </c>
      <c r="I223" s="31">
        <v>0.81720416666666662</v>
      </c>
      <c r="J223" s="31">
        <v>0.96296283333333343</v>
      </c>
      <c r="K223" s="32">
        <v>0.78348449633699635</v>
      </c>
      <c r="M223" s="36">
        <v>449</v>
      </c>
      <c r="O223" s="30"/>
      <c r="P223" s="37" t="s">
        <v>10</v>
      </c>
    </row>
    <row r="224" spans="2:16" x14ac:dyDescent="0.25">
      <c r="B224" t="s">
        <v>77</v>
      </c>
      <c r="C224" t="s">
        <v>78</v>
      </c>
      <c r="D224" t="s">
        <v>13</v>
      </c>
      <c r="E224" s="6">
        <v>0.98178506375227681</v>
      </c>
      <c r="F224" t="s">
        <v>79</v>
      </c>
      <c r="G224"/>
      <c r="H224" s="33">
        <v>0.95333319999999999</v>
      </c>
      <c r="I224" s="31">
        <v>0.92258060000000008</v>
      </c>
      <c r="J224" s="31">
        <v>1</v>
      </c>
      <c r="K224" s="32">
        <v>0.95824169890109889</v>
      </c>
      <c r="M224" s="36">
        <v>509</v>
      </c>
      <c r="O224" s="30"/>
      <c r="P224" s="37" t="s">
        <v>10</v>
      </c>
    </row>
    <row r="225" spans="2:16" x14ac:dyDescent="0.25">
      <c r="B225" t="s">
        <v>77</v>
      </c>
      <c r="C225" t="s">
        <v>78</v>
      </c>
      <c r="D225" t="s">
        <v>24</v>
      </c>
      <c r="E225" s="6">
        <v>0.82352941176470584</v>
      </c>
      <c r="F225" t="s">
        <v>80</v>
      </c>
      <c r="G225"/>
      <c r="H225" s="33">
        <v>0.79411764705882348</v>
      </c>
      <c r="I225" s="31">
        <v>0.8311195294117647</v>
      </c>
      <c r="J225" s="31">
        <v>0.82352941176470584</v>
      </c>
      <c r="K225" s="32">
        <v>0.81641887007110536</v>
      </c>
      <c r="M225" s="36">
        <v>4479</v>
      </c>
      <c r="O225" s="30"/>
      <c r="P225" s="37" t="s">
        <v>10</v>
      </c>
    </row>
    <row r="226" spans="2:16" x14ac:dyDescent="0.25">
      <c r="B226" t="s">
        <v>77</v>
      </c>
      <c r="C226" t="s">
        <v>96</v>
      </c>
      <c r="D226" t="s">
        <v>19</v>
      </c>
      <c r="E226" s="6">
        <v>0.95019157088122608</v>
      </c>
      <c r="F226" t="s">
        <v>20</v>
      </c>
      <c r="G226"/>
      <c r="H226" s="33">
        <v>0.84545454545454557</v>
      </c>
      <c r="I226" s="31">
        <v>0.94868031818181819</v>
      </c>
      <c r="J226" s="31">
        <v>0.93434340909090896</v>
      </c>
      <c r="K226" s="32">
        <v>0.90746208641358639</v>
      </c>
      <c r="M226" s="36">
        <v>6499</v>
      </c>
      <c r="O226" s="29">
        <v>4.3624778344333315E-2</v>
      </c>
      <c r="P226" s="37">
        <v>6782.5174344598227</v>
      </c>
    </row>
    <row r="227" spans="2:16" x14ac:dyDescent="0.25">
      <c r="B227" t="s">
        <v>77</v>
      </c>
      <c r="C227" t="s">
        <v>96</v>
      </c>
      <c r="D227" t="s">
        <v>19</v>
      </c>
      <c r="E227" s="6">
        <v>0.95019157088122608</v>
      </c>
      <c r="F227" t="s">
        <v>15</v>
      </c>
      <c r="G227"/>
      <c r="H227" s="33">
        <v>1</v>
      </c>
      <c r="I227" s="31">
        <v>1</v>
      </c>
      <c r="J227" s="31">
        <v>1</v>
      </c>
      <c r="K227" s="32">
        <v>1</v>
      </c>
      <c r="M227" s="36">
        <v>7679</v>
      </c>
      <c r="O227" s="29">
        <v>2.5000000000000001E-2</v>
      </c>
      <c r="P227" s="37">
        <v>7870.9749999999995</v>
      </c>
    </row>
    <row r="228" spans="2:16" x14ac:dyDescent="0.25">
      <c r="B228" t="s">
        <v>77</v>
      </c>
      <c r="C228" t="s">
        <v>96</v>
      </c>
      <c r="D228" t="s">
        <v>21</v>
      </c>
      <c r="E228" s="6">
        <v>0.79885057471264376</v>
      </c>
      <c r="F228" t="s">
        <v>22</v>
      </c>
      <c r="G228"/>
      <c r="H228" s="33">
        <v>0.80724634782608706</v>
      </c>
      <c r="I228" s="31">
        <v>0.87517530434782598</v>
      </c>
      <c r="J228" s="31">
        <v>0.92028982608695653</v>
      </c>
      <c r="K228" s="32">
        <v>0.86713473100812233</v>
      </c>
      <c r="M228" s="36">
        <v>7399</v>
      </c>
      <c r="O228" s="29">
        <v>-2.5000000000000001E-2</v>
      </c>
      <c r="P228" s="37">
        <v>7214.0249999999996</v>
      </c>
    </row>
    <row r="229" spans="2:16" x14ac:dyDescent="0.25">
      <c r="B229" t="s">
        <v>77</v>
      </c>
      <c r="C229" t="s">
        <v>96</v>
      </c>
      <c r="D229" t="s">
        <v>21</v>
      </c>
      <c r="E229" s="6">
        <v>0.79885057471264376</v>
      </c>
      <c r="F229" t="s">
        <v>23</v>
      </c>
      <c r="G229"/>
      <c r="H229" s="33">
        <v>0.33333333333333331</v>
      </c>
      <c r="I229" s="31">
        <v>0.33333333333333331</v>
      </c>
      <c r="J229" s="31">
        <v>0.33333333333333331</v>
      </c>
      <c r="K229" s="32">
        <v>0.34527789377289375</v>
      </c>
      <c r="M229" s="36">
        <v>7599</v>
      </c>
      <c r="O229" s="29"/>
      <c r="P229" s="37" t="s">
        <v>10</v>
      </c>
    </row>
    <row r="230" spans="2:16" x14ac:dyDescent="0.25">
      <c r="B230" t="s">
        <v>77</v>
      </c>
      <c r="C230" t="s">
        <v>96</v>
      </c>
      <c r="D230" t="s">
        <v>13</v>
      </c>
      <c r="E230" s="6">
        <v>0.85470085470085477</v>
      </c>
      <c r="F230" t="s">
        <v>14</v>
      </c>
      <c r="G230"/>
      <c r="H230" s="33">
        <v>0.88449611627906977</v>
      </c>
      <c r="I230" s="31">
        <v>0.93923479069767446</v>
      </c>
      <c r="J230" s="31">
        <v>0.80878551162790702</v>
      </c>
      <c r="K230" s="32">
        <v>0.87288746383848725</v>
      </c>
      <c r="M230" s="36">
        <v>479</v>
      </c>
      <c r="O230" s="30"/>
      <c r="P230" s="37" t="s">
        <v>10</v>
      </c>
    </row>
    <row r="231" spans="2:16" x14ac:dyDescent="0.25">
      <c r="B231" t="s">
        <v>77</v>
      </c>
      <c r="C231" t="s">
        <v>96</v>
      </c>
      <c r="D231" t="s">
        <v>13</v>
      </c>
      <c r="E231" s="6">
        <v>0.85470085470085477</v>
      </c>
      <c r="F231" t="s">
        <v>15</v>
      </c>
      <c r="G231"/>
      <c r="H231" s="33">
        <v>0.99545454545454537</v>
      </c>
      <c r="I231" s="31">
        <v>0.94868031818181819</v>
      </c>
      <c r="J231" s="31">
        <v>0.9444444090909091</v>
      </c>
      <c r="K231" s="32">
        <v>0.96342785064935055</v>
      </c>
      <c r="M231" s="36">
        <v>419</v>
      </c>
      <c r="O231" s="30"/>
      <c r="P231" s="37" t="s">
        <v>10</v>
      </c>
    </row>
    <row r="232" spans="2:16" x14ac:dyDescent="0.25">
      <c r="B232" t="s">
        <v>77</v>
      </c>
      <c r="C232" t="s">
        <v>125</v>
      </c>
      <c r="D232" t="s">
        <v>19</v>
      </c>
      <c r="E232" s="6">
        <v>1</v>
      </c>
      <c r="F232" t="s">
        <v>20</v>
      </c>
      <c r="G232"/>
      <c r="H232" s="33">
        <v>0.97592588888888898</v>
      </c>
      <c r="I232" s="31">
        <v>0.95519711111111105</v>
      </c>
      <c r="J232" s="31">
        <v>1</v>
      </c>
      <c r="K232" s="32">
        <v>0.9768009572649573</v>
      </c>
      <c r="M232" s="36">
        <v>5999</v>
      </c>
      <c r="O232" s="29">
        <v>5.5886001963734638E-2</v>
      </c>
      <c r="P232" s="37">
        <v>6334.2601257804436</v>
      </c>
    </row>
    <row r="233" spans="2:16" x14ac:dyDescent="0.25">
      <c r="B233" t="s">
        <v>77</v>
      </c>
      <c r="C233" t="s">
        <v>125</v>
      </c>
      <c r="D233" t="s">
        <v>19</v>
      </c>
      <c r="E233" s="6">
        <v>1</v>
      </c>
      <c r="F233" t="s">
        <v>15</v>
      </c>
      <c r="G233"/>
      <c r="H233" s="33">
        <v>0.75</v>
      </c>
      <c r="I233" s="31">
        <v>0.96774174999999996</v>
      </c>
      <c r="J233" s="31">
        <v>1</v>
      </c>
      <c r="K233" s="32">
        <v>0.90659334340659337</v>
      </c>
      <c r="M233" s="36">
        <v>6999</v>
      </c>
      <c r="O233" s="29">
        <v>4.6630948056665414E-2</v>
      </c>
      <c r="P233" s="37">
        <v>7325.3700054486008</v>
      </c>
    </row>
    <row r="234" spans="2:16" x14ac:dyDescent="0.25">
      <c r="B234" t="s">
        <v>77</v>
      </c>
      <c r="C234" t="s">
        <v>125</v>
      </c>
      <c r="D234" t="s">
        <v>21</v>
      </c>
      <c r="E234" s="6">
        <v>0.78282828282828276</v>
      </c>
      <c r="F234" t="s">
        <v>17</v>
      </c>
      <c r="G234"/>
      <c r="H234" s="33">
        <v>0.70370366666666662</v>
      </c>
      <c r="I234" s="31">
        <v>0.80645155555555559</v>
      </c>
      <c r="J234" s="31">
        <v>0.77777777777777779</v>
      </c>
      <c r="K234" s="32">
        <v>0.7631257313797315</v>
      </c>
      <c r="M234" s="36">
        <v>7999</v>
      </c>
      <c r="O234" s="29">
        <v>-0.05</v>
      </c>
      <c r="P234" s="37">
        <v>7599.0499999999993</v>
      </c>
    </row>
    <row r="235" spans="2:16" x14ac:dyDescent="0.25">
      <c r="B235" t="s">
        <v>77</v>
      </c>
      <c r="C235" t="s">
        <v>125</v>
      </c>
      <c r="D235" t="s">
        <v>21</v>
      </c>
      <c r="E235" s="6">
        <v>0.78282828282828276</v>
      </c>
      <c r="F235" t="s">
        <v>18</v>
      </c>
      <c r="G235"/>
      <c r="H235" s="33">
        <v>1</v>
      </c>
      <c r="I235" s="31">
        <v>0.98387049999999998</v>
      </c>
      <c r="J235" s="31">
        <v>0.80555549999999998</v>
      </c>
      <c r="K235" s="32">
        <v>0.94433808241758244</v>
      </c>
      <c r="M235" s="36">
        <v>8199</v>
      </c>
      <c r="O235" s="30"/>
      <c r="P235" s="37" t="s">
        <v>10</v>
      </c>
    </row>
    <row r="236" spans="2:16" x14ac:dyDescent="0.25">
      <c r="B236" t="s">
        <v>77</v>
      </c>
      <c r="C236" t="s">
        <v>125</v>
      </c>
      <c r="D236" t="s">
        <v>13</v>
      </c>
      <c r="E236" s="6">
        <v>0.94010416666666663</v>
      </c>
      <c r="F236" t="s">
        <v>14</v>
      </c>
      <c r="G236"/>
      <c r="H236" s="33">
        <v>0.9559523571428572</v>
      </c>
      <c r="I236" s="31">
        <v>0.94239628571428569</v>
      </c>
      <c r="J236" s="31">
        <v>0.97619046428571432</v>
      </c>
      <c r="K236" s="32">
        <v>0.95971262009419156</v>
      </c>
      <c r="M236" s="36">
        <v>509</v>
      </c>
      <c r="O236" s="30"/>
      <c r="P236" s="37" t="s">
        <v>10</v>
      </c>
    </row>
    <row r="237" spans="2:16" x14ac:dyDescent="0.25">
      <c r="B237" t="s">
        <v>77</v>
      </c>
      <c r="C237" t="s">
        <v>125</v>
      </c>
      <c r="D237" t="s">
        <v>13</v>
      </c>
      <c r="E237" s="6">
        <v>0.94010416666666663</v>
      </c>
      <c r="F237" t="s">
        <v>15</v>
      </c>
      <c r="G237"/>
      <c r="H237" s="33">
        <v>0.88703702777777782</v>
      </c>
      <c r="I237" s="31">
        <v>0.85394263888888888</v>
      </c>
      <c r="J237" s="31">
        <v>0.91203702777777784</v>
      </c>
      <c r="K237" s="32">
        <v>0.88712373778998788</v>
      </c>
      <c r="M237" s="36">
        <v>469</v>
      </c>
      <c r="O237" s="30"/>
      <c r="P237" s="37" t="s">
        <v>10</v>
      </c>
    </row>
    <row r="238" spans="2:16" x14ac:dyDescent="0.25">
      <c r="B238" t="s">
        <v>77</v>
      </c>
      <c r="C238" t="s">
        <v>136</v>
      </c>
      <c r="D238" t="s">
        <v>19</v>
      </c>
      <c r="E238" s="6">
        <v>0.98856209150326801</v>
      </c>
      <c r="F238" t="s">
        <v>20</v>
      </c>
      <c r="G238"/>
      <c r="H238" s="33">
        <v>0.99876540740740738</v>
      </c>
      <c r="I238" s="31">
        <v>0.99044203703703715</v>
      </c>
      <c r="J238" s="31">
        <v>0.98559670370370378</v>
      </c>
      <c r="K238" s="32">
        <v>0.99262088929588943</v>
      </c>
      <c r="M238" s="36">
        <v>6439</v>
      </c>
      <c r="O238" s="29">
        <v>2.5000000000000001E-2</v>
      </c>
      <c r="P238" s="37">
        <v>6599.9749999999995</v>
      </c>
    </row>
    <row r="239" spans="2:16" s="10" customFormat="1" x14ac:dyDescent="0.25">
      <c r="B239" t="s">
        <v>77</v>
      </c>
      <c r="C239" t="s">
        <v>136</v>
      </c>
      <c r="D239" t="s">
        <v>19</v>
      </c>
      <c r="E239" s="6">
        <v>0.98856209150326801</v>
      </c>
      <c r="F239" t="s">
        <v>15</v>
      </c>
      <c r="G239"/>
      <c r="H239" s="33">
        <v>1</v>
      </c>
      <c r="I239" s="31">
        <v>1</v>
      </c>
      <c r="J239" s="31">
        <v>1</v>
      </c>
      <c r="K239" s="32">
        <v>1</v>
      </c>
      <c r="L239"/>
      <c r="M239" s="36">
        <v>7319</v>
      </c>
      <c r="N239"/>
      <c r="O239" s="29">
        <v>2.5000000000000001E-2</v>
      </c>
      <c r="P239" s="37">
        <v>7501.9749999999995</v>
      </c>
    </row>
    <row r="240" spans="2:16" x14ac:dyDescent="0.25">
      <c r="B240" t="s">
        <v>77</v>
      </c>
      <c r="C240" t="s">
        <v>136</v>
      </c>
      <c r="D240" t="s">
        <v>19</v>
      </c>
      <c r="E240" s="6">
        <v>0.98856209150326801</v>
      </c>
      <c r="F240" t="s">
        <v>31</v>
      </c>
      <c r="G240"/>
      <c r="H240" s="33">
        <v>1</v>
      </c>
      <c r="I240" s="31">
        <v>1</v>
      </c>
      <c r="J240" s="31">
        <v>1</v>
      </c>
      <c r="K240" s="32">
        <v>1</v>
      </c>
      <c r="M240" s="36">
        <v>7349</v>
      </c>
      <c r="O240" s="29">
        <v>2.5000000000000001E-2</v>
      </c>
      <c r="P240" s="37">
        <v>7532.7249999999995</v>
      </c>
    </row>
    <row r="241" spans="2:16" x14ac:dyDescent="0.25">
      <c r="B241" t="s">
        <v>77</v>
      </c>
      <c r="C241" t="s">
        <v>136</v>
      </c>
      <c r="D241" t="s">
        <v>21</v>
      </c>
      <c r="E241" s="6">
        <v>0.99425287356321834</v>
      </c>
      <c r="F241" t="s">
        <v>37</v>
      </c>
      <c r="G241"/>
      <c r="H241" s="33">
        <v>0.97681152173913044</v>
      </c>
      <c r="I241" s="31">
        <v>0.97615704347826093</v>
      </c>
      <c r="J241" s="31">
        <v>0.99275356521739144</v>
      </c>
      <c r="K241" s="32">
        <v>0.98111713425704716</v>
      </c>
      <c r="M241" s="36">
        <v>7684.217391304348</v>
      </c>
      <c r="O241" s="29">
        <v>2.5000000000000001E-2</v>
      </c>
      <c r="P241" s="37">
        <v>7876.3228260869564</v>
      </c>
    </row>
    <row r="242" spans="2:16" x14ac:dyDescent="0.25">
      <c r="B242" t="s">
        <v>77</v>
      </c>
      <c r="C242" t="s">
        <v>136</v>
      </c>
      <c r="D242" t="s">
        <v>21</v>
      </c>
      <c r="E242" s="6">
        <v>0.99425287356321834</v>
      </c>
      <c r="F242" t="s">
        <v>50</v>
      </c>
      <c r="G242"/>
      <c r="H242" s="33">
        <v>0.90555550000000007</v>
      </c>
      <c r="I242" s="31">
        <v>1</v>
      </c>
      <c r="J242" s="31">
        <v>1</v>
      </c>
      <c r="K242" s="32">
        <v>0.96886445054945058</v>
      </c>
      <c r="M242" s="36">
        <v>8014</v>
      </c>
      <c r="O242" s="29">
        <v>2.5000000000000001E-2</v>
      </c>
      <c r="P242" s="37">
        <v>8214.3499999999985</v>
      </c>
    </row>
    <row r="243" spans="2:16" x14ac:dyDescent="0.25">
      <c r="B243" t="s">
        <v>77</v>
      </c>
      <c r="C243" t="s">
        <v>136</v>
      </c>
      <c r="D243" t="s">
        <v>13</v>
      </c>
      <c r="E243" s="6">
        <v>0.97916666666666674</v>
      </c>
      <c r="F243" t="s">
        <v>14</v>
      </c>
      <c r="G243"/>
      <c r="H243" s="33">
        <v>0.95333332500000001</v>
      </c>
      <c r="I243" s="31">
        <v>0.95725805000000008</v>
      </c>
      <c r="J243" s="31">
        <v>0.97083332500000008</v>
      </c>
      <c r="K243" s="32">
        <v>0.96288818461538472</v>
      </c>
      <c r="M243" s="36">
        <v>539</v>
      </c>
      <c r="O243" s="30"/>
      <c r="P243" s="37" t="s">
        <v>10</v>
      </c>
    </row>
    <row r="244" spans="2:16" x14ac:dyDescent="0.25">
      <c r="B244" t="s">
        <v>77</v>
      </c>
      <c r="C244" t="s">
        <v>136</v>
      </c>
      <c r="D244" t="s">
        <v>13</v>
      </c>
      <c r="E244" s="6">
        <v>0.97916666666666674</v>
      </c>
      <c r="F244" t="s">
        <v>15</v>
      </c>
      <c r="G244"/>
      <c r="H244" s="33">
        <v>0.997916625</v>
      </c>
      <c r="I244" s="31">
        <v>0.98387093749999999</v>
      </c>
      <c r="J244" s="31">
        <v>1</v>
      </c>
      <c r="K244" s="32">
        <v>0.99381865728021979</v>
      </c>
      <c r="M244" s="36">
        <v>429</v>
      </c>
      <c r="O244" s="30"/>
      <c r="P244" s="37" t="s">
        <v>10</v>
      </c>
    </row>
    <row r="245" spans="2:16" x14ac:dyDescent="0.25">
      <c r="B245" t="s">
        <v>77</v>
      </c>
      <c r="C245" t="s">
        <v>154</v>
      </c>
      <c r="D245" t="s">
        <v>19</v>
      </c>
      <c r="E245" s="6">
        <v>0.9747474747474747</v>
      </c>
      <c r="F245" t="s">
        <v>20</v>
      </c>
      <c r="G245"/>
      <c r="H245" s="33">
        <v>0.98703700000000005</v>
      </c>
      <c r="I245" s="31">
        <v>0.93189961111111108</v>
      </c>
      <c r="J245" s="31">
        <v>0.96913577777777782</v>
      </c>
      <c r="K245" s="32">
        <v>0.96456439133089134</v>
      </c>
      <c r="M245" s="36">
        <v>6309</v>
      </c>
      <c r="O245" s="29">
        <v>0.01</v>
      </c>
      <c r="P245" s="37">
        <v>6372.09</v>
      </c>
    </row>
    <row r="246" spans="2:16" x14ac:dyDescent="0.25">
      <c r="B246" t="s">
        <v>77</v>
      </c>
      <c r="C246" t="s">
        <v>154</v>
      </c>
      <c r="D246" t="s">
        <v>19</v>
      </c>
      <c r="E246" s="6">
        <v>0.9747474747474747</v>
      </c>
      <c r="F246" t="s">
        <v>15</v>
      </c>
      <c r="G246"/>
      <c r="H246" s="33">
        <v>1</v>
      </c>
      <c r="I246" s="31">
        <v>1</v>
      </c>
      <c r="J246" s="31">
        <v>1</v>
      </c>
      <c r="K246" s="32">
        <v>1</v>
      </c>
      <c r="M246" s="36">
        <v>7459</v>
      </c>
      <c r="O246" s="29">
        <v>2.5000000000000001E-2</v>
      </c>
      <c r="P246" s="37">
        <v>7645.4749999999995</v>
      </c>
    </row>
    <row r="247" spans="2:16" x14ac:dyDescent="0.25">
      <c r="B247" t="s">
        <v>77</v>
      </c>
      <c r="C247" t="s">
        <v>154</v>
      </c>
      <c r="D247" t="s">
        <v>21</v>
      </c>
      <c r="E247" s="6">
        <v>0.83333333333333326</v>
      </c>
      <c r="F247" t="s">
        <v>17</v>
      </c>
      <c r="G247"/>
      <c r="H247" s="33">
        <v>0.64814811111111104</v>
      </c>
      <c r="I247" s="31">
        <v>0.83870966666666669</v>
      </c>
      <c r="J247" s="31">
        <v>0.79629622222222229</v>
      </c>
      <c r="K247" s="32">
        <v>0.77809626007326005</v>
      </c>
      <c r="M247" s="36">
        <v>6799</v>
      </c>
      <c r="O247" s="30"/>
      <c r="P247" s="37" t="s">
        <v>10</v>
      </c>
    </row>
    <row r="248" spans="2:16" x14ac:dyDescent="0.25">
      <c r="B248" t="s">
        <v>77</v>
      </c>
      <c r="C248" t="s">
        <v>154</v>
      </c>
      <c r="D248" t="s">
        <v>21</v>
      </c>
      <c r="E248" s="6">
        <v>0.83333333333333326</v>
      </c>
      <c r="F248" t="s">
        <v>18</v>
      </c>
      <c r="G248"/>
      <c r="H248" s="33">
        <v>1</v>
      </c>
      <c r="I248" s="31">
        <v>1</v>
      </c>
      <c r="J248" s="31">
        <v>1</v>
      </c>
      <c r="K248" s="32">
        <v>1</v>
      </c>
      <c r="M248" s="36">
        <v>7999</v>
      </c>
      <c r="O248" s="30"/>
      <c r="P248" s="37" t="s">
        <v>10</v>
      </c>
    </row>
    <row r="249" spans="2:16" x14ac:dyDescent="0.25">
      <c r="B249" t="s">
        <v>77</v>
      </c>
      <c r="C249" t="s">
        <v>154</v>
      </c>
      <c r="D249" t="s">
        <v>13</v>
      </c>
      <c r="E249" s="6">
        <v>0.90416666666666656</v>
      </c>
      <c r="F249" t="s">
        <v>14</v>
      </c>
      <c r="G249"/>
      <c r="H249" s="33">
        <v>0.95000000000000007</v>
      </c>
      <c r="I249" s="31">
        <v>0.96002804347826087</v>
      </c>
      <c r="J249" s="31">
        <v>0.852657</v>
      </c>
      <c r="K249" s="32">
        <v>0.92908036311514575</v>
      </c>
      <c r="M249" s="36">
        <v>389</v>
      </c>
      <c r="O249" s="30"/>
      <c r="P249" s="37" t="s">
        <v>10</v>
      </c>
    </row>
    <row r="250" spans="2:16" x14ac:dyDescent="0.25">
      <c r="B250" t="s">
        <v>77</v>
      </c>
      <c r="C250" t="s">
        <v>154</v>
      </c>
      <c r="D250" t="s">
        <v>13</v>
      </c>
      <c r="E250" s="6">
        <v>0.90416666666666656</v>
      </c>
      <c r="F250" t="s">
        <v>15</v>
      </c>
      <c r="G250"/>
      <c r="H250" s="33">
        <v>0.97058823529411764</v>
      </c>
      <c r="I250" s="31">
        <v>0.97628082352941181</v>
      </c>
      <c r="J250" s="31">
        <v>0.973856205882353</v>
      </c>
      <c r="K250" s="32">
        <v>0.9754784738202974</v>
      </c>
      <c r="M250" s="36">
        <v>359</v>
      </c>
      <c r="O250" s="30"/>
      <c r="P250" s="37" t="s">
        <v>10</v>
      </c>
    </row>
    <row r="251" spans="2:16" x14ac:dyDescent="0.25">
      <c r="B251" t="s">
        <v>77</v>
      </c>
      <c r="C251" t="s">
        <v>187</v>
      </c>
      <c r="D251" t="s">
        <v>19</v>
      </c>
      <c r="E251" s="6">
        <v>0.98692810457516345</v>
      </c>
      <c r="F251" t="s">
        <v>20</v>
      </c>
      <c r="G251"/>
      <c r="H251" s="33">
        <v>0.9</v>
      </c>
      <c r="I251" s="31">
        <v>0.93778800000000007</v>
      </c>
      <c r="J251" s="31">
        <v>0.98412696428571422</v>
      </c>
      <c r="K251" s="32">
        <v>0.93918502511773938</v>
      </c>
      <c r="M251" s="36">
        <v>7299</v>
      </c>
      <c r="O251" s="29">
        <v>4.542162129534618E-2</v>
      </c>
      <c r="P251" s="37">
        <v>7630.5324138347323</v>
      </c>
    </row>
    <row r="252" spans="2:16" x14ac:dyDescent="0.25">
      <c r="B252" t="s">
        <v>77</v>
      </c>
      <c r="C252" t="s">
        <v>187</v>
      </c>
      <c r="D252" t="s">
        <v>19</v>
      </c>
      <c r="E252" s="6">
        <v>0.98692810457516345</v>
      </c>
      <c r="F252" t="s">
        <v>15</v>
      </c>
      <c r="G252"/>
      <c r="H252" s="33">
        <v>1</v>
      </c>
      <c r="I252" s="31">
        <v>1</v>
      </c>
      <c r="J252" s="31">
        <v>1</v>
      </c>
      <c r="K252" s="32">
        <v>1</v>
      </c>
      <c r="M252" s="36">
        <v>9429</v>
      </c>
      <c r="O252" s="29">
        <v>2.5000000000000001E-2</v>
      </c>
      <c r="P252" s="37">
        <v>9664.7249999999985</v>
      </c>
    </row>
    <row r="253" spans="2:16" x14ac:dyDescent="0.25">
      <c r="B253" t="s">
        <v>77</v>
      </c>
      <c r="C253" t="s">
        <v>187</v>
      </c>
      <c r="D253" t="s">
        <v>21</v>
      </c>
      <c r="E253" s="6">
        <v>0.85249042145593867</v>
      </c>
      <c r="F253" t="s">
        <v>22</v>
      </c>
      <c r="G253"/>
      <c r="H253" s="33">
        <v>0.91304347826086951</v>
      </c>
      <c r="I253" s="31">
        <v>0.90182326086956532</v>
      </c>
      <c r="J253" s="31">
        <v>0.84057969565217394</v>
      </c>
      <c r="K253" s="32">
        <v>0.88117741280458683</v>
      </c>
      <c r="M253" s="36">
        <v>8069</v>
      </c>
      <c r="O253" s="29">
        <v>-2.5000000000000001E-2</v>
      </c>
      <c r="P253" s="37">
        <v>7867.2749999999996</v>
      </c>
    </row>
    <row r="254" spans="2:16" x14ac:dyDescent="0.25">
      <c r="B254" t="s">
        <v>77</v>
      </c>
      <c r="C254" t="s">
        <v>187</v>
      </c>
      <c r="D254" t="s">
        <v>21</v>
      </c>
      <c r="E254" s="6">
        <v>0.85249042145593867</v>
      </c>
      <c r="F254" t="s">
        <v>23</v>
      </c>
      <c r="G254"/>
      <c r="H254" s="33">
        <v>0.83333333333333337</v>
      </c>
      <c r="I254" s="31">
        <v>0.83333333333333337</v>
      </c>
      <c r="J254" s="31">
        <v>0.89814799999999995</v>
      </c>
      <c r="K254" s="32">
        <v>0.86200031135531141</v>
      </c>
      <c r="M254" s="36">
        <v>8369</v>
      </c>
      <c r="O254" s="30"/>
      <c r="P254" s="37" t="s">
        <v>10</v>
      </c>
    </row>
    <row r="255" spans="2:16" x14ac:dyDescent="0.25">
      <c r="B255" t="s">
        <v>77</v>
      </c>
      <c r="C255" t="s">
        <v>187</v>
      </c>
      <c r="D255" t="s">
        <v>13</v>
      </c>
      <c r="E255" s="6">
        <v>0.98050682261208566</v>
      </c>
      <c r="F255" t="s">
        <v>14</v>
      </c>
      <c r="G255"/>
      <c r="H255" s="33">
        <v>0.98686866666666662</v>
      </c>
      <c r="I255" s="31">
        <v>0.98142715151515147</v>
      </c>
      <c r="J255" s="31">
        <v>0.98484848484848486</v>
      </c>
      <c r="K255" s="32">
        <v>0.98282874991674984</v>
      </c>
      <c r="M255" s="36">
        <v>549</v>
      </c>
      <c r="O255" s="30"/>
      <c r="P255" s="37" t="s">
        <v>10</v>
      </c>
    </row>
    <row r="256" spans="2:16" s="10" customFormat="1" x14ac:dyDescent="0.25">
      <c r="B256" t="s">
        <v>77</v>
      </c>
      <c r="C256" t="s">
        <v>187</v>
      </c>
      <c r="D256" t="s">
        <v>13</v>
      </c>
      <c r="E256" s="6">
        <v>0.98050682261208566</v>
      </c>
      <c r="F256" t="s">
        <v>15</v>
      </c>
      <c r="G256"/>
      <c r="H256" s="33">
        <v>0.97777775</v>
      </c>
      <c r="I256" s="31">
        <v>0.97580641666666657</v>
      </c>
      <c r="J256" s="31">
        <v>0.9745370000000001</v>
      </c>
      <c r="K256" s="32">
        <v>0.97607100457875451</v>
      </c>
      <c r="L256"/>
      <c r="M256" s="36">
        <v>449</v>
      </c>
      <c r="N256"/>
      <c r="O256" s="30"/>
      <c r="P256" s="37" t="s">
        <v>10</v>
      </c>
    </row>
    <row r="257" spans="2:16" x14ac:dyDescent="0.25">
      <c r="B257" t="s">
        <v>77</v>
      </c>
      <c r="C257" t="s">
        <v>208</v>
      </c>
      <c r="D257" t="s">
        <v>19</v>
      </c>
      <c r="E257" s="6">
        <v>0.77240143369175618</v>
      </c>
      <c r="F257" t="s">
        <v>20</v>
      </c>
      <c r="G257"/>
      <c r="H257" s="33">
        <v>0.8666666666666667</v>
      </c>
      <c r="I257" s="31">
        <v>0.89784945833333341</v>
      </c>
      <c r="J257" s="31">
        <v>0.72222220833333328</v>
      </c>
      <c r="K257" s="32">
        <v>0.82867493910256407</v>
      </c>
      <c r="M257" s="36">
        <v>6499</v>
      </c>
      <c r="O257" s="30"/>
      <c r="P257" s="37" t="s">
        <v>10</v>
      </c>
    </row>
    <row r="258" spans="2:16" s="10" customFormat="1" x14ac:dyDescent="0.25">
      <c r="B258" t="s">
        <v>77</v>
      </c>
      <c r="C258" t="s">
        <v>208</v>
      </c>
      <c r="D258" t="s">
        <v>19</v>
      </c>
      <c r="E258" s="6">
        <v>0.77240143369175618</v>
      </c>
      <c r="F258" t="s">
        <v>15</v>
      </c>
      <c r="G258"/>
      <c r="H258" s="33">
        <v>1</v>
      </c>
      <c r="I258" s="31">
        <v>1</v>
      </c>
      <c r="J258" s="31">
        <v>0.94444442857142863</v>
      </c>
      <c r="K258" s="32">
        <v>0.97542825745682893</v>
      </c>
      <c r="L258"/>
      <c r="M258" s="36">
        <v>6999</v>
      </c>
      <c r="N258"/>
      <c r="O258" s="30"/>
      <c r="P258" s="37" t="s">
        <v>10</v>
      </c>
    </row>
    <row r="259" spans="2:16" x14ac:dyDescent="0.25">
      <c r="B259" t="s">
        <v>77</v>
      </c>
      <c r="C259" t="s">
        <v>208</v>
      </c>
      <c r="D259" t="s">
        <v>13</v>
      </c>
      <c r="E259" s="6">
        <v>0.8940329218106996</v>
      </c>
      <c r="F259" t="s">
        <v>14</v>
      </c>
      <c r="G259"/>
      <c r="H259" s="33">
        <v>0.96036035135135134</v>
      </c>
      <c r="I259" s="31">
        <v>0.94158672972972979</v>
      </c>
      <c r="J259" s="31">
        <v>0.92042040540540537</v>
      </c>
      <c r="K259" s="32">
        <v>0.94378945322245311</v>
      </c>
      <c r="M259" s="36">
        <v>549</v>
      </c>
      <c r="O259" s="30"/>
      <c r="P259" s="37" t="s">
        <v>10</v>
      </c>
    </row>
    <row r="260" spans="2:16" x14ac:dyDescent="0.25">
      <c r="B260" t="s">
        <v>77</v>
      </c>
      <c r="C260" t="s">
        <v>208</v>
      </c>
      <c r="D260" t="s">
        <v>13</v>
      </c>
      <c r="E260" s="6">
        <v>0.8940329218106996</v>
      </c>
      <c r="F260" t="s">
        <v>15</v>
      </c>
      <c r="G260"/>
      <c r="H260" s="33">
        <v>0.91458331250000002</v>
      </c>
      <c r="I260" s="31">
        <v>0.90322575000000005</v>
      </c>
      <c r="J260" s="31">
        <v>0.83680549999999998</v>
      </c>
      <c r="K260" s="32">
        <v>0.88870636813186821</v>
      </c>
      <c r="M260" s="36">
        <v>419</v>
      </c>
      <c r="O260" s="30"/>
      <c r="P260" s="37" t="s">
        <v>10</v>
      </c>
    </row>
    <row r="261" spans="2:16" x14ac:dyDescent="0.25">
      <c r="B261" t="s">
        <v>77</v>
      </c>
      <c r="C261" t="s">
        <v>208</v>
      </c>
      <c r="D261" t="s">
        <v>13</v>
      </c>
      <c r="E261" s="6">
        <v>0.8940329218106996</v>
      </c>
      <c r="F261" t="s">
        <v>79</v>
      </c>
      <c r="G261"/>
      <c r="H261" s="33">
        <v>0.86666600000000005</v>
      </c>
      <c r="I261" s="31">
        <v>0.93548299999999995</v>
      </c>
      <c r="J261" s="31">
        <v>0.83333299999999999</v>
      </c>
      <c r="K261" s="32">
        <v>0.89106486813186825</v>
      </c>
      <c r="M261" s="36">
        <v>569</v>
      </c>
      <c r="O261" s="30"/>
      <c r="P261" s="37" t="s">
        <v>10</v>
      </c>
    </row>
    <row r="262" spans="2:16" x14ac:dyDescent="0.25">
      <c r="B262" t="s">
        <v>77</v>
      </c>
      <c r="C262" t="s">
        <v>209</v>
      </c>
      <c r="D262" t="s">
        <v>19</v>
      </c>
      <c r="E262" s="6">
        <v>0.95</v>
      </c>
      <c r="F262" t="s">
        <v>20</v>
      </c>
      <c r="G262"/>
      <c r="H262" s="33">
        <v>0.98124999999999996</v>
      </c>
      <c r="I262" s="31">
        <v>0.97782256249999999</v>
      </c>
      <c r="J262" s="31">
        <v>1</v>
      </c>
      <c r="K262" s="32">
        <v>0.98447203365384628</v>
      </c>
      <c r="M262" s="36">
        <v>8029</v>
      </c>
      <c r="O262" s="29">
        <v>0.05</v>
      </c>
      <c r="P262" s="37">
        <v>8430.4500000000007</v>
      </c>
    </row>
    <row r="263" spans="2:16" x14ac:dyDescent="0.25">
      <c r="B263" t="s">
        <v>77</v>
      </c>
      <c r="C263" t="s">
        <v>209</v>
      </c>
      <c r="D263" t="s">
        <v>19</v>
      </c>
      <c r="E263" s="6">
        <v>0.95</v>
      </c>
      <c r="F263" t="s">
        <v>15</v>
      </c>
      <c r="G263"/>
      <c r="H263" s="33">
        <v>0.97499999999999998</v>
      </c>
      <c r="I263" s="31">
        <v>0.95967725000000004</v>
      </c>
      <c r="J263" s="31">
        <v>0.75</v>
      </c>
      <c r="K263" s="32">
        <v>0.90277104120879115</v>
      </c>
      <c r="M263" s="36">
        <v>8969</v>
      </c>
      <c r="O263" s="30"/>
      <c r="P263" s="37" t="s">
        <v>10</v>
      </c>
    </row>
    <row r="264" spans="2:16" x14ac:dyDescent="0.25">
      <c r="B264" t="s">
        <v>77</v>
      </c>
      <c r="C264" t="s">
        <v>209</v>
      </c>
      <c r="D264" t="s">
        <v>13</v>
      </c>
      <c r="E264" s="6">
        <v>0.89950980392156854</v>
      </c>
      <c r="F264" t="s">
        <v>14</v>
      </c>
      <c r="G264"/>
      <c r="H264" s="33">
        <v>0.90833331250000005</v>
      </c>
      <c r="I264" s="31">
        <v>0.91935481249999995</v>
      </c>
      <c r="J264" s="31">
        <v>0.86284721875000003</v>
      </c>
      <c r="K264" s="32">
        <v>0.89661966483516475</v>
      </c>
      <c r="M264" s="36">
        <v>479</v>
      </c>
      <c r="O264" s="30"/>
      <c r="P264" s="37" t="s">
        <v>10</v>
      </c>
    </row>
    <row r="265" spans="2:16" x14ac:dyDescent="0.25">
      <c r="B265" t="s">
        <v>77</v>
      </c>
      <c r="C265" t="s">
        <v>209</v>
      </c>
      <c r="D265" t="s">
        <v>13</v>
      </c>
      <c r="E265" s="6">
        <v>0.89950980392156854</v>
      </c>
      <c r="F265" t="s">
        <v>15</v>
      </c>
      <c r="G265"/>
      <c r="H265" s="33">
        <v>0.99305554166666665</v>
      </c>
      <c r="I265" s="31">
        <v>0.969086</v>
      </c>
      <c r="J265" s="31">
        <v>0.94444441666666668</v>
      </c>
      <c r="K265" s="32">
        <v>0.97284597252747262</v>
      </c>
      <c r="M265" s="36">
        <v>439</v>
      </c>
      <c r="O265" s="30"/>
      <c r="P265" s="37" t="s">
        <v>10</v>
      </c>
    </row>
    <row r="266" spans="2:16" x14ac:dyDescent="0.25">
      <c r="B266" t="s">
        <v>77</v>
      </c>
      <c r="C266" t="s">
        <v>209</v>
      </c>
      <c r="D266" t="s">
        <v>13</v>
      </c>
      <c r="E266" s="6">
        <v>0.89950980392156854</v>
      </c>
      <c r="F266" t="s">
        <v>56</v>
      </c>
      <c r="G266"/>
      <c r="H266" s="33">
        <v>0.91666666666666663</v>
      </c>
      <c r="I266" s="31">
        <v>0.94623650000000004</v>
      </c>
      <c r="J266" s="31">
        <v>0.84259249999999997</v>
      </c>
      <c r="K266" s="32">
        <v>0.91121193956043955</v>
      </c>
      <c r="M266" s="36">
        <v>479</v>
      </c>
      <c r="O266" s="30"/>
      <c r="P266" s="37" t="s">
        <v>10</v>
      </c>
    </row>
    <row r="267" spans="2:16" x14ac:dyDescent="0.25">
      <c r="B267" t="s">
        <v>77</v>
      </c>
      <c r="C267" t="s">
        <v>209</v>
      </c>
      <c r="D267" t="s">
        <v>13</v>
      </c>
      <c r="E267" s="6">
        <v>0.89950980392156854</v>
      </c>
      <c r="F267" t="s">
        <v>55</v>
      </c>
      <c r="G267"/>
      <c r="H267" s="33">
        <v>1</v>
      </c>
      <c r="I267" s="31">
        <v>0.98387083333333336</v>
      </c>
      <c r="J267" s="31">
        <v>0.97222216666666661</v>
      </c>
      <c r="K267" s="32">
        <v>0.96583841575091567</v>
      </c>
      <c r="M267" s="36">
        <v>439</v>
      </c>
      <c r="O267" s="30"/>
      <c r="P267" s="37" t="s">
        <v>10</v>
      </c>
    </row>
    <row r="268" spans="2:16" x14ac:dyDescent="0.25">
      <c r="B268" t="s">
        <v>77</v>
      </c>
      <c r="C268" t="s">
        <v>220</v>
      </c>
      <c r="D268" t="s">
        <v>19</v>
      </c>
      <c r="E268" s="6">
        <v>0.84767025089605741</v>
      </c>
      <c r="F268" t="s">
        <v>20</v>
      </c>
      <c r="G268"/>
      <c r="H268" s="33">
        <v>0.87826086956521732</v>
      </c>
      <c r="I268" s="31">
        <v>0.80084147826086949</v>
      </c>
      <c r="J268" s="31">
        <v>0.83816421739130431</v>
      </c>
      <c r="K268" s="32">
        <v>0.83281745054945044</v>
      </c>
      <c r="M268" s="36">
        <v>7749</v>
      </c>
      <c r="O268" s="30"/>
      <c r="P268" s="37" t="s">
        <v>10</v>
      </c>
    </row>
    <row r="269" spans="2:16" x14ac:dyDescent="0.25">
      <c r="B269" t="s">
        <v>77</v>
      </c>
      <c r="C269" t="s">
        <v>220</v>
      </c>
      <c r="D269" t="s">
        <v>19</v>
      </c>
      <c r="E269" s="6">
        <v>0.84767025089605741</v>
      </c>
      <c r="F269" t="s">
        <v>15</v>
      </c>
      <c r="G269"/>
      <c r="H269" s="33">
        <v>0.8571428571428571</v>
      </c>
      <c r="I269" s="31">
        <v>0.8571428571428571</v>
      </c>
      <c r="J269" s="31">
        <v>0.8571428571428571</v>
      </c>
      <c r="K269" s="32">
        <v>0.8571428571428571</v>
      </c>
      <c r="M269" s="36">
        <v>8429</v>
      </c>
      <c r="O269" s="30"/>
      <c r="P269" s="37" t="s">
        <v>10</v>
      </c>
    </row>
    <row r="270" spans="2:16" x14ac:dyDescent="0.25">
      <c r="B270" t="s">
        <v>77</v>
      </c>
      <c r="C270" t="s">
        <v>220</v>
      </c>
      <c r="D270" t="s">
        <v>19</v>
      </c>
      <c r="E270" s="6">
        <v>0.84767025089605741</v>
      </c>
      <c r="F270" t="s">
        <v>31</v>
      </c>
      <c r="G270"/>
      <c r="H270" s="33">
        <v>1</v>
      </c>
      <c r="I270" s="31">
        <v>1</v>
      </c>
      <c r="J270" s="31">
        <v>1</v>
      </c>
      <c r="K270" s="32">
        <v>1</v>
      </c>
      <c r="M270" s="36">
        <v>8429</v>
      </c>
      <c r="O270" s="30"/>
      <c r="P270" s="37" t="s">
        <v>10</v>
      </c>
    </row>
    <row r="271" spans="2:16" x14ac:dyDescent="0.25">
      <c r="B271" t="s">
        <v>77</v>
      </c>
      <c r="C271" t="s">
        <v>220</v>
      </c>
      <c r="D271" t="s">
        <v>21</v>
      </c>
      <c r="E271" s="6">
        <v>1</v>
      </c>
      <c r="F271" t="s">
        <v>17</v>
      </c>
      <c r="G271"/>
      <c r="H271" s="33">
        <v>0.95652173913043481</v>
      </c>
      <c r="I271" s="31">
        <v>0.9691444347826087</v>
      </c>
      <c r="J271" s="31">
        <v>1</v>
      </c>
      <c r="K271" s="32">
        <v>0.97515527090301013</v>
      </c>
      <c r="M271" s="36">
        <v>8389</v>
      </c>
      <c r="O271" s="29">
        <v>2.5000000000000001E-2</v>
      </c>
      <c r="P271" s="37">
        <v>8598.7249999999985</v>
      </c>
    </row>
    <row r="272" spans="2:16" x14ac:dyDescent="0.25">
      <c r="B272" t="s">
        <v>77</v>
      </c>
      <c r="C272" t="s">
        <v>220</v>
      </c>
      <c r="D272" t="s">
        <v>21</v>
      </c>
      <c r="E272" s="6">
        <v>1</v>
      </c>
      <c r="F272" t="s">
        <v>18</v>
      </c>
      <c r="G272"/>
      <c r="H272" s="33">
        <v>1</v>
      </c>
      <c r="I272" s="31">
        <v>1</v>
      </c>
      <c r="J272" s="31">
        <v>1</v>
      </c>
      <c r="K272" s="32">
        <v>1</v>
      </c>
      <c r="M272" s="36">
        <v>8739</v>
      </c>
      <c r="O272" s="29">
        <v>2.5000000000000001E-2</v>
      </c>
      <c r="P272" s="37">
        <v>8957.4749999999985</v>
      </c>
    </row>
    <row r="273" spans="2:16" x14ac:dyDescent="0.25">
      <c r="B273" t="s">
        <v>77</v>
      </c>
      <c r="C273" t="s">
        <v>220</v>
      </c>
      <c r="D273" t="s">
        <v>13</v>
      </c>
      <c r="E273" s="6">
        <v>0.96161616161616159</v>
      </c>
      <c r="F273" t="s">
        <v>14</v>
      </c>
      <c r="G273"/>
      <c r="H273" s="33">
        <v>0.95315313513513511</v>
      </c>
      <c r="I273" s="31">
        <v>0.93461202702702695</v>
      </c>
      <c r="J273" s="31">
        <v>0.9654654594594595</v>
      </c>
      <c r="K273" s="32">
        <v>0.95337094594594607</v>
      </c>
      <c r="M273" s="36">
        <v>559</v>
      </c>
      <c r="O273" s="29">
        <v>2.5000000000000001E-2</v>
      </c>
      <c r="P273" s="37">
        <v>572.97499999999991</v>
      </c>
    </row>
    <row r="274" spans="2:16" x14ac:dyDescent="0.25">
      <c r="B274" t="s">
        <v>77</v>
      </c>
      <c r="C274" t="s">
        <v>220</v>
      </c>
      <c r="D274" t="s">
        <v>13</v>
      </c>
      <c r="E274" s="6">
        <v>0.96161616161616159</v>
      </c>
      <c r="F274" t="s">
        <v>15</v>
      </c>
      <c r="G274"/>
      <c r="H274" s="33">
        <v>0.92407405555555555</v>
      </c>
      <c r="I274" s="31">
        <v>0.91935483333333345</v>
      </c>
      <c r="J274" s="31">
        <v>0.95370366666666662</v>
      </c>
      <c r="K274" s="32">
        <v>0.93475604212454222</v>
      </c>
      <c r="M274" s="36">
        <v>429</v>
      </c>
      <c r="O274" s="29">
        <v>0.05</v>
      </c>
      <c r="P274" s="37">
        <v>450.45000000000005</v>
      </c>
    </row>
    <row r="275" spans="2:16" x14ac:dyDescent="0.25">
      <c r="B275" t="s">
        <v>77</v>
      </c>
      <c r="C275" t="s">
        <v>221</v>
      </c>
      <c r="D275" t="s">
        <v>51</v>
      </c>
      <c r="E275" s="6">
        <v>0.97960618846694791</v>
      </c>
      <c r="F275" t="s">
        <v>20</v>
      </c>
      <c r="G275"/>
      <c r="H275" s="33">
        <v>0.94444441666666668</v>
      </c>
      <c r="I275" s="31">
        <v>1</v>
      </c>
      <c r="J275" s="31">
        <v>1</v>
      </c>
      <c r="K275" s="32">
        <v>0.98168497252747244</v>
      </c>
      <c r="M275" s="36">
        <v>3058.1666666666665</v>
      </c>
      <c r="O275" s="29">
        <v>2.5000000000000001E-2</v>
      </c>
      <c r="P275" s="37">
        <v>3134.6208333333329</v>
      </c>
    </row>
    <row r="276" spans="2:16" x14ac:dyDescent="0.25">
      <c r="B276" t="s">
        <v>77</v>
      </c>
      <c r="C276" t="s">
        <v>221</v>
      </c>
      <c r="D276" t="s">
        <v>51</v>
      </c>
      <c r="E276" s="6">
        <v>0.97960618846694791</v>
      </c>
      <c r="F276" t="s">
        <v>34</v>
      </c>
      <c r="G276"/>
      <c r="H276" s="33">
        <v>0.97836254385964916</v>
      </c>
      <c r="I276" s="31">
        <v>0.97170343859649122</v>
      </c>
      <c r="J276" s="31">
        <v>0.97173487719298246</v>
      </c>
      <c r="K276" s="32">
        <v>0.97467747561210716</v>
      </c>
      <c r="M276" s="36">
        <v>4805.8421052631575</v>
      </c>
      <c r="O276" s="29">
        <v>2.5000000000000001E-2</v>
      </c>
      <c r="P276" s="37">
        <v>4925.9881578947361</v>
      </c>
    </row>
    <row r="277" spans="2:16" x14ac:dyDescent="0.25">
      <c r="B277" t="s">
        <v>77</v>
      </c>
      <c r="C277" t="s">
        <v>221</v>
      </c>
      <c r="D277" t="s">
        <v>51</v>
      </c>
      <c r="E277" s="6">
        <v>0.97960618846694791</v>
      </c>
      <c r="F277" t="s">
        <v>35</v>
      </c>
      <c r="G277"/>
      <c r="H277" s="33">
        <v>0.99523799999999996</v>
      </c>
      <c r="I277" s="31">
        <v>0.87096771428571429</v>
      </c>
      <c r="J277" s="31">
        <v>1</v>
      </c>
      <c r="K277" s="32">
        <v>0.95447405651491379</v>
      </c>
      <c r="M277" s="36">
        <v>3694.7142857142858</v>
      </c>
      <c r="O277" s="29">
        <v>2.5000000000000001E-2</v>
      </c>
      <c r="P277" s="37">
        <v>3787.0821428571426</v>
      </c>
    </row>
    <row r="278" spans="2:16" x14ac:dyDescent="0.25">
      <c r="B278" t="s">
        <v>77</v>
      </c>
      <c r="C278" t="s">
        <v>221</v>
      </c>
      <c r="D278" t="s">
        <v>51</v>
      </c>
      <c r="E278" s="6">
        <v>0.97960618846694791</v>
      </c>
      <c r="F278" t="s">
        <v>36</v>
      </c>
      <c r="G278"/>
      <c r="H278" s="33">
        <v>1</v>
      </c>
      <c r="I278" s="31">
        <v>1</v>
      </c>
      <c r="J278" s="31">
        <v>1</v>
      </c>
      <c r="K278" s="32">
        <v>1</v>
      </c>
      <c r="M278" s="36">
        <v>5879</v>
      </c>
      <c r="O278" s="29">
        <v>2.5000000000000001E-2</v>
      </c>
      <c r="P278" s="37">
        <v>6025.9749999999995</v>
      </c>
    </row>
    <row r="279" spans="2:16" x14ac:dyDescent="0.25">
      <c r="B279" t="s">
        <v>11</v>
      </c>
      <c r="C279" t="s">
        <v>12</v>
      </c>
      <c r="D279" t="s">
        <v>19</v>
      </c>
      <c r="E279" s="6">
        <v>0.81481481481481477</v>
      </c>
      <c r="F279" t="s">
        <v>20</v>
      </c>
      <c r="G279"/>
      <c r="H279" s="33">
        <v>0.82666664000000001</v>
      </c>
      <c r="I279" s="31">
        <v>0.86580639999999987</v>
      </c>
      <c r="J279" s="31">
        <v>0.79999992000000009</v>
      </c>
      <c r="K279" s="32">
        <v>0.83522213186813188</v>
      </c>
      <c r="M279" s="36">
        <v>5179</v>
      </c>
      <c r="O279" s="30"/>
      <c r="P279" s="37" t="s">
        <v>10</v>
      </c>
    </row>
    <row r="280" spans="2:16" x14ac:dyDescent="0.25">
      <c r="B280" t="s">
        <v>11</v>
      </c>
      <c r="C280" t="s">
        <v>12</v>
      </c>
      <c r="D280" t="s">
        <v>19</v>
      </c>
      <c r="E280" s="6">
        <v>0.81481481481481477</v>
      </c>
      <c r="F280" t="s">
        <v>15</v>
      </c>
      <c r="G280"/>
      <c r="H280" s="33">
        <v>1</v>
      </c>
      <c r="I280" s="31">
        <v>1</v>
      </c>
      <c r="J280" s="31">
        <v>1</v>
      </c>
      <c r="K280" s="32">
        <v>1</v>
      </c>
      <c r="M280" s="36">
        <v>6999</v>
      </c>
      <c r="O280" s="30"/>
      <c r="P280" s="37" t="s">
        <v>10</v>
      </c>
    </row>
    <row r="281" spans="2:16" x14ac:dyDescent="0.25">
      <c r="B281" t="s">
        <v>11</v>
      </c>
      <c r="C281" t="s">
        <v>12</v>
      </c>
      <c r="D281" t="s">
        <v>21</v>
      </c>
      <c r="E281" s="6">
        <v>0.60846560846560849</v>
      </c>
      <c r="F281" t="s">
        <v>22</v>
      </c>
      <c r="G281"/>
      <c r="H281" s="33">
        <v>0.74313723529411768</v>
      </c>
      <c r="I281" s="31">
        <v>0.67172670588235295</v>
      </c>
      <c r="J281" s="31">
        <v>0.69281041176470592</v>
      </c>
      <c r="K281" s="32">
        <v>0.70737188364576598</v>
      </c>
      <c r="M281" s="36">
        <v>6669</v>
      </c>
      <c r="O281" s="29">
        <v>-0.05</v>
      </c>
      <c r="P281" s="37">
        <v>6335.5499999999993</v>
      </c>
    </row>
    <row r="282" spans="2:16" x14ac:dyDescent="0.25">
      <c r="B282" t="s">
        <v>11</v>
      </c>
      <c r="C282" t="s">
        <v>12</v>
      </c>
      <c r="D282" t="s">
        <v>21</v>
      </c>
      <c r="E282" s="6">
        <v>0.60846560846560849</v>
      </c>
      <c r="F282" t="s">
        <v>23</v>
      </c>
      <c r="G282"/>
      <c r="H282" s="33">
        <v>0.05</v>
      </c>
      <c r="I282" s="31">
        <v>9.6773999999999999E-2</v>
      </c>
      <c r="J282" s="31">
        <v>0.25</v>
      </c>
      <c r="K282" s="32">
        <v>0.13186806593406594</v>
      </c>
      <c r="M282" s="36">
        <v>7179</v>
      </c>
      <c r="O282" s="29">
        <v>-2.5000000000000001E-2</v>
      </c>
      <c r="P282" s="37">
        <v>6999.5249999999996</v>
      </c>
    </row>
    <row r="283" spans="2:16" x14ac:dyDescent="0.25">
      <c r="B283" t="s">
        <v>11</v>
      </c>
      <c r="C283" t="s">
        <v>12</v>
      </c>
      <c r="D283" t="s">
        <v>13</v>
      </c>
      <c r="E283" s="6">
        <v>0.82539682539682535</v>
      </c>
      <c r="F283" t="s">
        <v>14</v>
      </c>
      <c r="G283"/>
      <c r="H283" s="33">
        <v>0.80350876315789466</v>
      </c>
      <c r="I283" s="31">
        <v>0.76655347368421045</v>
      </c>
      <c r="J283" s="31">
        <v>0.73830407894736838</v>
      </c>
      <c r="K283" s="32">
        <v>0.77082756275303632</v>
      </c>
      <c r="M283" s="8">
        <v>379</v>
      </c>
      <c r="O283" s="29"/>
      <c r="P283" s="37" t="s">
        <v>10</v>
      </c>
    </row>
    <row r="284" spans="2:16" x14ac:dyDescent="0.25">
      <c r="B284" t="s">
        <v>11</v>
      </c>
      <c r="C284" t="s">
        <v>12</v>
      </c>
      <c r="D284" t="s">
        <v>13</v>
      </c>
      <c r="E284" s="6">
        <v>0.82539682539682535</v>
      </c>
      <c r="F284" t="s">
        <v>15</v>
      </c>
      <c r="G284"/>
      <c r="H284" s="33">
        <v>0.87066664000000005</v>
      </c>
      <c r="I284" s="31">
        <v>0.91483868000000002</v>
      </c>
      <c r="J284" s="31">
        <v>0.88695651999999991</v>
      </c>
      <c r="K284" s="32">
        <v>0.87965598593406602</v>
      </c>
      <c r="M284" s="36">
        <v>319</v>
      </c>
      <c r="O284" s="30"/>
      <c r="P284" s="37" t="s">
        <v>10</v>
      </c>
    </row>
    <row r="285" spans="2:16" x14ac:dyDescent="0.25">
      <c r="B285" t="s">
        <v>11</v>
      </c>
      <c r="C285" t="s">
        <v>12</v>
      </c>
      <c r="D285" t="s">
        <v>16</v>
      </c>
      <c r="E285" s="6">
        <v>0.92777777777777781</v>
      </c>
      <c r="F285" t="s">
        <v>17</v>
      </c>
      <c r="G285"/>
      <c r="H285" s="33">
        <v>1</v>
      </c>
      <c r="I285" s="31">
        <v>0.9677418333333333</v>
      </c>
      <c r="J285" s="31">
        <v>0.90740733333333334</v>
      </c>
      <c r="K285" s="32">
        <v>0.9531772179487179</v>
      </c>
      <c r="M285" s="36">
        <v>389</v>
      </c>
      <c r="O285" s="30"/>
      <c r="P285" s="37" t="s">
        <v>10</v>
      </c>
    </row>
    <row r="286" spans="2:16" x14ac:dyDescent="0.25">
      <c r="B286" t="s">
        <v>11</v>
      </c>
      <c r="C286" t="s">
        <v>12</v>
      </c>
      <c r="D286" t="s">
        <v>16</v>
      </c>
      <c r="E286" s="6">
        <v>0.92777777777777781</v>
      </c>
      <c r="F286" t="s">
        <v>18</v>
      </c>
      <c r="G286"/>
      <c r="H286" s="33">
        <v>1</v>
      </c>
      <c r="I286" s="31">
        <v>1</v>
      </c>
      <c r="J286" s="31">
        <v>0.95833325000000003</v>
      </c>
      <c r="K286" s="32">
        <v>0.98924986263736259</v>
      </c>
      <c r="M286" s="36">
        <v>319</v>
      </c>
      <c r="O286" s="30"/>
      <c r="P286" s="37" t="s">
        <v>10</v>
      </c>
    </row>
    <row r="287" spans="2:16" x14ac:dyDescent="0.25">
      <c r="B287" t="s">
        <v>11</v>
      </c>
      <c r="C287" t="s">
        <v>12</v>
      </c>
      <c r="D287" t="s">
        <v>24</v>
      </c>
      <c r="E287" s="6">
        <v>0.71367521367521369</v>
      </c>
      <c r="F287" t="s">
        <v>25</v>
      </c>
      <c r="G287"/>
      <c r="H287" s="33">
        <v>0.80862534782513951</v>
      </c>
      <c r="I287" s="31">
        <v>0.76426796153846155</v>
      </c>
      <c r="J287" s="31">
        <v>0.71367519230769227</v>
      </c>
      <c r="K287" s="32">
        <v>0.7598983868552337</v>
      </c>
      <c r="M287" s="36">
        <v>2959</v>
      </c>
      <c r="O287" s="29">
        <v>-0.05</v>
      </c>
      <c r="P287" s="37">
        <v>2811.0499999999997</v>
      </c>
    </row>
    <row r="288" spans="2:16" x14ac:dyDescent="0.25">
      <c r="B288" t="s">
        <v>11</v>
      </c>
      <c r="C288" t="s">
        <v>86</v>
      </c>
      <c r="D288" t="s">
        <v>19</v>
      </c>
      <c r="E288" s="6">
        <v>0.98888888888888893</v>
      </c>
      <c r="F288" t="s">
        <v>87</v>
      </c>
      <c r="G288"/>
      <c r="H288" s="33">
        <v>0.875</v>
      </c>
      <c r="I288" s="31">
        <v>0.86290312499999999</v>
      </c>
      <c r="J288" s="31">
        <v>0.95833325000000003</v>
      </c>
      <c r="K288" s="32">
        <v>0.90133774038461534</v>
      </c>
      <c r="M288" s="36">
        <v>6669</v>
      </c>
      <c r="O288" s="30"/>
      <c r="P288" s="37" t="s">
        <v>10</v>
      </c>
    </row>
    <row r="289" spans="2:16" x14ac:dyDescent="0.25">
      <c r="B289" t="s">
        <v>11</v>
      </c>
      <c r="C289" t="s">
        <v>86</v>
      </c>
      <c r="D289" t="s">
        <v>19</v>
      </c>
      <c r="E289" s="6">
        <v>0.98888888888888893</v>
      </c>
      <c r="F289" t="s">
        <v>20</v>
      </c>
      <c r="G289"/>
      <c r="H289" s="33">
        <v>0.97777772222222226</v>
      </c>
      <c r="I289" s="31">
        <v>0.97849461111111102</v>
      </c>
      <c r="J289" s="31">
        <v>1</v>
      </c>
      <c r="K289" s="32">
        <v>0.98534796275946279</v>
      </c>
      <c r="M289" s="36">
        <v>5819</v>
      </c>
      <c r="O289" s="29">
        <v>2.5000000000000001E-2</v>
      </c>
      <c r="P289" s="37">
        <v>5964.4749999999995</v>
      </c>
    </row>
    <row r="290" spans="2:16" x14ac:dyDescent="0.25">
      <c r="B290" t="s">
        <v>11</v>
      </c>
      <c r="C290" t="s">
        <v>86</v>
      </c>
      <c r="D290" t="s">
        <v>19</v>
      </c>
      <c r="E290" s="6">
        <v>0.98888888888888893</v>
      </c>
      <c r="F290" t="s">
        <v>31</v>
      </c>
      <c r="G290"/>
      <c r="H290" s="33">
        <v>1</v>
      </c>
      <c r="I290" s="31">
        <v>1</v>
      </c>
      <c r="J290" s="31">
        <v>1</v>
      </c>
      <c r="K290" s="32">
        <v>1</v>
      </c>
      <c r="M290" s="36">
        <v>6579</v>
      </c>
      <c r="O290" s="29">
        <v>2.5000000000000001E-2</v>
      </c>
      <c r="P290" s="37">
        <v>6743.4749999999995</v>
      </c>
    </row>
    <row r="291" spans="2:16" x14ac:dyDescent="0.25">
      <c r="B291" t="s">
        <v>11</v>
      </c>
      <c r="C291" t="s">
        <v>86</v>
      </c>
      <c r="D291" t="s">
        <v>21</v>
      </c>
      <c r="E291" s="6">
        <v>1</v>
      </c>
      <c r="F291" t="s">
        <v>38</v>
      </c>
      <c r="G291"/>
      <c r="H291" s="33">
        <v>1</v>
      </c>
      <c r="I291" s="31">
        <v>1</v>
      </c>
      <c r="J291" s="31">
        <v>1</v>
      </c>
      <c r="K291" s="32">
        <v>1</v>
      </c>
      <c r="M291" s="36">
        <v>8359</v>
      </c>
      <c r="O291" s="29">
        <v>2.5000000000000001E-2</v>
      </c>
      <c r="P291" s="37">
        <v>8567.9749999999985</v>
      </c>
    </row>
    <row r="292" spans="2:16" x14ac:dyDescent="0.25">
      <c r="B292" t="s">
        <v>11</v>
      </c>
      <c r="C292" t="s">
        <v>86</v>
      </c>
      <c r="D292" t="s">
        <v>21</v>
      </c>
      <c r="E292" s="6">
        <v>1</v>
      </c>
      <c r="F292" t="s">
        <v>88</v>
      </c>
      <c r="G292"/>
      <c r="H292" s="33">
        <v>1</v>
      </c>
      <c r="I292" s="31">
        <v>1</v>
      </c>
      <c r="J292" s="31">
        <v>1</v>
      </c>
      <c r="K292" s="32">
        <v>1</v>
      </c>
      <c r="M292" s="36">
        <v>9099</v>
      </c>
      <c r="O292" s="29">
        <v>2.5000000000000001E-2</v>
      </c>
      <c r="P292" s="37">
        <v>9326.4749999999985</v>
      </c>
    </row>
    <row r="293" spans="2:16" x14ac:dyDescent="0.25">
      <c r="B293" t="s">
        <v>11</v>
      </c>
      <c r="C293" t="s">
        <v>86</v>
      </c>
      <c r="D293" t="s">
        <v>13</v>
      </c>
      <c r="E293" s="6">
        <v>0.96045197740112986</v>
      </c>
      <c r="F293" t="s">
        <v>14</v>
      </c>
      <c r="G293"/>
      <c r="H293" s="33">
        <v>0.93423421621621616</v>
      </c>
      <c r="I293" s="31">
        <v>0.94158672972972979</v>
      </c>
      <c r="J293" s="31">
        <v>0.98198197297297307</v>
      </c>
      <c r="K293" s="32">
        <v>0.95183428244728252</v>
      </c>
      <c r="M293" s="36">
        <v>319</v>
      </c>
      <c r="O293" s="29">
        <v>0.05</v>
      </c>
      <c r="P293" s="37">
        <v>334.95</v>
      </c>
    </row>
    <row r="294" spans="2:16" x14ac:dyDescent="0.25">
      <c r="B294" t="s">
        <v>11</v>
      </c>
      <c r="C294" t="s">
        <v>86</v>
      </c>
      <c r="D294" t="s">
        <v>13</v>
      </c>
      <c r="E294" s="6">
        <v>0.96045197740112986</v>
      </c>
      <c r="F294" t="s">
        <v>15</v>
      </c>
      <c r="G294"/>
      <c r="H294" s="33">
        <v>0.89848481818181825</v>
      </c>
      <c r="I294" s="31">
        <v>0.93695013636363633</v>
      </c>
      <c r="J294" s="31">
        <v>0.92424240909090905</v>
      </c>
      <c r="K294" s="32">
        <v>0.91769099050949066</v>
      </c>
      <c r="M294" s="36">
        <v>309</v>
      </c>
      <c r="O294" s="29">
        <v>5.7926829268292686E-2</v>
      </c>
      <c r="P294" s="37">
        <v>326.89939024390242</v>
      </c>
    </row>
    <row r="295" spans="2:16" x14ac:dyDescent="0.25">
      <c r="B295" t="s">
        <v>11</v>
      </c>
      <c r="C295" t="s">
        <v>92</v>
      </c>
      <c r="D295" t="s">
        <v>19</v>
      </c>
      <c r="E295" s="6">
        <v>0.99786324786324776</v>
      </c>
      <c r="F295" t="s">
        <v>20</v>
      </c>
      <c r="G295"/>
      <c r="H295" s="33">
        <v>0.91333330000000001</v>
      </c>
      <c r="I295" s="31">
        <v>0.95</v>
      </c>
      <c r="J295" s="31">
        <v>0.99710980343479527</v>
      </c>
      <c r="K295" s="32">
        <v>0.95303945334442197</v>
      </c>
      <c r="M295" s="36">
        <v>5462.1578947368425</v>
      </c>
      <c r="O295" s="29">
        <v>2.5000000000000001E-2</v>
      </c>
      <c r="P295" s="37">
        <v>5598.7118421052628</v>
      </c>
    </row>
    <row r="296" spans="2:16" x14ac:dyDescent="0.25">
      <c r="B296" t="s">
        <v>11</v>
      </c>
      <c r="C296" t="s">
        <v>92</v>
      </c>
      <c r="D296" t="s">
        <v>19</v>
      </c>
      <c r="E296" s="6">
        <v>0.99786324786324776</v>
      </c>
      <c r="F296" t="s">
        <v>49</v>
      </c>
      <c r="G296"/>
      <c r="H296" s="33">
        <v>1</v>
      </c>
      <c r="I296" s="31">
        <v>1</v>
      </c>
      <c r="J296" s="31">
        <v>1</v>
      </c>
      <c r="K296" s="32">
        <v>1</v>
      </c>
      <c r="M296" s="36">
        <v>7053.2857142857147</v>
      </c>
      <c r="O296" s="29">
        <v>2.5000000000000001E-2</v>
      </c>
      <c r="P296" s="37">
        <v>7229.6178571428572</v>
      </c>
    </row>
    <row r="297" spans="2:16" x14ac:dyDescent="0.25">
      <c r="B297" t="s">
        <v>11</v>
      </c>
      <c r="C297" t="s">
        <v>92</v>
      </c>
      <c r="D297" t="s">
        <v>13</v>
      </c>
      <c r="E297" s="6">
        <v>0.90949820788530455</v>
      </c>
      <c r="F297" t="s">
        <v>56</v>
      </c>
      <c r="G297"/>
      <c r="H297" s="33">
        <v>0.54285714285714282</v>
      </c>
      <c r="I297" s="31">
        <v>0.80184328571428576</v>
      </c>
      <c r="J297" s="31">
        <v>0.55555542857142859</v>
      </c>
      <c r="K297" s="32">
        <v>0.62821647252747259</v>
      </c>
      <c r="M297" s="36">
        <v>449</v>
      </c>
      <c r="O297" s="30"/>
      <c r="P297" s="37" t="s">
        <v>10</v>
      </c>
    </row>
    <row r="298" spans="2:16" x14ac:dyDescent="0.25">
      <c r="B298" t="s">
        <v>11</v>
      </c>
      <c r="C298" t="s">
        <v>92</v>
      </c>
      <c r="D298" t="s">
        <v>13</v>
      </c>
      <c r="E298" s="6">
        <v>0.90949820788530455</v>
      </c>
      <c r="F298" t="s">
        <v>15</v>
      </c>
      <c r="G298"/>
      <c r="H298" s="33">
        <v>0.9777777692307692</v>
      </c>
      <c r="I298" s="31">
        <v>0.96029774358974351</v>
      </c>
      <c r="J298" s="31">
        <v>0.96438746153846155</v>
      </c>
      <c r="K298" s="32">
        <v>0.96996090504367438</v>
      </c>
      <c r="M298" s="36">
        <v>329</v>
      </c>
      <c r="O298" s="30"/>
      <c r="P298" s="37" t="s">
        <v>10</v>
      </c>
    </row>
    <row r="299" spans="2:16" x14ac:dyDescent="0.25">
      <c r="B299" t="s">
        <v>11</v>
      </c>
      <c r="C299" t="s">
        <v>92</v>
      </c>
      <c r="D299" t="s">
        <v>13</v>
      </c>
      <c r="E299" s="6">
        <v>0.90949820788530455</v>
      </c>
      <c r="F299" t="s">
        <v>14</v>
      </c>
      <c r="G299"/>
      <c r="H299" s="33">
        <v>0.6666666</v>
      </c>
      <c r="I299" s="31">
        <v>0.8419354</v>
      </c>
      <c r="J299" s="31">
        <v>0.92777770000000004</v>
      </c>
      <c r="K299" s="32">
        <v>0.81763012527472534</v>
      </c>
      <c r="M299" s="36">
        <v>339</v>
      </c>
      <c r="O299" s="30"/>
      <c r="P299" s="37" t="s">
        <v>10</v>
      </c>
    </row>
    <row r="300" spans="2:16" x14ac:dyDescent="0.25">
      <c r="B300" t="s">
        <v>11</v>
      </c>
      <c r="C300" t="s">
        <v>92</v>
      </c>
      <c r="D300" t="s">
        <v>13</v>
      </c>
      <c r="E300" s="6">
        <v>0.90949820788530455</v>
      </c>
      <c r="F300" t="s">
        <v>45</v>
      </c>
      <c r="G300"/>
      <c r="H300" s="33">
        <v>0.71666666666666667</v>
      </c>
      <c r="I300" s="31">
        <v>0.82258049999999994</v>
      </c>
      <c r="J300" s="31">
        <v>0.93518516666666673</v>
      </c>
      <c r="K300" s="32">
        <v>0.81509786263736261</v>
      </c>
      <c r="M300" s="36">
        <v>339</v>
      </c>
      <c r="O300" s="30"/>
      <c r="P300" s="37" t="s">
        <v>10</v>
      </c>
    </row>
    <row r="301" spans="2:16" x14ac:dyDescent="0.25">
      <c r="B301" t="s">
        <v>11</v>
      </c>
      <c r="C301" t="s">
        <v>143</v>
      </c>
      <c r="D301" t="s">
        <v>19</v>
      </c>
      <c r="E301" s="6">
        <v>0.94444444444444442</v>
      </c>
      <c r="F301" t="s">
        <v>87</v>
      </c>
      <c r="G301"/>
      <c r="H301" s="33">
        <v>0.99583325</v>
      </c>
      <c r="I301" s="31">
        <v>0.875</v>
      </c>
      <c r="J301" s="31">
        <v>0.84722212500000005</v>
      </c>
      <c r="K301" s="32">
        <v>0.89870993131868127</v>
      </c>
      <c r="M301" s="36">
        <v>6569</v>
      </c>
      <c r="O301" s="30"/>
      <c r="P301" s="37" t="s">
        <v>10</v>
      </c>
    </row>
    <row r="302" spans="2:16" x14ac:dyDescent="0.25">
      <c r="B302" t="s">
        <v>11</v>
      </c>
      <c r="C302" t="s">
        <v>143</v>
      </c>
      <c r="D302" t="s">
        <v>19</v>
      </c>
      <c r="E302" s="6">
        <v>0.94444444444444442</v>
      </c>
      <c r="F302" t="s">
        <v>20</v>
      </c>
      <c r="G302"/>
      <c r="H302" s="33">
        <v>0.98148144444444441</v>
      </c>
      <c r="I302" s="31">
        <v>0.97132611111111111</v>
      </c>
      <c r="J302" s="31">
        <v>0.97530855555555562</v>
      </c>
      <c r="K302" s="32">
        <v>0.9737749755799755</v>
      </c>
      <c r="M302" s="36">
        <v>5969</v>
      </c>
      <c r="O302" s="29">
        <v>2.5000000000000001E-2</v>
      </c>
      <c r="P302" s="37">
        <v>6118.2249999999995</v>
      </c>
    </row>
    <row r="303" spans="2:16" x14ac:dyDescent="0.25">
      <c r="B303" t="s">
        <v>11</v>
      </c>
      <c r="C303" t="s">
        <v>143</v>
      </c>
      <c r="D303" t="s">
        <v>19</v>
      </c>
      <c r="E303" s="6">
        <v>0.94444444444444442</v>
      </c>
      <c r="F303" t="s">
        <v>31</v>
      </c>
      <c r="G303"/>
      <c r="H303" s="33">
        <v>1</v>
      </c>
      <c r="I303" s="31">
        <v>1</v>
      </c>
      <c r="J303" s="31">
        <v>1</v>
      </c>
      <c r="K303" s="32">
        <v>1</v>
      </c>
      <c r="M303" s="36">
        <v>6129</v>
      </c>
      <c r="O303" s="29">
        <v>0.05</v>
      </c>
      <c r="P303" s="37">
        <v>6435.45</v>
      </c>
    </row>
    <row r="304" spans="2:16" x14ac:dyDescent="0.25">
      <c r="B304" t="s">
        <v>11</v>
      </c>
      <c r="C304" t="s">
        <v>143</v>
      </c>
      <c r="D304" t="s">
        <v>13</v>
      </c>
      <c r="E304" s="6">
        <v>0.84444444444444444</v>
      </c>
      <c r="F304" t="s">
        <v>14</v>
      </c>
      <c r="G304"/>
      <c r="H304" s="33">
        <v>0.83602150000000008</v>
      </c>
      <c r="I304" s="31">
        <v>0.69614983870967739</v>
      </c>
      <c r="J304" s="31">
        <v>0.82526880645161294</v>
      </c>
      <c r="K304" s="32">
        <v>0.78532897022332515</v>
      </c>
      <c r="M304" s="36">
        <v>399</v>
      </c>
      <c r="O304" s="30"/>
      <c r="P304" s="37" t="s">
        <v>10</v>
      </c>
    </row>
    <row r="305" spans="2:16" x14ac:dyDescent="0.25">
      <c r="B305" t="s">
        <v>11</v>
      </c>
      <c r="C305" t="s">
        <v>143</v>
      </c>
      <c r="D305" t="s">
        <v>13</v>
      </c>
      <c r="E305" s="6">
        <v>0.84444444444444444</v>
      </c>
      <c r="F305" t="s">
        <v>15</v>
      </c>
      <c r="G305"/>
      <c r="H305" s="33">
        <v>0.95833325000000003</v>
      </c>
      <c r="I305" s="31">
        <v>0.94354837499999999</v>
      </c>
      <c r="J305" s="31">
        <v>0.99305549999999998</v>
      </c>
      <c r="K305" s="32">
        <v>0.9652412184065936</v>
      </c>
      <c r="M305" s="36">
        <v>349</v>
      </c>
      <c r="O305" s="30"/>
      <c r="P305" s="37" t="s">
        <v>10</v>
      </c>
    </row>
    <row r="306" spans="2:16" x14ac:dyDescent="0.25">
      <c r="B306" t="s">
        <v>11</v>
      </c>
      <c r="C306" t="s">
        <v>144</v>
      </c>
      <c r="D306" t="s">
        <v>19</v>
      </c>
      <c r="E306" s="6">
        <v>0.98484848484848486</v>
      </c>
      <c r="F306" t="s">
        <v>20</v>
      </c>
      <c r="G306"/>
      <c r="H306" s="33">
        <v>1</v>
      </c>
      <c r="I306" s="31">
        <v>0.97580640000000007</v>
      </c>
      <c r="J306" s="31">
        <v>0.98333329999999997</v>
      </c>
      <c r="K306" s="32">
        <v>0.98745816923076912</v>
      </c>
      <c r="M306" s="36">
        <v>5509</v>
      </c>
      <c r="O306" s="29">
        <v>2.5000000000000001E-2</v>
      </c>
      <c r="P306" s="37">
        <v>5646.7249999999995</v>
      </c>
    </row>
    <row r="307" spans="2:16" x14ac:dyDescent="0.25">
      <c r="B307" t="s">
        <v>11</v>
      </c>
      <c r="C307" t="s">
        <v>144</v>
      </c>
      <c r="D307" t="s">
        <v>19</v>
      </c>
      <c r="E307" s="6">
        <v>0.98484848484848486</v>
      </c>
      <c r="F307" t="s">
        <v>15</v>
      </c>
      <c r="G307"/>
      <c r="H307" s="33">
        <v>1</v>
      </c>
      <c r="I307" s="31">
        <v>1</v>
      </c>
      <c r="J307" s="31">
        <v>1</v>
      </c>
      <c r="K307" s="32">
        <v>1</v>
      </c>
      <c r="M307" s="36">
        <v>5809</v>
      </c>
      <c r="O307" s="29">
        <v>0.05</v>
      </c>
      <c r="P307" s="37">
        <v>6099.45</v>
      </c>
    </row>
    <row r="308" spans="2:16" x14ac:dyDescent="0.25">
      <c r="B308" t="s">
        <v>11</v>
      </c>
      <c r="C308" t="s">
        <v>144</v>
      </c>
      <c r="D308" t="s">
        <v>21</v>
      </c>
      <c r="E308" s="6">
        <v>0.95502645502645511</v>
      </c>
      <c r="F308" t="s">
        <v>22</v>
      </c>
      <c r="G308"/>
      <c r="H308" s="33">
        <v>0.9907407222222222</v>
      </c>
      <c r="I308" s="31">
        <v>0.98387094444444445</v>
      </c>
      <c r="J308" s="31">
        <v>0.94753083333333321</v>
      </c>
      <c r="K308" s="32">
        <v>0.97791577960927945</v>
      </c>
      <c r="M308" s="36">
        <v>7669</v>
      </c>
      <c r="O308" s="29">
        <v>2.5000000000000001E-2</v>
      </c>
      <c r="P308" s="37">
        <v>7860.7249999999995</v>
      </c>
    </row>
    <row r="309" spans="2:16" x14ac:dyDescent="0.25">
      <c r="B309" t="s">
        <v>11</v>
      </c>
      <c r="C309" t="s">
        <v>144</v>
      </c>
      <c r="D309" t="s">
        <v>21</v>
      </c>
      <c r="E309" s="6">
        <v>0.95502645502645511</v>
      </c>
      <c r="F309" t="s">
        <v>23</v>
      </c>
      <c r="G309"/>
      <c r="H309" s="33">
        <v>1</v>
      </c>
      <c r="I309" s="31">
        <v>1</v>
      </c>
      <c r="J309" s="31">
        <v>1</v>
      </c>
      <c r="K309" s="32">
        <v>1</v>
      </c>
      <c r="M309" s="36">
        <v>9689</v>
      </c>
      <c r="O309" s="29">
        <v>2.5000000000000001E-2</v>
      </c>
      <c r="P309" s="37">
        <v>9931.2249999999985</v>
      </c>
    </row>
    <row r="310" spans="2:16" x14ac:dyDescent="0.25">
      <c r="B310" t="s">
        <v>11</v>
      </c>
      <c r="C310" t="s">
        <v>144</v>
      </c>
      <c r="D310" t="s">
        <v>13</v>
      </c>
      <c r="E310" s="6">
        <v>0.8737373737373737</v>
      </c>
      <c r="F310" t="s">
        <v>79</v>
      </c>
      <c r="G310"/>
      <c r="H310" s="33">
        <v>0.98333300000000001</v>
      </c>
      <c r="I310" s="31">
        <v>0.98387049999999998</v>
      </c>
      <c r="J310" s="31">
        <v>1</v>
      </c>
      <c r="K310" s="32">
        <v>0.98901071978021982</v>
      </c>
      <c r="M310" s="36">
        <v>399</v>
      </c>
      <c r="O310" s="30"/>
      <c r="P310" s="37" t="s">
        <v>10</v>
      </c>
    </row>
    <row r="311" spans="2:16" x14ac:dyDescent="0.25">
      <c r="B311" t="s">
        <v>11</v>
      </c>
      <c r="C311" t="s">
        <v>144</v>
      </c>
      <c r="D311" t="s">
        <v>13</v>
      </c>
      <c r="E311" s="6">
        <v>0.8737373737373737</v>
      </c>
      <c r="F311" t="s">
        <v>15</v>
      </c>
      <c r="G311"/>
      <c r="H311" s="33">
        <v>0.87988505172413789</v>
      </c>
      <c r="I311" s="31">
        <v>0.87764181034482758</v>
      </c>
      <c r="J311" s="31">
        <v>0.86111110344827579</v>
      </c>
      <c r="K311" s="32">
        <v>0.86904623626373623</v>
      </c>
      <c r="M311" s="36">
        <v>319</v>
      </c>
      <c r="O311" s="30"/>
      <c r="P311" s="37" t="s">
        <v>10</v>
      </c>
    </row>
    <row r="312" spans="2:16" x14ac:dyDescent="0.25">
      <c r="B312" t="s">
        <v>11</v>
      </c>
      <c r="C312" t="s">
        <v>144</v>
      </c>
      <c r="D312" t="s">
        <v>13</v>
      </c>
      <c r="E312" s="6">
        <v>0.8737373737373737</v>
      </c>
      <c r="F312" t="s">
        <v>14</v>
      </c>
      <c r="G312"/>
      <c r="H312" s="33">
        <v>0.89411764705882346</v>
      </c>
      <c r="I312" s="31">
        <v>0.86337758823529409</v>
      </c>
      <c r="J312" s="31">
        <v>0.90196076470588238</v>
      </c>
      <c r="K312" s="32">
        <v>0.88145356755009718</v>
      </c>
      <c r="M312" s="36">
        <v>389</v>
      </c>
      <c r="O312" s="30"/>
      <c r="P312" s="37" t="s">
        <v>10</v>
      </c>
    </row>
    <row r="313" spans="2:16" x14ac:dyDescent="0.25">
      <c r="B313" t="s">
        <v>11</v>
      </c>
      <c r="C313" t="s">
        <v>144</v>
      </c>
      <c r="D313" t="s">
        <v>16</v>
      </c>
      <c r="E313" s="6">
        <v>0.95</v>
      </c>
      <c r="F313" t="s">
        <v>17</v>
      </c>
      <c r="G313"/>
      <c r="H313" s="33">
        <v>1</v>
      </c>
      <c r="I313" s="31">
        <v>1</v>
      </c>
      <c r="J313" s="31">
        <v>0.91666666666666663</v>
      </c>
      <c r="K313" s="32">
        <v>0.96655516483516479</v>
      </c>
      <c r="M313" s="36">
        <v>479</v>
      </c>
      <c r="O313" s="30"/>
      <c r="P313" s="37" t="s">
        <v>10</v>
      </c>
    </row>
    <row r="314" spans="2:16" x14ac:dyDescent="0.25">
      <c r="B314" t="s">
        <v>11</v>
      </c>
      <c r="C314" t="s">
        <v>144</v>
      </c>
      <c r="D314" t="s">
        <v>16</v>
      </c>
      <c r="E314" s="6">
        <v>0.95</v>
      </c>
      <c r="F314" t="s">
        <v>18</v>
      </c>
      <c r="G314"/>
      <c r="H314" s="33">
        <v>0.82499999999999996</v>
      </c>
      <c r="I314" s="31">
        <v>1</v>
      </c>
      <c r="J314" s="31">
        <v>1</v>
      </c>
      <c r="K314" s="32">
        <v>0.94230769230769229</v>
      </c>
      <c r="M314" s="36">
        <v>429</v>
      </c>
      <c r="O314" s="30"/>
      <c r="P314" s="37" t="s">
        <v>10</v>
      </c>
    </row>
    <row r="315" spans="2:16" x14ac:dyDescent="0.25">
      <c r="B315" t="s">
        <v>11</v>
      </c>
      <c r="C315" t="s">
        <v>144</v>
      </c>
      <c r="D315" t="s">
        <v>24</v>
      </c>
      <c r="E315" s="6">
        <v>0.9242424242424242</v>
      </c>
      <c r="F315" t="s">
        <v>80</v>
      </c>
      <c r="G315"/>
      <c r="H315" s="33">
        <v>0.84545454545454557</v>
      </c>
      <c r="I315" s="31">
        <v>0.86803518181818184</v>
      </c>
      <c r="J315" s="31">
        <v>0.8484848181818182</v>
      </c>
      <c r="K315" s="32">
        <v>0.85914085614385616</v>
      </c>
      <c r="M315" s="36">
        <v>2959</v>
      </c>
      <c r="O315" s="29">
        <v>1.8935347209430901E-2</v>
      </c>
      <c r="P315" s="37">
        <v>3015.0296923927062</v>
      </c>
    </row>
    <row r="316" spans="2:16" x14ac:dyDescent="0.25">
      <c r="B316" t="s">
        <v>11</v>
      </c>
      <c r="C316" t="s">
        <v>144</v>
      </c>
      <c r="D316" t="s">
        <v>24</v>
      </c>
      <c r="E316" s="6">
        <v>0.9242424242424242</v>
      </c>
      <c r="F316" t="s">
        <v>145</v>
      </c>
      <c r="G316"/>
      <c r="H316" s="33">
        <v>1</v>
      </c>
      <c r="I316" s="31">
        <v>1</v>
      </c>
      <c r="J316" s="31">
        <v>1</v>
      </c>
      <c r="K316" s="32">
        <v>1</v>
      </c>
      <c r="M316" s="36">
        <v>3059</v>
      </c>
      <c r="O316" s="30"/>
      <c r="P316" s="37" t="s">
        <v>10</v>
      </c>
    </row>
    <row r="317" spans="2:16" x14ac:dyDescent="0.25">
      <c r="B317" t="s">
        <v>11</v>
      </c>
      <c r="C317" t="s">
        <v>144</v>
      </c>
      <c r="D317" t="s">
        <v>24</v>
      </c>
      <c r="E317" s="6">
        <v>0.9242424242424242</v>
      </c>
      <c r="F317" t="s">
        <v>146</v>
      </c>
      <c r="G317"/>
      <c r="H317" s="33">
        <v>1</v>
      </c>
      <c r="I317" s="31">
        <v>1</v>
      </c>
      <c r="J317" s="31">
        <v>1</v>
      </c>
      <c r="K317" s="32">
        <v>1</v>
      </c>
      <c r="M317" s="36">
        <v>3219</v>
      </c>
      <c r="O317" s="30"/>
      <c r="P317" s="37" t="s">
        <v>10</v>
      </c>
    </row>
    <row r="318" spans="2:16" x14ac:dyDescent="0.25">
      <c r="B318" t="s">
        <v>11</v>
      </c>
      <c r="C318" t="s">
        <v>148</v>
      </c>
      <c r="D318" t="s">
        <v>19</v>
      </c>
      <c r="E318" s="6">
        <v>0.98039215686274517</v>
      </c>
      <c r="F318" t="s">
        <v>20</v>
      </c>
      <c r="G318"/>
      <c r="H318" s="33">
        <v>0.96190475000000009</v>
      </c>
      <c r="I318" s="31">
        <v>0.9124423928571429</v>
      </c>
      <c r="J318" s="31">
        <v>0.97619046428571432</v>
      </c>
      <c r="K318" s="32">
        <v>0.95147087401883823</v>
      </c>
      <c r="M318" s="36">
        <v>5519</v>
      </c>
      <c r="O318" s="29">
        <v>4.1643084996912938E-2</v>
      </c>
      <c r="P318" s="37">
        <v>5748.8281860979623</v>
      </c>
    </row>
    <row r="319" spans="2:16" x14ac:dyDescent="0.25">
      <c r="B319" t="s">
        <v>11</v>
      </c>
      <c r="C319" t="s">
        <v>148</v>
      </c>
      <c r="D319" t="s">
        <v>19</v>
      </c>
      <c r="E319" s="6">
        <v>0.98039215686274517</v>
      </c>
      <c r="F319" t="s">
        <v>15</v>
      </c>
      <c r="G319"/>
      <c r="H319" s="33">
        <v>1</v>
      </c>
      <c r="I319" s="31">
        <v>1</v>
      </c>
      <c r="J319" s="31">
        <v>1</v>
      </c>
      <c r="K319" s="32">
        <v>1</v>
      </c>
      <c r="M319" s="36">
        <v>6059</v>
      </c>
      <c r="O319" s="29">
        <v>2.5000000000000001E-2</v>
      </c>
      <c r="P319" s="37">
        <v>6210.4749999999995</v>
      </c>
    </row>
    <row r="320" spans="2:16" x14ac:dyDescent="0.25">
      <c r="B320" t="s">
        <v>11</v>
      </c>
      <c r="C320" t="s">
        <v>148</v>
      </c>
      <c r="D320" t="s">
        <v>21</v>
      </c>
      <c r="E320" s="6">
        <v>0.97883597883597895</v>
      </c>
      <c r="F320" t="s">
        <v>22</v>
      </c>
      <c r="G320"/>
      <c r="H320" s="33">
        <v>0.93499995000000014</v>
      </c>
      <c r="I320" s="31">
        <v>0.96935479999999996</v>
      </c>
      <c r="J320" s="31">
        <v>0.97777774999999989</v>
      </c>
      <c r="K320" s="32">
        <v>0.95809837142857146</v>
      </c>
      <c r="M320" s="36">
        <v>8189</v>
      </c>
      <c r="O320" s="29">
        <v>0.01</v>
      </c>
      <c r="P320" s="37">
        <v>8270.89</v>
      </c>
    </row>
    <row r="321" spans="2:16" x14ac:dyDescent="0.25">
      <c r="B321" t="s">
        <v>11</v>
      </c>
      <c r="C321" t="s">
        <v>148</v>
      </c>
      <c r="D321" t="s">
        <v>21</v>
      </c>
      <c r="E321" s="6">
        <v>0.97883597883597895</v>
      </c>
      <c r="F321" t="s">
        <v>23</v>
      </c>
      <c r="G321"/>
      <c r="H321" s="33">
        <v>1</v>
      </c>
      <c r="I321" s="31">
        <v>1</v>
      </c>
      <c r="J321" s="31">
        <v>1</v>
      </c>
      <c r="K321" s="32">
        <v>1</v>
      </c>
      <c r="M321" s="36">
        <v>9349</v>
      </c>
      <c r="O321" s="29">
        <v>2.5000000000000001E-2</v>
      </c>
      <c r="P321" s="37">
        <v>9582.7249999999985</v>
      </c>
    </row>
    <row r="322" spans="2:16" s="10" customFormat="1" x14ac:dyDescent="0.25">
      <c r="B322" t="s">
        <v>11</v>
      </c>
      <c r="C322" t="s">
        <v>148</v>
      </c>
      <c r="D322" t="s">
        <v>13</v>
      </c>
      <c r="E322" s="6">
        <v>0.91256830601092898</v>
      </c>
      <c r="F322" t="s">
        <v>15</v>
      </c>
      <c r="G322"/>
      <c r="H322" s="33">
        <v>0.98461538461538467</v>
      </c>
      <c r="I322" s="31">
        <v>0.97022330769230769</v>
      </c>
      <c r="J322" s="31">
        <v>0.97222219230769236</v>
      </c>
      <c r="K322" s="32">
        <v>0.97651511665257817</v>
      </c>
      <c r="L322"/>
      <c r="M322" s="36">
        <v>359</v>
      </c>
      <c r="N322"/>
      <c r="O322" s="29">
        <v>6.2663185378590072E-2</v>
      </c>
      <c r="P322" s="37">
        <v>381.49608355091385</v>
      </c>
    </row>
    <row r="323" spans="2:16" x14ac:dyDescent="0.25">
      <c r="B323" t="s">
        <v>11</v>
      </c>
      <c r="C323" t="s">
        <v>148</v>
      </c>
      <c r="D323" t="s">
        <v>13</v>
      </c>
      <c r="E323" s="6">
        <v>0.91256830601092898</v>
      </c>
      <c r="F323" t="s">
        <v>14</v>
      </c>
      <c r="G323"/>
      <c r="H323" s="33">
        <v>0.84571428571428575</v>
      </c>
      <c r="I323" s="31">
        <v>0.81105988571428567</v>
      </c>
      <c r="J323" s="31">
        <v>0.86825394285714286</v>
      </c>
      <c r="K323" s="32">
        <v>0.84750527974882262</v>
      </c>
      <c r="M323" s="36">
        <v>449</v>
      </c>
      <c r="O323" s="30"/>
      <c r="P323" s="37" t="s">
        <v>10</v>
      </c>
    </row>
    <row r="324" spans="2:16" x14ac:dyDescent="0.25">
      <c r="B324" t="s">
        <v>11</v>
      </c>
      <c r="C324" t="s">
        <v>148</v>
      </c>
      <c r="D324" t="s">
        <v>16</v>
      </c>
      <c r="E324" s="6">
        <v>0.76111111111111107</v>
      </c>
      <c r="F324" t="s">
        <v>17</v>
      </c>
      <c r="G324"/>
      <c r="H324" s="33">
        <v>0.8833333333333333</v>
      </c>
      <c r="I324" s="31">
        <v>0.7473116666666666</v>
      </c>
      <c r="J324" s="31">
        <v>0.97222216666666661</v>
      </c>
      <c r="K324" s="32">
        <v>0.85156864468864457</v>
      </c>
      <c r="M324" s="36">
        <v>469</v>
      </c>
      <c r="O324" s="30"/>
      <c r="P324" s="37" t="s">
        <v>10</v>
      </c>
    </row>
    <row r="325" spans="2:16" x14ac:dyDescent="0.25">
      <c r="B325" t="s">
        <v>11</v>
      </c>
      <c r="C325" t="s">
        <v>148</v>
      </c>
      <c r="D325" t="s">
        <v>16</v>
      </c>
      <c r="E325" s="6">
        <v>0.76111111111111107</v>
      </c>
      <c r="F325" t="s">
        <v>18</v>
      </c>
      <c r="G325"/>
      <c r="H325" s="33">
        <v>0.22500000000000001</v>
      </c>
      <c r="I325" s="31">
        <v>0.16129025</v>
      </c>
      <c r="J325" s="31">
        <v>0.44444424999999999</v>
      </c>
      <c r="K325" s="32">
        <v>0.2796224478021978</v>
      </c>
      <c r="M325" s="36">
        <v>359</v>
      </c>
      <c r="O325" s="30"/>
      <c r="P325" s="37" t="s">
        <v>10</v>
      </c>
    </row>
    <row r="326" spans="2:16" x14ac:dyDescent="0.25">
      <c r="B326" t="s">
        <v>11</v>
      </c>
      <c r="C326" t="s">
        <v>148</v>
      </c>
      <c r="D326" t="s">
        <v>24</v>
      </c>
      <c r="E326" s="6">
        <v>0.98379629629629628</v>
      </c>
      <c r="F326" t="s">
        <v>84</v>
      </c>
      <c r="G326"/>
      <c r="H326" s="33">
        <v>0.97777775</v>
      </c>
      <c r="I326" s="31">
        <v>0.99731179166666672</v>
      </c>
      <c r="J326" s="31">
        <v>0.98379629166666671</v>
      </c>
      <c r="K326" s="32">
        <v>0.98757761584249082</v>
      </c>
      <c r="M326" s="36">
        <v>3779</v>
      </c>
      <c r="O326" s="29">
        <v>2.5000000000000001E-2</v>
      </c>
      <c r="P326" s="37">
        <v>3873.4749999999995</v>
      </c>
    </row>
    <row r="327" spans="2:16" x14ac:dyDescent="0.25">
      <c r="B327" t="s">
        <v>11</v>
      </c>
      <c r="C327" t="s">
        <v>149</v>
      </c>
      <c r="D327" t="s">
        <v>19</v>
      </c>
      <c r="E327" s="6">
        <v>0.93333333333333335</v>
      </c>
      <c r="F327" t="s">
        <v>30</v>
      </c>
      <c r="G327"/>
      <c r="H327" s="33">
        <v>0.99583325</v>
      </c>
      <c r="I327" s="31">
        <v>1</v>
      </c>
      <c r="J327" s="31">
        <v>1</v>
      </c>
      <c r="K327" s="32">
        <v>0.99862634615384627</v>
      </c>
      <c r="M327" s="36">
        <v>7069</v>
      </c>
      <c r="O327" s="29">
        <v>2.5000000000000001E-2</v>
      </c>
      <c r="P327" s="37">
        <v>7245.7249999999995</v>
      </c>
    </row>
    <row r="328" spans="2:16" x14ac:dyDescent="0.25">
      <c r="B328" t="s">
        <v>11</v>
      </c>
      <c r="C328" t="s">
        <v>149</v>
      </c>
      <c r="D328" t="s">
        <v>19</v>
      </c>
      <c r="E328" s="6">
        <v>0.93333333333333335</v>
      </c>
      <c r="F328" t="s">
        <v>20</v>
      </c>
      <c r="G328"/>
      <c r="H328" s="33">
        <v>0.92857135714285721</v>
      </c>
      <c r="I328" s="31">
        <v>0.86866356204739725</v>
      </c>
      <c r="J328" s="31">
        <v>0.8571428571428571</v>
      </c>
      <c r="K328" s="32">
        <v>0.8928059157590138</v>
      </c>
      <c r="M328" s="36">
        <v>5849</v>
      </c>
      <c r="O328" s="30"/>
      <c r="P328" s="37" t="s">
        <v>10</v>
      </c>
    </row>
    <row r="329" spans="2:16" x14ac:dyDescent="0.25">
      <c r="B329" t="s">
        <v>11</v>
      </c>
      <c r="C329" t="s">
        <v>149</v>
      </c>
      <c r="D329" t="s">
        <v>19</v>
      </c>
      <c r="E329" s="6">
        <v>0.93333333333333335</v>
      </c>
      <c r="F329" t="s">
        <v>150</v>
      </c>
      <c r="G329"/>
      <c r="H329" s="33">
        <v>1</v>
      </c>
      <c r="I329" s="31">
        <v>1</v>
      </c>
      <c r="J329" s="31">
        <v>1</v>
      </c>
      <c r="K329" s="32">
        <v>1</v>
      </c>
      <c r="M329" s="36">
        <v>7169</v>
      </c>
      <c r="O329" s="29">
        <v>2.5000000000000001E-2</v>
      </c>
      <c r="P329" s="37">
        <v>7348.2249999999995</v>
      </c>
    </row>
    <row r="330" spans="2:16" x14ac:dyDescent="0.25">
      <c r="B330" t="s">
        <v>11</v>
      </c>
      <c r="C330" t="s">
        <v>149</v>
      </c>
      <c r="D330" t="s">
        <v>19</v>
      </c>
      <c r="E330" s="6">
        <v>0.93333333333333335</v>
      </c>
      <c r="F330" t="s">
        <v>31</v>
      </c>
      <c r="G330"/>
      <c r="H330" s="33">
        <v>1</v>
      </c>
      <c r="I330" s="31">
        <v>1</v>
      </c>
      <c r="J330" s="31">
        <v>1</v>
      </c>
      <c r="K330" s="32">
        <v>1</v>
      </c>
      <c r="M330" s="36">
        <v>5839</v>
      </c>
      <c r="O330" s="29">
        <v>2.5000000000000001E-2</v>
      </c>
      <c r="P330" s="37">
        <v>5984.9749999999995</v>
      </c>
    </row>
    <row r="331" spans="2:16" x14ac:dyDescent="0.25">
      <c r="B331" t="s">
        <v>11</v>
      </c>
      <c r="C331" t="s">
        <v>149</v>
      </c>
      <c r="D331" t="s">
        <v>21</v>
      </c>
      <c r="E331" s="6">
        <v>1</v>
      </c>
      <c r="F331" t="s">
        <v>38</v>
      </c>
      <c r="G331"/>
      <c r="H331" s="33">
        <v>1</v>
      </c>
      <c r="I331" s="31">
        <v>1</v>
      </c>
      <c r="J331" s="31">
        <v>1</v>
      </c>
      <c r="K331" s="32">
        <v>1</v>
      </c>
      <c r="M331" s="36">
        <v>7899</v>
      </c>
      <c r="O331" s="29">
        <v>2.5000000000000001E-2</v>
      </c>
      <c r="P331" s="37">
        <v>8096.4749999999995</v>
      </c>
    </row>
    <row r="332" spans="2:16" x14ac:dyDescent="0.25">
      <c r="B332" t="s">
        <v>11</v>
      </c>
      <c r="C332" t="s">
        <v>149</v>
      </c>
      <c r="D332" t="s">
        <v>21</v>
      </c>
      <c r="E332" s="6">
        <v>1</v>
      </c>
      <c r="F332" t="s">
        <v>88</v>
      </c>
      <c r="G332"/>
      <c r="H332" s="33">
        <v>1</v>
      </c>
      <c r="I332" s="31">
        <v>1</v>
      </c>
      <c r="J332" s="31">
        <v>1</v>
      </c>
      <c r="K332" s="32">
        <v>1</v>
      </c>
      <c r="M332" s="36">
        <v>8669</v>
      </c>
      <c r="O332" s="29">
        <v>2.5000000000000001E-2</v>
      </c>
      <c r="P332" s="37">
        <v>8885.7249999999985</v>
      </c>
    </row>
    <row r="333" spans="2:16" x14ac:dyDescent="0.25">
      <c r="B333" t="s">
        <v>11</v>
      </c>
      <c r="C333" t="s">
        <v>149</v>
      </c>
      <c r="D333" t="s">
        <v>13</v>
      </c>
      <c r="E333" s="6">
        <v>0.67500000000000004</v>
      </c>
      <c r="F333" t="s">
        <v>14</v>
      </c>
      <c r="G333"/>
      <c r="H333" s="33">
        <v>0.56203702777777775</v>
      </c>
      <c r="I333" s="31">
        <v>0.73745519444444452</v>
      </c>
      <c r="J333" s="31">
        <v>0.59413577777777782</v>
      </c>
      <c r="K333" s="32">
        <v>0.63797313400488387</v>
      </c>
      <c r="M333" s="36">
        <v>419</v>
      </c>
      <c r="O333" s="30"/>
      <c r="P333" s="37" t="s">
        <v>10</v>
      </c>
    </row>
    <row r="334" spans="2:16" x14ac:dyDescent="0.25">
      <c r="B334" t="s">
        <v>11</v>
      </c>
      <c r="C334" t="s">
        <v>149</v>
      </c>
      <c r="D334" t="s">
        <v>13</v>
      </c>
      <c r="E334" s="6">
        <v>0.67500000000000004</v>
      </c>
      <c r="F334" t="s">
        <v>79</v>
      </c>
      <c r="G334"/>
      <c r="H334" s="33">
        <v>0.39444433333333334</v>
      </c>
      <c r="I334" s="31">
        <v>0.59677416666666672</v>
      </c>
      <c r="J334" s="31">
        <v>0.18518516666666665</v>
      </c>
      <c r="K334" s="32">
        <v>0.40500070512820513</v>
      </c>
      <c r="M334" s="36">
        <v>419</v>
      </c>
      <c r="O334" s="30"/>
      <c r="P334" s="37" t="s">
        <v>10</v>
      </c>
    </row>
    <row r="335" spans="2:16" x14ac:dyDescent="0.25">
      <c r="B335" t="s">
        <v>11</v>
      </c>
      <c r="C335" t="s">
        <v>149</v>
      </c>
      <c r="D335" t="s">
        <v>13</v>
      </c>
      <c r="E335" s="6">
        <v>0.67500000000000004</v>
      </c>
      <c r="F335" t="s">
        <v>15</v>
      </c>
      <c r="G335"/>
      <c r="H335" s="33">
        <v>0.98888888888888893</v>
      </c>
      <c r="I335" s="31">
        <v>0.9964157222222223</v>
      </c>
      <c r="J335" s="31">
        <v>1</v>
      </c>
      <c r="K335" s="32">
        <v>0.99511597863247858</v>
      </c>
      <c r="M335" s="36">
        <v>339</v>
      </c>
      <c r="O335" s="30"/>
      <c r="P335" s="37" t="s">
        <v>10</v>
      </c>
    </row>
    <row r="336" spans="2:16" x14ac:dyDescent="0.25">
      <c r="B336" t="s">
        <v>11</v>
      </c>
      <c r="C336" t="s">
        <v>151</v>
      </c>
      <c r="D336" t="s">
        <v>13</v>
      </c>
      <c r="E336" s="6">
        <v>0.92953929539295399</v>
      </c>
      <c r="F336" t="s">
        <v>14</v>
      </c>
      <c r="G336"/>
      <c r="H336" s="33">
        <v>0.49333333333333335</v>
      </c>
      <c r="I336" s="31">
        <v>0.53978493333333333</v>
      </c>
      <c r="J336" s="31">
        <v>0.82222220000000001</v>
      </c>
      <c r="K336" s="32">
        <v>0.63032328498168499</v>
      </c>
      <c r="M336" s="36">
        <v>399</v>
      </c>
      <c r="O336" s="30"/>
      <c r="P336" s="37" t="s">
        <v>10</v>
      </c>
    </row>
    <row r="337" spans="2:16" x14ac:dyDescent="0.25">
      <c r="B337" t="s">
        <v>11</v>
      </c>
      <c r="C337" t="s">
        <v>151</v>
      </c>
      <c r="D337" t="s">
        <v>13</v>
      </c>
      <c r="E337" s="6">
        <v>0.92953929539295399</v>
      </c>
      <c r="F337" t="s">
        <v>15</v>
      </c>
      <c r="G337"/>
      <c r="H337" s="33">
        <v>0.9551281923076923</v>
      </c>
      <c r="I337" s="31">
        <v>0.99379650000000008</v>
      </c>
      <c r="J337" s="31">
        <v>0.99145296153846152</v>
      </c>
      <c r="K337" s="32">
        <v>0.9808886513102284</v>
      </c>
      <c r="M337" s="36">
        <v>349</v>
      </c>
      <c r="O337" s="30"/>
      <c r="P337" s="37" t="s">
        <v>10</v>
      </c>
    </row>
    <row r="338" spans="2:16" x14ac:dyDescent="0.25">
      <c r="B338" t="s">
        <v>11</v>
      </c>
      <c r="C338" t="s">
        <v>151</v>
      </c>
      <c r="D338" t="s">
        <v>16</v>
      </c>
      <c r="E338" s="6">
        <v>0.97509578544061304</v>
      </c>
      <c r="F338" t="s">
        <v>18</v>
      </c>
      <c r="G338"/>
      <c r="H338" s="33">
        <v>0.98205126923076924</v>
      </c>
      <c r="I338" s="31">
        <v>0.97890815384615393</v>
      </c>
      <c r="J338" s="31">
        <v>0.97222219230769236</v>
      </c>
      <c r="K338" s="32">
        <v>0.97973094759087054</v>
      </c>
      <c r="M338" s="36">
        <v>369</v>
      </c>
      <c r="O338" s="30"/>
      <c r="P338" s="37" t="s">
        <v>10</v>
      </c>
    </row>
    <row r="339" spans="2:16" x14ac:dyDescent="0.25">
      <c r="B339" t="s">
        <v>11</v>
      </c>
      <c r="C339" t="s">
        <v>151</v>
      </c>
      <c r="D339" t="s">
        <v>16</v>
      </c>
      <c r="E339" s="6">
        <v>0.97509578544061304</v>
      </c>
      <c r="F339" t="s">
        <v>17</v>
      </c>
      <c r="G339"/>
      <c r="H339" s="33">
        <v>1</v>
      </c>
      <c r="I339" s="31">
        <v>1</v>
      </c>
      <c r="J339" s="31">
        <v>1</v>
      </c>
      <c r="K339" s="32">
        <v>1</v>
      </c>
      <c r="M339" s="36">
        <v>439</v>
      </c>
      <c r="O339" s="30"/>
      <c r="P339" s="37" t="s">
        <v>10</v>
      </c>
    </row>
    <row r="340" spans="2:16" x14ac:dyDescent="0.25">
      <c r="B340" t="s">
        <v>11</v>
      </c>
      <c r="C340" t="s">
        <v>156</v>
      </c>
      <c r="D340" t="s">
        <v>19</v>
      </c>
      <c r="E340" s="6">
        <v>0.94696969696969691</v>
      </c>
      <c r="F340" t="s">
        <v>20</v>
      </c>
      <c r="G340"/>
      <c r="H340" s="33">
        <v>1</v>
      </c>
      <c r="I340" s="31">
        <v>0.97849461111111102</v>
      </c>
      <c r="J340" s="31">
        <v>0.93518516666666662</v>
      </c>
      <c r="K340" s="32">
        <v>0.97197003235653234</v>
      </c>
      <c r="M340" s="36">
        <v>5454.5555555555557</v>
      </c>
      <c r="O340" s="29">
        <v>2.5000000000000001E-2</v>
      </c>
      <c r="P340" s="37">
        <v>5590.9194444444438</v>
      </c>
    </row>
    <row r="341" spans="2:16" x14ac:dyDescent="0.25">
      <c r="B341" t="s">
        <v>11</v>
      </c>
      <c r="C341" t="s">
        <v>156</v>
      </c>
      <c r="D341" t="s">
        <v>19</v>
      </c>
      <c r="E341" s="6">
        <v>0.94696969696969691</v>
      </c>
      <c r="F341" t="s">
        <v>15</v>
      </c>
      <c r="G341"/>
      <c r="H341" s="33">
        <v>1</v>
      </c>
      <c r="I341" s="31">
        <v>1</v>
      </c>
      <c r="J341" s="31">
        <v>1</v>
      </c>
      <c r="K341" s="32">
        <v>1</v>
      </c>
      <c r="M341" s="36">
        <v>5999</v>
      </c>
      <c r="O341" s="29">
        <v>2.5000000000000001E-2</v>
      </c>
      <c r="P341" s="37">
        <v>6148.9749999999995</v>
      </c>
    </row>
    <row r="342" spans="2:16" x14ac:dyDescent="0.25">
      <c r="B342" t="s">
        <v>11</v>
      </c>
      <c r="C342" t="s">
        <v>156</v>
      </c>
      <c r="D342" t="s">
        <v>21</v>
      </c>
      <c r="E342" s="6">
        <v>1</v>
      </c>
      <c r="F342" t="s">
        <v>17</v>
      </c>
      <c r="G342"/>
      <c r="H342" s="33">
        <v>0.91481477777777775</v>
      </c>
      <c r="I342" s="31">
        <v>1</v>
      </c>
      <c r="J342" s="31">
        <v>1</v>
      </c>
      <c r="K342" s="32">
        <v>0.97191695970695968</v>
      </c>
      <c r="M342" s="36">
        <v>8679</v>
      </c>
      <c r="O342" s="29">
        <v>2.5000000000000001E-2</v>
      </c>
      <c r="P342" s="37">
        <v>8895.9749999999985</v>
      </c>
    </row>
    <row r="343" spans="2:16" x14ac:dyDescent="0.25">
      <c r="B343" t="s">
        <v>11</v>
      </c>
      <c r="C343" t="s">
        <v>156</v>
      </c>
      <c r="D343" t="s">
        <v>21</v>
      </c>
      <c r="E343" s="6">
        <v>1</v>
      </c>
      <c r="F343" t="s">
        <v>18</v>
      </c>
      <c r="G343"/>
      <c r="H343" s="33">
        <v>1</v>
      </c>
      <c r="I343" s="31">
        <v>1</v>
      </c>
      <c r="J343" s="31">
        <v>1</v>
      </c>
      <c r="K343" s="32">
        <v>0.96416615384615389</v>
      </c>
      <c r="M343" s="36">
        <v>9759</v>
      </c>
      <c r="O343" s="29">
        <v>2.4E-2</v>
      </c>
      <c r="P343" s="37">
        <v>9993.2160000000003</v>
      </c>
    </row>
    <row r="344" spans="2:16" x14ac:dyDescent="0.25">
      <c r="B344" t="s">
        <v>11</v>
      </c>
      <c r="C344" t="s">
        <v>156</v>
      </c>
      <c r="D344" t="s">
        <v>13</v>
      </c>
      <c r="E344" s="6">
        <v>0.83905228758169936</v>
      </c>
      <c r="F344" t="s">
        <v>14</v>
      </c>
      <c r="G344"/>
      <c r="H344" s="33">
        <v>0.59743588461538466</v>
      </c>
      <c r="I344" s="31">
        <v>0.67617865384615383</v>
      </c>
      <c r="J344" s="31">
        <v>0.82051280769230772</v>
      </c>
      <c r="K344" s="32">
        <v>0.69633208579881667</v>
      </c>
      <c r="M344" s="36">
        <v>339</v>
      </c>
      <c r="O344" s="30"/>
      <c r="P344" s="37" t="s">
        <v>10</v>
      </c>
    </row>
    <row r="345" spans="2:16" x14ac:dyDescent="0.25">
      <c r="B345" t="s">
        <v>11</v>
      </c>
      <c r="C345" t="s">
        <v>156</v>
      </c>
      <c r="D345" t="s">
        <v>13</v>
      </c>
      <c r="E345" s="6">
        <v>0.83905228758169936</v>
      </c>
      <c r="F345" t="s">
        <v>15</v>
      </c>
      <c r="G345"/>
      <c r="H345" s="33">
        <v>0.8396825238095238</v>
      </c>
      <c r="I345" s="31">
        <v>0.76881719047619057</v>
      </c>
      <c r="J345" s="31">
        <v>0.85052909523809528</v>
      </c>
      <c r="K345" s="32">
        <v>0.81481354055468336</v>
      </c>
      <c r="M345" s="36">
        <v>289</v>
      </c>
      <c r="O345" s="30"/>
      <c r="P345" s="37" t="s">
        <v>10</v>
      </c>
    </row>
    <row r="346" spans="2:16" x14ac:dyDescent="0.25">
      <c r="B346" t="s">
        <v>11</v>
      </c>
      <c r="C346" t="s">
        <v>195</v>
      </c>
      <c r="D346" t="s">
        <v>19</v>
      </c>
      <c r="E346" s="6">
        <v>0.91582491582491576</v>
      </c>
      <c r="F346" t="s">
        <v>20</v>
      </c>
      <c r="G346"/>
      <c r="H346" s="33">
        <v>0.89848481818181825</v>
      </c>
      <c r="I346" s="31">
        <v>0.85777122727272725</v>
      </c>
      <c r="J346" s="31">
        <v>0.87373736363636378</v>
      </c>
      <c r="K346" s="32">
        <v>0.86986921428571418</v>
      </c>
      <c r="M346" s="36">
        <v>6916.727272727273</v>
      </c>
      <c r="O346" s="29">
        <v>0.01</v>
      </c>
      <c r="P346" s="37">
        <v>6985.8945454545456</v>
      </c>
    </row>
    <row r="347" spans="2:16" x14ac:dyDescent="0.25">
      <c r="B347" t="s">
        <v>11</v>
      </c>
      <c r="C347" t="s">
        <v>195</v>
      </c>
      <c r="D347" t="s">
        <v>19</v>
      </c>
      <c r="E347" s="6">
        <v>0.91582491582491576</v>
      </c>
      <c r="F347" t="s">
        <v>49</v>
      </c>
      <c r="G347"/>
      <c r="H347" s="33">
        <v>0.94444433333333333</v>
      </c>
      <c r="I347" s="31">
        <v>1</v>
      </c>
      <c r="J347" s="31">
        <v>1</v>
      </c>
      <c r="K347" s="32">
        <v>0.98168494505494508</v>
      </c>
      <c r="M347" s="36">
        <v>7729</v>
      </c>
      <c r="O347" s="29">
        <v>4.2999999999999997E-2</v>
      </c>
      <c r="P347" s="37">
        <v>8061.3469999999998</v>
      </c>
    </row>
    <row r="348" spans="2:16" x14ac:dyDescent="0.25">
      <c r="B348" t="s">
        <v>11</v>
      </c>
      <c r="C348" t="s">
        <v>195</v>
      </c>
      <c r="D348" t="s">
        <v>19</v>
      </c>
      <c r="E348" s="6">
        <v>0.91582491582491576</v>
      </c>
      <c r="F348" t="s">
        <v>34</v>
      </c>
      <c r="G348"/>
      <c r="H348" s="33">
        <v>1</v>
      </c>
      <c r="I348" s="31">
        <v>1</v>
      </c>
      <c r="J348" s="31">
        <v>1</v>
      </c>
      <c r="K348" s="32">
        <v>1</v>
      </c>
      <c r="M348" s="36">
        <v>8096.5</v>
      </c>
      <c r="O348" s="30"/>
      <c r="P348" s="37" t="s">
        <v>10</v>
      </c>
    </row>
    <row r="349" spans="2:16" x14ac:dyDescent="0.25">
      <c r="B349" t="s">
        <v>11</v>
      </c>
      <c r="C349" t="s">
        <v>195</v>
      </c>
      <c r="D349" t="s">
        <v>19</v>
      </c>
      <c r="E349" s="6">
        <v>0.91582491582491576</v>
      </c>
      <c r="F349" t="s">
        <v>15</v>
      </c>
      <c r="G349"/>
      <c r="H349" s="33">
        <v>1</v>
      </c>
      <c r="I349" s="31">
        <v>1</v>
      </c>
      <c r="J349" s="31">
        <v>1</v>
      </c>
      <c r="K349" s="32">
        <v>1</v>
      </c>
      <c r="M349" s="36">
        <v>7539</v>
      </c>
      <c r="O349" s="29">
        <v>4.2999999999999997E-2</v>
      </c>
      <c r="P349" s="37">
        <v>7863.1769999999997</v>
      </c>
    </row>
    <row r="350" spans="2:16" x14ac:dyDescent="0.25">
      <c r="B350" t="s">
        <v>11</v>
      </c>
      <c r="C350" t="s">
        <v>195</v>
      </c>
      <c r="D350" t="s">
        <v>21</v>
      </c>
      <c r="E350" s="6">
        <v>0.97509578544061304</v>
      </c>
      <c r="F350" t="s">
        <v>37</v>
      </c>
      <c r="G350"/>
      <c r="H350" s="33">
        <v>0.97681152173913044</v>
      </c>
      <c r="I350" s="31">
        <v>0.95652173913043481</v>
      </c>
      <c r="J350" s="31">
        <v>0.96859899999999999</v>
      </c>
      <c r="K350" s="32">
        <v>0.96944262302914475</v>
      </c>
      <c r="M350" s="36">
        <v>7730.304347826087</v>
      </c>
      <c r="O350" s="29">
        <v>2.5000000000000001E-2</v>
      </c>
      <c r="P350" s="37">
        <v>7923.5619565217385</v>
      </c>
    </row>
    <row r="351" spans="2:16" x14ac:dyDescent="0.25">
      <c r="B351" t="s">
        <v>11</v>
      </c>
      <c r="C351" t="s">
        <v>195</v>
      </c>
      <c r="D351" t="s">
        <v>21</v>
      </c>
      <c r="E351" s="6">
        <v>0.97509578544061304</v>
      </c>
      <c r="F351" t="s">
        <v>50</v>
      </c>
      <c r="G351"/>
      <c r="H351" s="33">
        <v>0.98333333333333339</v>
      </c>
      <c r="I351" s="31">
        <v>1</v>
      </c>
      <c r="J351" s="31">
        <v>1</v>
      </c>
      <c r="K351" s="32">
        <v>0.99450549450549453</v>
      </c>
      <c r="M351" s="36">
        <v>8024</v>
      </c>
      <c r="O351" s="29">
        <v>2.5000000000000001E-2</v>
      </c>
      <c r="P351" s="37">
        <v>8224.5999999999985</v>
      </c>
    </row>
    <row r="352" spans="2:16" x14ac:dyDescent="0.25">
      <c r="B352" t="s">
        <v>11</v>
      </c>
      <c r="C352" t="s">
        <v>195</v>
      </c>
      <c r="D352" t="s">
        <v>13</v>
      </c>
      <c r="E352" s="6">
        <v>0.92592592592592593</v>
      </c>
      <c r="F352" t="s">
        <v>14</v>
      </c>
      <c r="G352"/>
      <c r="H352" s="33">
        <v>0.86666663636363639</v>
      </c>
      <c r="I352" s="31">
        <v>0.93548381818181814</v>
      </c>
      <c r="J352" s="31">
        <v>0.98484845454545455</v>
      </c>
      <c r="K352" s="32">
        <v>0.92755066133866138</v>
      </c>
      <c r="M352" s="36">
        <v>349</v>
      </c>
      <c r="O352" s="29">
        <v>1.272984441301273E-2</v>
      </c>
      <c r="P352" s="37">
        <v>353.44271570014149</v>
      </c>
    </row>
    <row r="353" spans="2:16" x14ac:dyDescent="0.25">
      <c r="B353" t="s">
        <v>11</v>
      </c>
      <c r="C353" t="s">
        <v>195</v>
      </c>
      <c r="D353" t="s">
        <v>13</v>
      </c>
      <c r="E353" s="6">
        <v>0.92592592592592593</v>
      </c>
      <c r="F353" t="s">
        <v>15</v>
      </c>
      <c r="G353"/>
      <c r="H353" s="33">
        <v>0.73020831249999996</v>
      </c>
      <c r="I353" s="31">
        <v>0.88810481249999995</v>
      </c>
      <c r="J353" s="31">
        <v>0.89756943749999996</v>
      </c>
      <c r="K353" s="32">
        <v>0.83486619642857152</v>
      </c>
      <c r="M353" s="36">
        <v>319</v>
      </c>
      <c r="O353" s="29">
        <v>1.0085337470907681E-2</v>
      </c>
      <c r="P353" s="37">
        <v>322.21722265321961</v>
      </c>
    </row>
    <row r="354" spans="2:16" x14ac:dyDescent="0.25">
      <c r="B354" t="s">
        <v>11</v>
      </c>
      <c r="C354" t="s">
        <v>195</v>
      </c>
      <c r="D354" t="s">
        <v>13</v>
      </c>
      <c r="E354" s="6">
        <v>0.92592592592592593</v>
      </c>
      <c r="F354" t="s">
        <v>56</v>
      </c>
      <c r="G354"/>
      <c r="H354" s="33">
        <v>0.81515145454545457</v>
      </c>
      <c r="I354" s="31">
        <v>0.90322572727272721</v>
      </c>
      <c r="J354" s="31">
        <v>0.94949490909090917</v>
      </c>
      <c r="K354" s="32">
        <v>0.88524511788211779</v>
      </c>
      <c r="M354" s="36">
        <v>549</v>
      </c>
      <c r="O354" s="30"/>
      <c r="P354" s="37" t="s">
        <v>10</v>
      </c>
    </row>
    <row r="355" spans="2:16" x14ac:dyDescent="0.25">
      <c r="B355" t="s">
        <v>11</v>
      </c>
      <c r="C355" t="s">
        <v>195</v>
      </c>
      <c r="D355" t="s">
        <v>16</v>
      </c>
      <c r="E355" s="6">
        <v>1</v>
      </c>
      <c r="F355" t="s">
        <v>196</v>
      </c>
      <c r="G355"/>
      <c r="H355" s="33">
        <v>0.97083324999999998</v>
      </c>
      <c r="I355" s="31">
        <v>0.95967737500000005</v>
      </c>
      <c r="J355" s="31">
        <v>1</v>
      </c>
      <c r="K355" s="32">
        <v>0.96768984752747267</v>
      </c>
      <c r="M355" s="36">
        <v>369</v>
      </c>
      <c r="O355" s="30"/>
      <c r="P355" s="37" t="s">
        <v>10</v>
      </c>
    </row>
    <row r="356" spans="2:16" x14ac:dyDescent="0.25">
      <c r="B356" t="s">
        <v>11</v>
      </c>
      <c r="C356" t="s">
        <v>195</v>
      </c>
      <c r="D356" t="s">
        <v>16</v>
      </c>
      <c r="E356" s="6">
        <v>1</v>
      </c>
      <c r="F356" t="s">
        <v>88</v>
      </c>
      <c r="G356"/>
      <c r="H356" s="33">
        <v>0.95</v>
      </c>
      <c r="I356" s="31">
        <v>1</v>
      </c>
      <c r="J356" s="31">
        <v>1</v>
      </c>
      <c r="K356" s="32">
        <v>0.97802195054945062</v>
      </c>
      <c r="M356" s="36">
        <v>319</v>
      </c>
      <c r="O356" s="30"/>
      <c r="P356" s="37" t="s">
        <v>10</v>
      </c>
    </row>
    <row r="357" spans="2:16" x14ac:dyDescent="0.25">
      <c r="B357" t="s">
        <v>11</v>
      </c>
      <c r="C357" t="s">
        <v>195</v>
      </c>
      <c r="D357" t="s">
        <v>24</v>
      </c>
      <c r="E357" s="6">
        <v>0.96481481481481479</v>
      </c>
      <c r="F357" t="s">
        <v>197</v>
      </c>
      <c r="G357"/>
      <c r="H357" s="33">
        <v>0.95111109999999999</v>
      </c>
      <c r="I357" s="31">
        <v>0.93333333333333335</v>
      </c>
      <c r="J357" s="31">
        <v>0.96481479999999997</v>
      </c>
      <c r="K357" s="32">
        <v>0.94970535531135547</v>
      </c>
      <c r="M357" s="36">
        <v>3575.6666666666665</v>
      </c>
      <c r="O357" s="30"/>
      <c r="P357" s="37" t="s">
        <v>10</v>
      </c>
    </row>
    <row r="358" spans="2:16" x14ac:dyDescent="0.25">
      <c r="B358" t="s">
        <v>11</v>
      </c>
      <c r="C358" t="s">
        <v>206</v>
      </c>
      <c r="D358" t="s">
        <v>19</v>
      </c>
      <c r="E358" s="6">
        <v>0.98039215686274517</v>
      </c>
      <c r="F358" t="s">
        <v>20</v>
      </c>
      <c r="G358"/>
      <c r="H358" s="33">
        <v>0.97160492592592584</v>
      </c>
      <c r="I358" s="31">
        <v>0.98566307407407405</v>
      </c>
      <c r="J358" s="31">
        <v>0.97530862962962961</v>
      </c>
      <c r="K358" s="32">
        <v>0.97142147456247441</v>
      </c>
      <c r="M358" s="36">
        <v>4839</v>
      </c>
      <c r="O358" s="29">
        <v>2.5000000000000001E-2</v>
      </c>
      <c r="P358" s="37">
        <v>4959.9749999999995</v>
      </c>
    </row>
    <row r="359" spans="2:16" x14ac:dyDescent="0.25">
      <c r="B359" t="s">
        <v>11</v>
      </c>
      <c r="C359" t="s">
        <v>206</v>
      </c>
      <c r="D359" t="s">
        <v>19</v>
      </c>
      <c r="E359" s="6">
        <v>0.98039215686274517</v>
      </c>
      <c r="F359" t="s">
        <v>15</v>
      </c>
      <c r="G359"/>
      <c r="H359" s="33">
        <v>1</v>
      </c>
      <c r="I359" s="31">
        <v>1</v>
      </c>
      <c r="J359" s="31">
        <v>1</v>
      </c>
      <c r="K359" s="32">
        <v>1</v>
      </c>
      <c r="M359" s="36">
        <v>6779</v>
      </c>
      <c r="O359" s="29">
        <v>2.5000000000000001E-2</v>
      </c>
      <c r="P359" s="37">
        <v>6948.4749999999995</v>
      </c>
    </row>
    <row r="360" spans="2:16" x14ac:dyDescent="0.25">
      <c r="B360" t="s">
        <v>11</v>
      </c>
      <c r="C360" t="s">
        <v>206</v>
      </c>
      <c r="D360" t="s">
        <v>21</v>
      </c>
      <c r="E360" s="6">
        <v>0.75862068965517238</v>
      </c>
      <c r="F360" t="s">
        <v>22</v>
      </c>
      <c r="G360"/>
      <c r="H360" s="33">
        <v>0.87051280769230766</v>
      </c>
      <c r="I360" s="31">
        <v>0.8337468846153846</v>
      </c>
      <c r="J360" s="31">
        <v>0.76923076923076927</v>
      </c>
      <c r="K360" s="32">
        <v>0.8245984695688926</v>
      </c>
      <c r="M360" s="36">
        <v>7499</v>
      </c>
      <c r="O360" s="29">
        <v>-2.5000000000000001E-2</v>
      </c>
      <c r="P360" s="37">
        <v>7311.5249999999996</v>
      </c>
    </row>
    <row r="361" spans="2:16" x14ac:dyDescent="0.25">
      <c r="B361" t="s">
        <v>11</v>
      </c>
      <c r="C361" t="s">
        <v>206</v>
      </c>
      <c r="D361" t="s">
        <v>21</v>
      </c>
      <c r="E361" s="6">
        <v>0.75862068965517238</v>
      </c>
      <c r="F361" t="s">
        <v>23</v>
      </c>
      <c r="G361"/>
      <c r="H361" s="33">
        <v>0.66666666666666663</v>
      </c>
      <c r="I361" s="31">
        <v>0.66666666666666663</v>
      </c>
      <c r="J361" s="31">
        <v>0.66666666666666663</v>
      </c>
      <c r="K361" s="32">
        <v>0.66666666666666663</v>
      </c>
      <c r="M361" s="36">
        <v>7699</v>
      </c>
      <c r="O361" s="30"/>
      <c r="P361" s="37" t="s">
        <v>10</v>
      </c>
    </row>
    <row r="362" spans="2:16" x14ac:dyDescent="0.25">
      <c r="B362" t="s">
        <v>11</v>
      </c>
      <c r="C362" t="s">
        <v>206</v>
      </c>
      <c r="D362" t="s">
        <v>13</v>
      </c>
      <c r="E362" s="6">
        <v>0.92349726775956287</v>
      </c>
      <c r="F362" t="s">
        <v>14</v>
      </c>
      <c r="G362"/>
      <c r="H362" s="33">
        <v>0.96666666666666667</v>
      </c>
      <c r="I362" s="31">
        <v>0.96006142857142862</v>
      </c>
      <c r="J362" s="31">
        <v>0.89417985714285719</v>
      </c>
      <c r="K362" s="32">
        <v>0.94264326530612241</v>
      </c>
      <c r="M362" s="36">
        <v>369</v>
      </c>
      <c r="O362" s="30"/>
      <c r="P362" s="37" t="s">
        <v>10</v>
      </c>
    </row>
    <row r="363" spans="2:16" x14ac:dyDescent="0.25">
      <c r="B363" t="s">
        <v>11</v>
      </c>
      <c r="C363" t="s">
        <v>206</v>
      </c>
      <c r="D363" t="s">
        <v>13</v>
      </c>
      <c r="E363" s="6">
        <v>0.92349726775956287</v>
      </c>
      <c r="F363" t="s">
        <v>15</v>
      </c>
      <c r="G363"/>
      <c r="H363" s="33">
        <v>0.99305554166666665</v>
      </c>
      <c r="I363" s="31">
        <v>0.98387095833333327</v>
      </c>
      <c r="J363" s="31">
        <v>0.97222220833333328</v>
      </c>
      <c r="K363" s="32">
        <v>0.98564659020146517</v>
      </c>
      <c r="M363" s="36">
        <v>319</v>
      </c>
      <c r="O363" s="30"/>
      <c r="P363" s="37" t="s">
        <v>10</v>
      </c>
    </row>
    <row r="364" spans="2:16" x14ac:dyDescent="0.25">
      <c r="B364" t="s">
        <v>11</v>
      </c>
      <c r="C364" t="s">
        <v>206</v>
      </c>
      <c r="D364" t="s">
        <v>13</v>
      </c>
      <c r="E364" s="6">
        <v>0.92349726775956287</v>
      </c>
      <c r="F364" t="s">
        <v>55</v>
      </c>
      <c r="G364"/>
      <c r="H364" s="33">
        <v>1</v>
      </c>
      <c r="I364" s="31">
        <v>1</v>
      </c>
      <c r="J364" s="31">
        <v>1</v>
      </c>
      <c r="K364" s="32">
        <v>1</v>
      </c>
      <c r="M364" s="36">
        <v>449</v>
      </c>
      <c r="O364" s="30"/>
      <c r="P364" s="37" t="s">
        <v>10</v>
      </c>
    </row>
    <row r="365" spans="2:16" x14ac:dyDescent="0.25">
      <c r="B365" t="s">
        <v>11</v>
      </c>
      <c r="C365" t="s">
        <v>206</v>
      </c>
      <c r="D365" t="s">
        <v>13</v>
      </c>
      <c r="E365" s="6">
        <v>0.92349726775956287</v>
      </c>
      <c r="F365" t="s">
        <v>56</v>
      </c>
      <c r="G365"/>
      <c r="H365" s="33">
        <v>0.93333328571428564</v>
      </c>
      <c r="I365" s="31">
        <v>0.8571428571428571</v>
      </c>
      <c r="J365" s="31">
        <v>0.87301585714285712</v>
      </c>
      <c r="K365" s="32">
        <v>0.898641711145997</v>
      </c>
      <c r="M365" s="36">
        <v>559</v>
      </c>
      <c r="O365" s="30"/>
      <c r="P365" s="37" t="s">
        <v>10</v>
      </c>
    </row>
    <row r="366" spans="2:16" x14ac:dyDescent="0.25">
      <c r="B366" t="s">
        <v>11</v>
      </c>
      <c r="C366" t="s">
        <v>250</v>
      </c>
      <c r="D366" t="s">
        <v>19</v>
      </c>
      <c r="E366" s="6">
        <v>0.86684303350970027</v>
      </c>
      <c r="F366" t="s">
        <v>113</v>
      </c>
      <c r="G366"/>
      <c r="H366" s="33">
        <v>1.04375</v>
      </c>
      <c r="I366" s="31">
        <v>1.0625</v>
      </c>
      <c r="J366" s="31">
        <v>1.0520833125</v>
      </c>
      <c r="K366" s="32">
        <v>1.0491519162087912</v>
      </c>
      <c r="M366" s="36">
        <v>6829</v>
      </c>
      <c r="O366" s="30"/>
      <c r="P366" s="37" t="s">
        <v>10</v>
      </c>
    </row>
    <row r="367" spans="2:16" x14ac:dyDescent="0.25">
      <c r="B367" t="s">
        <v>11</v>
      </c>
      <c r="C367" t="s">
        <v>250</v>
      </c>
      <c r="D367" t="s">
        <v>19</v>
      </c>
      <c r="E367" s="6">
        <v>0.86684303350970027</v>
      </c>
      <c r="F367" t="s">
        <v>20</v>
      </c>
      <c r="G367"/>
      <c r="H367" s="33">
        <v>0.81238091428571424</v>
      </c>
      <c r="I367" s="31">
        <v>0.80829491428571432</v>
      </c>
      <c r="J367" s="31">
        <v>0.79365077142857143</v>
      </c>
      <c r="K367" s="32">
        <v>0.80936452496075362</v>
      </c>
      <c r="M367" s="36">
        <v>4504.7142857142853</v>
      </c>
      <c r="O367" s="30"/>
      <c r="P367" s="37" t="s">
        <v>10</v>
      </c>
    </row>
    <row r="368" spans="2:16" x14ac:dyDescent="0.25">
      <c r="B368" t="s">
        <v>11</v>
      </c>
      <c r="C368" t="s">
        <v>250</v>
      </c>
      <c r="D368" t="s">
        <v>19</v>
      </c>
      <c r="E368" s="6">
        <v>0.86684303350970027</v>
      </c>
      <c r="F368" t="s">
        <v>15</v>
      </c>
      <c r="G368"/>
      <c r="H368" s="33">
        <v>0.65999999999999992</v>
      </c>
      <c r="I368" s="31">
        <v>0.63870959999999999</v>
      </c>
      <c r="J368" s="31">
        <v>0.8</v>
      </c>
      <c r="K368" s="32">
        <v>0.68743421538461535</v>
      </c>
      <c r="M368" s="36">
        <v>4409</v>
      </c>
      <c r="O368" s="30"/>
      <c r="P368" s="37" t="s">
        <v>10</v>
      </c>
    </row>
    <row r="369" spans="2:16" x14ac:dyDescent="0.25">
      <c r="B369" t="s">
        <v>11</v>
      </c>
      <c r="C369" t="s">
        <v>250</v>
      </c>
      <c r="D369" t="s">
        <v>19</v>
      </c>
      <c r="E369" s="6">
        <v>0.86684303350970027</v>
      </c>
      <c r="F369" t="s">
        <v>87</v>
      </c>
      <c r="G369"/>
      <c r="H369" s="33">
        <v>1</v>
      </c>
      <c r="I369" s="31">
        <v>0.89400914285714284</v>
      </c>
      <c r="J369" s="31">
        <v>0.8571428571428571</v>
      </c>
      <c r="K369" s="32">
        <v>0.91679746310832033</v>
      </c>
      <c r="M369" s="36">
        <v>6399</v>
      </c>
      <c r="O369" s="30"/>
      <c r="P369" s="37" t="s">
        <v>10</v>
      </c>
    </row>
    <row r="370" spans="2:16" x14ac:dyDescent="0.25">
      <c r="B370" t="s">
        <v>11</v>
      </c>
      <c r="C370" t="s">
        <v>250</v>
      </c>
      <c r="D370" t="s">
        <v>13</v>
      </c>
      <c r="E370" s="6">
        <v>0.68388106416275429</v>
      </c>
      <c r="F370" t="s">
        <v>15</v>
      </c>
      <c r="G370"/>
      <c r="H370" s="33">
        <v>0.71494251724137925</v>
      </c>
      <c r="I370" s="31">
        <v>0.70522801724137929</v>
      </c>
      <c r="J370" s="31">
        <v>0.68965517241379315</v>
      </c>
      <c r="K370" s="32">
        <v>0.70626224422129591</v>
      </c>
      <c r="M370" s="36">
        <v>329</v>
      </c>
      <c r="O370" s="30"/>
      <c r="P370" s="37" t="s">
        <v>10</v>
      </c>
    </row>
    <row r="371" spans="2:16" x14ac:dyDescent="0.25">
      <c r="B371" t="s">
        <v>11</v>
      </c>
      <c r="C371" t="s">
        <v>250</v>
      </c>
      <c r="D371" t="s">
        <v>13</v>
      </c>
      <c r="E371" s="6">
        <v>0.68388106416275429</v>
      </c>
      <c r="F371" t="s">
        <v>14</v>
      </c>
      <c r="G371"/>
      <c r="H371" s="33">
        <v>0.5564102307692308</v>
      </c>
      <c r="I371" s="31">
        <v>0.64516123076923071</v>
      </c>
      <c r="J371" s="31">
        <v>0.65811961538461539</v>
      </c>
      <c r="K371" s="32">
        <v>0.63144544885883347</v>
      </c>
      <c r="M371" s="36">
        <v>469</v>
      </c>
      <c r="O371" s="30"/>
      <c r="P371" s="37" t="s">
        <v>10</v>
      </c>
    </row>
    <row r="372" spans="2:16" x14ac:dyDescent="0.25">
      <c r="B372" t="s">
        <v>97</v>
      </c>
      <c r="C372" t="s">
        <v>98</v>
      </c>
      <c r="D372" t="s">
        <v>19</v>
      </c>
      <c r="E372" s="6">
        <v>0.93827160493827166</v>
      </c>
      <c r="F372" t="s">
        <v>20</v>
      </c>
      <c r="G372"/>
      <c r="H372" s="33">
        <v>0.83939390909090905</v>
      </c>
      <c r="I372" s="31">
        <v>0.85630495454545463</v>
      </c>
      <c r="J372" s="31">
        <v>0.89898986363636368</v>
      </c>
      <c r="K372" s="32">
        <v>0.86617727722277738</v>
      </c>
      <c r="M372" s="36">
        <v>3658.090909090909</v>
      </c>
      <c r="O372" s="29">
        <v>1.7381833810328561E-2</v>
      </c>
      <c r="P372" s="37">
        <v>3721.6752373358013</v>
      </c>
    </row>
    <row r="373" spans="2:16" x14ac:dyDescent="0.25">
      <c r="B373" t="s">
        <v>97</v>
      </c>
      <c r="C373" t="s">
        <v>98</v>
      </c>
      <c r="D373" t="s">
        <v>19</v>
      </c>
      <c r="E373" s="6">
        <v>0.93827160493827166</v>
      </c>
      <c r="F373" t="s">
        <v>87</v>
      </c>
      <c r="G373"/>
      <c r="H373" s="33">
        <v>0.99523807142857135</v>
      </c>
      <c r="I373" s="31">
        <v>0.94009214285714282</v>
      </c>
      <c r="J373" s="31">
        <v>1</v>
      </c>
      <c r="K373" s="32">
        <v>0.97802196232339089</v>
      </c>
      <c r="M373" s="36">
        <v>5419</v>
      </c>
      <c r="O373" s="29">
        <v>2.5000000000000001E-2</v>
      </c>
      <c r="P373" s="37">
        <v>5554.4749999999995</v>
      </c>
    </row>
    <row r="374" spans="2:16" x14ac:dyDescent="0.25">
      <c r="B374" t="s">
        <v>97</v>
      </c>
      <c r="C374" t="s">
        <v>98</v>
      </c>
      <c r="D374" t="s">
        <v>21</v>
      </c>
      <c r="E374" s="6">
        <v>1</v>
      </c>
      <c r="F374" t="s">
        <v>17</v>
      </c>
      <c r="G374"/>
      <c r="H374" s="33">
        <v>0.96388883333333331</v>
      </c>
      <c r="I374" s="31">
        <v>1</v>
      </c>
      <c r="J374" s="31">
        <v>1</v>
      </c>
      <c r="K374" s="32">
        <v>0.98092846153846158</v>
      </c>
      <c r="M374" s="36">
        <v>6869</v>
      </c>
      <c r="O374" s="29">
        <v>0.05</v>
      </c>
      <c r="P374" s="37">
        <v>7212.4500000000007</v>
      </c>
    </row>
    <row r="375" spans="2:16" s="10" customFormat="1" x14ac:dyDescent="0.25">
      <c r="B375" t="s">
        <v>97</v>
      </c>
      <c r="C375" t="s">
        <v>98</v>
      </c>
      <c r="D375" t="s">
        <v>21</v>
      </c>
      <c r="E375" s="6">
        <v>1</v>
      </c>
      <c r="F375" t="s">
        <v>18</v>
      </c>
      <c r="G375"/>
      <c r="H375" s="33">
        <v>1</v>
      </c>
      <c r="I375" s="31">
        <v>1</v>
      </c>
      <c r="J375" s="31">
        <v>1</v>
      </c>
      <c r="K375" s="32">
        <v>1</v>
      </c>
      <c r="L375"/>
      <c r="M375" s="36">
        <v>7549</v>
      </c>
      <c r="N375"/>
      <c r="O375" s="29">
        <v>2.5000000000000001E-2</v>
      </c>
      <c r="P375" s="37">
        <v>7737.7249999999995</v>
      </c>
    </row>
    <row r="376" spans="2:16" x14ac:dyDescent="0.25">
      <c r="B376" t="s">
        <v>97</v>
      </c>
      <c r="C376" t="s">
        <v>98</v>
      </c>
      <c r="D376" t="s">
        <v>13</v>
      </c>
      <c r="E376" s="6">
        <v>0.95370370370370372</v>
      </c>
      <c r="F376" t="s">
        <v>14</v>
      </c>
      <c r="G376"/>
      <c r="H376" s="33">
        <v>0.94833332499999989</v>
      </c>
      <c r="I376" s="31">
        <v>0.94838707499999997</v>
      </c>
      <c r="J376" s="31">
        <v>0.95555555000000003</v>
      </c>
      <c r="K376" s="32">
        <v>0.93420925631868124</v>
      </c>
      <c r="M376" s="36">
        <v>419</v>
      </c>
      <c r="O376" s="29">
        <v>2.5000000000000001E-2</v>
      </c>
      <c r="P376" s="37">
        <v>429.47499999999997</v>
      </c>
    </row>
    <row r="377" spans="2:16" x14ac:dyDescent="0.25">
      <c r="B377" t="s">
        <v>97</v>
      </c>
      <c r="C377" t="s">
        <v>98</v>
      </c>
      <c r="D377" t="s">
        <v>13</v>
      </c>
      <c r="E377" s="6">
        <v>0.95370370370370372</v>
      </c>
      <c r="F377" t="s">
        <v>15</v>
      </c>
      <c r="G377"/>
      <c r="H377" s="33">
        <v>0.98333329999999997</v>
      </c>
      <c r="I377" s="31">
        <v>0.97741935000000013</v>
      </c>
      <c r="J377" s="31">
        <v>0.95</v>
      </c>
      <c r="K377" s="32">
        <v>0.97032965769230761</v>
      </c>
      <c r="M377" s="36">
        <v>399</v>
      </c>
      <c r="O377" s="29">
        <v>2.5000000000000001E-2</v>
      </c>
      <c r="P377" s="37">
        <v>408.97499999999997</v>
      </c>
    </row>
    <row r="378" spans="2:16" x14ac:dyDescent="0.25">
      <c r="B378" t="s">
        <v>97</v>
      </c>
      <c r="C378" t="s">
        <v>121</v>
      </c>
      <c r="D378" t="s">
        <v>13</v>
      </c>
      <c r="E378" s="6">
        <v>0.98095238095238102</v>
      </c>
      <c r="F378" t="s">
        <v>56</v>
      </c>
      <c r="G378"/>
      <c r="H378" s="33">
        <v>0.93111106666666665</v>
      </c>
      <c r="I378" s="31">
        <v>0.93763439999999998</v>
      </c>
      <c r="J378" s="31">
        <v>0.95925919999999998</v>
      </c>
      <c r="K378" s="32">
        <v>0.93979930109890109</v>
      </c>
      <c r="M378" s="36">
        <v>809</v>
      </c>
      <c r="O378" s="29">
        <v>2.5000000000000001E-2</v>
      </c>
      <c r="P378" s="37">
        <v>829.22499999999991</v>
      </c>
    </row>
    <row r="379" spans="2:16" x14ac:dyDescent="0.25">
      <c r="B379" t="s">
        <v>97</v>
      </c>
      <c r="C379" t="s">
        <v>121</v>
      </c>
      <c r="D379" t="s">
        <v>13</v>
      </c>
      <c r="E379" s="6">
        <v>0.98095238095238102</v>
      </c>
      <c r="F379" t="s">
        <v>55</v>
      </c>
      <c r="G379"/>
      <c r="H379" s="33">
        <v>1</v>
      </c>
      <c r="I379" s="31">
        <v>0.93548299999999995</v>
      </c>
      <c r="J379" s="31">
        <v>1</v>
      </c>
      <c r="K379" s="32">
        <v>0.97802168131868128</v>
      </c>
      <c r="M379" s="36">
        <v>399</v>
      </c>
      <c r="O379" s="29">
        <v>2.5000000000000001E-2</v>
      </c>
      <c r="P379" s="37">
        <v>408.97499999999997</v>
      </c>
    </row>
    <row r="380" spans="2:16" x14ac:dyDescent="0.25">
      <c r="B380" t="s">
        <v>97</v>
      </c>
      <c r="C380" t="s">
        <v>121</v>
      </c>
      <c r="D380" t="s">
        <v>13</v>
      </c>
      <c r="E380" s="6">
        <v>0.98095238095238102</v>
      </c>
      <c r="F380" t="s">
        <v>14</v>
      </c>
      <c r="G380"/>
      <c r="H380" s="33">
        <v>0.96888886666666674</v>
      </c>
      <c r="I380" s="31">
        <v>0.99569886666666663</v>
      </c>
      <c r="J380" s="31">
        <v>0.99629626666666671</v>
      </c>
      <c r="K380" s="32">
        <v>0.98732277875457863</v>
      </c>
      <c r="M380" s="36">
        <v>459</v>
      </c>
      <c r="O380" s="29">
        <v>2.5000000000000001E-2</v>
      </c>
      <c r="P380" s="37">
        <v>470.47499999999997</v>
      </c>
    </row>
    <row r="381" spans="2:16" x14ac:dyDescent="0.25">
      <c r="B381" t="s">
        <v>97</v>
      </c>
      <c r="C381" t="s">
        <v>121</v>
      </c>
      <c r="D381" t="s">
        <v>13</v>
      </c>
      <c r="E381" s="6">
        <v>0.98095238095238102</v>
      </c>
      <c r="F381" t="s">
        <v>15</v>
      </c>
      <c r="G381"/>
      <c r="H381" s="33">
        <v>0.97692307692307701</v>
      </c>
      <c r="I381" s="31">
        <v>0.9545078461538461</v>
      </c>
      <c r="J381" s="31">
        <v>0.98290597435897442</v>
      </c>
      <c r="K381" s="32">
        <v>0.972484583262891</v>
      </c>
      <c r="M381" s="36">
        <v>399</v>
      </c>
      <c r="O381" s="29">
        <v>2.5000000000000001E-2</v>
      </c>
      <c r="P381" s="37">
        <v>408.97499999999997</v>
      </c>
    </row>
    <row r="382" spans="2:16" x14ac:dyDescent="0.25">
      <c r="B382" t="s">
        <v>97</v>
      </c>
      <c r="C382" t="s">
        <v>121</v>
      </c>
      <c r="D382" t="s">
        <v>16</v>
      </c>
      <c r="E382" s="6">
        <v>0.99603174603174605</v>
      </c>
      <c r="F382" t="s">
        <v>38</v>
      </c>
      <c r="G382"/>
      <c r="H382" s="33">
        <v>0.98333333333333339</v>
      </c>
      <c r="I382" s="31">
        <v>0.90860200000000002</v>
      </c>
      <c r="J382" s="31">
        <v>0.9907406666666666</v>
      </c>
      <c r="K382" s="32">
        <v>0.96098095604395606</v>
      </c>
      <c r="M382" s="36">
        <v>489</v>
      </c>
      <c r="O382" s="29">
        <v>2.5000000000000001E-2</v>
      </c>
      <c r="P382" s="37">
        <v>501.22499999999997</v>
      </c>
    </row>
    <row r="383" spans="2:16" x14ac:dyDescent="0.25">
      <c r="B383" t="s">
        <v>97</v>
      </c>
      <c r="C383" t="s">
        <v>121</v>
      </c>
      <c r="D383" t="s">
        <v>16</v>
      </c>
      <c r="E383" s="6">
        <v>0.99603174603174605</v>
      </c>
      <c r="F383" t="s">
        <v>88</v>
      </c>
      <c r="G383"/>
      <c r="H383" s="33">
        <v>0.97083324999999998</v>
      </c>
      <c r="I383" s="31">
        <v>0.91129024999999997</v>
      </c>
      <c r="J383" s="31">
        <v>1</v>
      </c>
      <c r="K383" s="32">
        <v>0.96016478296703289</v>
      </c>
      <c r="M383" s="36">
        <v>419</v>
      </c>
      <c r="O383" s="29">
        <v>2.5000000000000001E-2</v>
      </c>
      <c r="P383" s="37">
        <v>429.47499999999997</v>
      </c>
    </row>
    <row r="384" spans="2:16" x14ac:dyDescent="0.25">
      <c r="B384" t="s">
        <v>97</v>
      </c>
      <c r="C384" t="s">
        <v>122</v>
      </c>
      <c r="D384" t="s">
        <v>19</v>
      </c>
      <c r="E384" s="6">
        <v>0.98550724637681164</v>
      </c>
      <c r="F384" t="s">
        <v>30</v>
      </c>
      <c r="G384"/>
      <c r="H384" s="33">
        <v>1</v>
      </c>
      <c r="I384" s="31">
        <v>0.98631475757575748</v>
      </c>
      <c r="J384" s="31">
        <v>1</v>
      </c>
      <c r="K384" s="32">
        <v>0.99533799433899428</v>
      </c>
      <c r="M384" s="36">
        <v>149.59375</v>
      </c>
      <c r="O384" s="29">
        <v>2.5000000000000001E-2</v>
      </c>
      <c r="P384" s="37">
        <v>153.33359374999998</v>
      </c>
    </row>
    <row r="385" spans="2:16" x14ac:dyDescent="0.25">
      <c r="B385" t="s">
        <v>97</v>
      </c>
      <c r="C385" t="s">
        <v>122</v>
      </c>
      <c r="D385" t="s">
        <v>19</v>
      </c>
      <c r="E385" s="6">
        <v>0.98550724637681164</v>
      </c>
      <c r="F385" t="s">
        <v>123</v>
      </c>
      <c r="G385"/>
      <c r="H385" s="33">
        <v>0.88888888888888884</v>
      </c>
      <c r="I385" s="31">
        <v>0.94982077777777774</v>
      </c>
      <c r="J385" s="31">
        <v>1</v>
      </c>
      <c r="K385" s="32">
        <v>0.94627594261294257</v>
      </c>
      <c r="M385" s="36">
        <v>192.55555555555554</v>
      </c>
      <c r="O385" s="30"/>
      <c r="P385" s="37" t="s">
        <v>10</v>
      </c>
    </row>
    <row r="386" spans="2:16" x14ac:dyDescent="0.25">
      <c r="B386" t="s">
        <v>97</v>
      </c>
      <c r="C386" t="s">
        <v>122</v>
      </c>
      <c r="D386" t="s">
        <v>19</v>
      </c>
      <c r="E386" s="6">
        <v>0.98550724637681164</v>
      </c>
      <c r="F386" t="s">
        <v>20</v>
      </c>
      <c r="G386"/>
      <c r="H386" s="33">
        <v>1</v>
      </c>
      <c r="I386" s="31">
        <v>0.92375363636363628</v>
      </c>
      <c r="J386" s="31">
        <v>0.95454545454545459</v>
      </c>
      <c r="K386" s="32">
        <v>0.95578332667332677</v>
      </c>
      <c r="M386" s="36">
        <v>105.40909090909091</v>
      </c>
      <c r="O386" s="29">
        <v>2.5279212201272955E-2</v>
      </c>
      <c r="P386" s="37">
        <v>108.0737496861251</v>
      </c>
    </row>
    <row r="387" spans="2:16" x14ac:dyDescent="0.25">
      <c r="B387" t="s">
        <v>97</v>
      </c>
      <c r="C387" t="s">
        <v>122</v>
      </c>
      <c r="D387" t="s">
        <v>19</v>
      </c>
      <c r="E387" s="6">
        <v>0.98550724637681164</v>
      </c>
      <c r="F387" t="s">
        <v>57</v>
      </c>
      <c r="G387"/>
      <c r="H387" s="33">
        <v>1</v>
      </c>
      <c r="I387" s="31">
        <v>1</v>
      </c>
      <c r="J387" s="31">
        <v>1</v>
      </c>
      <c r="K387" s="32">
        <v>1</v>
      </c>
      <c r="M387" s="36">
        <v>161</v>
      </c>
      <c r="O387" s="29">
        <v>2.7777777777777745E-2</v>
      </c>
      <c r="P387" s="37">
        <v>165.4722222222222</v>
      </c>
    </row>
    <row r="388" spans="2:16" x14ac:dyDescent="0.25">
      <c r="B388" t="s">
        <v>97</v>
      </c>
      <c r="C388" t="s">
        <v>122</v>
      </c>
      <c r="D388" t="s">
        <v>21</v>
      </c>
      <c r="E388" s="6">
        <v>0.92929292929292917</v>
      </c>
      <c r="F388" t="s">
        <v>124</v>
      </c>
      <c r="G388"/>
      <c r="H388" s="33">
        <v>0.93939390909090903</v>
      </c>
      <c r="I388" s="31">
        <v>0.95014654545454558</v>
      </c>
      <c r="J388" s="31">
        <v>0.92929290909090911</v>
      </c>
      <c r="K388" s="32">
        <v>0.94479428771228779</v>
      </c>
      <c r="M388" s="36">
        <v>92.545454545454547</v>
      </c>
      <c r="O388" s="29">
        <v>1.4520813165537228E-2</v>
      </c>
      <c r="P388" s="37">
        <v>93.889289800228809</v>
      </c>
    </row>
    <row r="389" spans="2:16" x14ac:dyDescent="0.25">
      <c r="B389" t="s">
        <v>97</v>
      </c>
      <c r="C389" t="s">
        <v>142</v>
      </c>
      <c r="D389" t="s">
        <v>19</v>
      </c>
      <c r="E389" s="6">
        <v>0.84795321637426901</v>
      </c>
      <c r="F389" t="s">
        <v>20</v>
      </c>
      <c r="G389"/>
      <c r="H389" s="33">
        <v>0.95555553333333332</v>
      </c>
      <c r="I389" s="31">
        <v>0.9634408000000001</v>
      </c>
      <c r="J389" s="31">
        <v>0.87407406666666665</v>
      </c>
      <c r="K389" s="32">
        <v>0.9308488219780221</v>
      </c>
      <c r="M389" s="36">
        <v>5299</v>
      </c>
      <c r="O389" s="30"/>
      <c r="P389" s="37" t="s">
        <v>10</v>
      </c>
    </row>
    <row r="390" spans="2:16" x14ac:dyDescent="0.25">
      <c r="B390" t="s">
        <v>97</v>
      </c>
      <c r="C390" t="s">
        <v>142</v>
      </c>
      <c r="D390" t="s">
        <v>19</v>
      </c>
      <c r="E390" s="6">
        <v>0.84795321637426901</v>
      </c>
      <c r="F390" t="s">
        <v>15</v>
      </c>
      <c r="G390"/>
      <c r="H390" s="33">
        <v>1</v>
      </c>
      <c r="I390" s="31">
        <v>0.80645149999999999</v>
      </c>
      <c r="J390" s="31">
        <v>0.75</v>
      </c>
      <c r="K390" s="32">
        <v>0.85164831318681311</v>
      </c>
      <c r="M390" s="36">
        <v>6499</v>
      </c>
      <c r="O390" s="30"/>
      <c r="P390" s="37" t="s">
        <v>10</v>
      </c>
    </row>
    <row r="391" spans="2:16" x14ac:dyDescent="0.25">
      <c r="B391" t="s">
        <v>97</v>
      </c>
      <c r="C391" t="s">
        <v>142</v>
      </c>
      <c r="D391" t="s">
        <v>21</v>
      </c>
      <c r="E391" s="6">
        <v>1</v>
      </c>
      <c r="F391" t="s">
        <v>17</v>
      </c>
      <c r="G391"/>
      <c r="H391" s="33">
        <v>1</v>
      </c>
      <c r="I391" s="31">
        <v>1</v>
      </c>
      <c r="J391" s="31">
        <v>1</v>
      </c>
      <c r="K391" s="32">
        <v>1</v>
      </c>
      <c r="M391" s="36">
        <v>8099</v>
      </c>
      <c r="O391" s="29">
        <v>2.5000000000000001E-2</v>
      </c>
      <c r="P391" s="37">
        <v>8301.4749999999985</v>
      </c>
    </row>
    <row r="392" spans="2:16" x14ac:dyDescent="0.25">
      <c r="B392" t="s">
        <v>97</v>
      </c>
      <c r="C392" t="s">
        <v>142</v>
      </c>
      <c r="D392" t="s">
        <v>21</v>
      </c>
      <c r="E392" s="6">
        <v>1</v>
      </c>
      <c r="F392" t="s">
        <v>18</v>
      </c>
      <c r="G392"/>
      <c r="H392" s="33">
        <v>1</v>
      </c>
      <c r="I392" s="31">
        <v>1</v>
      </c>
      <c r="J392" s="31">
        <v>1</v>
      </c>
      <c r="K392" s="32">
        <v>1</v>
      </c>
      <c r="M392" s="36">
        <v>8989</v>
      </c>
      <c r="O392" s="29">
        <v>2.5000000000000001E-2</v>
      </c>
      <c r="P392" s="37">
        <v>9213.7249999999985</v>
      </c>
    </row>
    <row r="393" spans="2:16" x14ac:dyDescent="0.25">
      <c r="B393" t="s">
        <v>97</v>
      </c>
      <c r="C393" t="s">
        <v>142</v>
      </c>
      <c r="D393" t="s">
        <v>13</v>
      </c>
      <c r="E393" s="6">
        <v>0.86206896551724133</v>
      </c>
      <c r="F393" t="s">
        <v>14</v>
      </c>
      <c r="G393"/>
      <c r="H393" s="33">
        <v>0.89215685294117641</v>
      </c>
      <c r="I393" s="31">
        <v>0.79127132352941176</v>
      </c>
      <c r="J393" s="31">
        <v>0.83169932352941178</v>
      </c>
      <c r="K393" s="32">
        <v>0.83052751616031029</v>
      </c>
      <c r="M393" s="36">
        <v>359</v>
      </c>
      <c r="O393" s="30"/>
      <c r="P393" s="37" t="s">
        <v>10</v>
      </c>
    </row>
    <row r="394" spans="2:16" x14ac:dyDescent="0.25">
      <c r="B394" t="s">
        <v>97</v>
      </c>
      <c r="C394" t="s">
        <v>142</v>
      </c>
      <c r="D394" t="s">
        <v>13</v>
      </c>
      <c r="E394" s="6">
        <v>0.86206896551724133</v>
      </c>
      <c r="F394" t="s">
        <v>15</v>
      </c>
      <c r="G394"/>
      <c r="H394" s="33">
        <v>0.97777775</v>
      </c>
      <c r="I394" s="31">
        <v>0.9354838333333334</v>
      </c>
      <c r="J394" s="31">
        <v>0.90509258333333331</v>
      </c>
      <c r="K394" s="32">
        <v>0.93725112728937743</v>
      </c>
      <c r="M394" s="36">
        <v>309</v>
      </c>
      <c r="O394" s="30"/>
      <c r="P394" s="37" t="s">
        <v>10</v>
      </c>
    </row>
    <row r="395" spans="2:16" x14ac:dyDescent="0.25">
      <c r="B395" t="s">
        <v>46</v>
      </c>
      <c r="C395" t="s">
        <v>47</v>
      </c>
      <c r="D395" t="s">
        <v>19</v>
      </c>
      <c r="E395" s="6">
        <v>1</v>
      </c>
      <c r="F395" t="s">
        <v>20</v>
      </c>
      <c r="G395"/>
      <c r="H395" s="33">
        <v>0.99444444444444435</v>
      </c>
      <c r="I395" s="31">
        <v>0.98207883333333335</v>
      </c>
      <c r="J395" s="31">
        <v>1</v>
      </c>
      <c r="K395" s="32">
        <v>0.9894136968270224</v>
      </c>
      <c r="M395" s="36">
        <v>6859</v>
      </c>
      <c r="O395" s="29">
        <v>2.5000000000000001E-2</v>
      </c>
      <c r="P395" s="37">
        <v>7030.4749999999995</v>
      </c>
    </row>
    <row r="396" spans="2:16" x14ac:dyDescent="0.25">
      <c r="B396" t="s">
        <v>46</v>
      </c>
      <c r="C396" t="s">
        <v>47</v>
      </c>
      <c r="D396" t="s">
        <v>19</v>
      </c>
      <c r="E396" s="6">
        <v>1</v>
      </c>
      <c r="F396" t="s">
        <v>15</v>
      </c>
      <c r="G396"/>
      <c r="H396" s="33">
        <v>0.99166650000000001</v>
      </c>
      <c r="I396" s="31">
        <v>0.99193525000000005</v>
      </c>
      <c r="J396" s="31">
        <v>1</v>
      </c>
      <c r="K396" s="32">
        <v>0.99450535989010991</v>
      </c>
      <c r="M396" s="36">
        <v>8649</v>
      </c>
      <c r="O396" s="29">
        <v>1.8915010067209255E-2</v>
      </c>
      <c r="P396" s="37">
        <v>8812.5959220712939</v>
      </c>
    </row>
    <row r="397" spans="2:16" x14ac:dyDescent="0.25">
      <c r="B397" t="s">
        <v>46</v>
      </c>
      <c r="C397" t="s">
        <v>47</v>
      </c>
      <c r="D397" t="s">
        <v>21</v>
      </c>
      <c r="E397" s="6">
        <v>0.98989898989898994</v>
      </c>
      <c r="F397" t="s">
        <v>17</v>
      </c>
      <c r="G397"/>
      <c r="H397" s="33">
        <v>1</v>
      </c>
      <c r="I397" s="31">
        <v>0.9964156666666667</v>
      </c>
      <c r="J397" s="31">
        <v>0.98765422222222221</v>
      </c>
      <c r="K397" s="32">
        <v>0.99559372527472534</v>
      </c>
      <c r="M397" s="36">
        <v>8219</v>
      </c>
      <c r="O397" s="29">
        <v>2.5000000000000001E-2</v>
      </c>
      <c r="P397" s="37">
        <v>8424.4749999999985</v>
      </c>
    </row>
    <row r="398" spans="2:16" x14ac:dyDescent="0.25">
      <c r="B398" t="s">
        <v>46</v>
      </c>
      <c r="C398" t="s">
        <v>47</v>
      </c>
      <c r="D398" t="s">
        <v>21</v>
      </c>
      <c r="E398" s="6">
        <v>0.98989898989898994</v>
      </c>
      <c r="F398" t="s">
        <v>18</v>
      </c>
      <c r="G398"/>
      <c r="H398" s="33">
        <v>0.73333300000000001</v>
      </c>
      <c r="I398" s="31">
        <v>0.87096750000000001</v>
      </c>
      <c r="J398" s="31">
        <v>1</v>
      </c>
      <c r="K398" s="32">
        <v>0.86813167582417583</v>
      </c>
      <c r="M398" s="36">
        <v>10199</v>
      </c>
      <c r="O398" s="30"/>
      <c r="P398" s="37" t="s">
        <v>10</v>
      </c>
    </row>
    <row r="399" spans="2:16" x14ac:dyDescent="0.25">
      <c r="B399" t="s">
        <v>46</v>
      </c>
      <c r="C399" t="s">
        <v>47</v>
      </c>
      <c r="D399" t="s">
        <v>13</v>
      </c>
      <c r="E399" s="6">
        <v>0.98518518518518527</v>
      </c>
      <c r="F399" t="s">
        <v>14</v>
      </c>
      <c r="G399"/>
      <c r="H399" s="33">
        <v>0.92105263157894735</v>
      </c>
      <c r="I399" s="31">
        <v>0.96434634210526315</v>
      </c>
      <c r="J399" s="31">
        <v>0.9824561315789474</v>
      </c>
      <c r="K399" s="32">
        <v>0.9523977099479467</v>
      </c>
      <c r="M399" s="36">
        <v>419</v>
      </c>
      <c r="O399" s="29">
        <v>2.5000000000000001E-2</v>
      </c>
      <c r="P399" s="37">
        <v>429.47499999999997</v>
      </c>
    </row>
    <row r="400" spans="2:16" x14ac:dyDescent="0.25">
      <c r="B400" t="s">
        <v>46</v>
      </c>
      <c r="C400" t="s">
        <v>47</v>
      </c>
      <c r="D400" t="s">
        <v>13</v>
      </c>
      <c r="E400" s="6">
        <v>0.98518518518518527</v>
      </c>
      <c r="F400" t="s">
        <v>15</v>
      </c>
      <c r="G400"/>
      <c r="H400" s="33">
        <v>0.98181818181818192</v>
      </c>
      <c r="I400" s="31">
        <v>0.98973604545454552</v>
      </c>
      <c r="J400" s="31">
        <v>0.98989895454545451</v>
      </c>
      <c r="K400" s="32">
        <v>0.98399425224775239</v>
      </c>
      <c r="M400" s="36">
        <v>379</v>
      </c>
      <c r="O400" s="29">
        <v>2.5000000000000001E-2</v>
      </c>
      <c r="P400" s="37">
        <v>388.47499999999997</v>
      </c>
    </row>
    <row r="401" spans="2:16" x14ac:dyDescent="0.25">
      <c r="B401" t="s">
        <v>46</v>
      </c>
      <c r="C401" t="s">
        <v>47</v>
      </c>
      <c r="D401" t="s">
        <v>24</v>
      </c>
      <c r="E401" s="6">
        <v>1</v>
      </c>
      <c r="F401" t="s">
        <v>25</v>
      </c>
      <c r="G401"/>
      <c r="H401" s="33">
        <v>1</v>
      </c>
      <c r="I401" s="31">
        <v>1</v>
      </c>
      <c r="J401" s="31">
        <v>1</v>
      </c>
      <c r="K401" s="32">
        <v>1</v>
      </c>
      <c r="M401" s="36">
        <v>2199</v>
      </c>
      <c r="O401" s="29">
        <v>0.05</v>
      </c>
      <c r="P401" s="37">
        <v>2308.9500000000003</v>
      </c>
    </row>
    <row r="402" spans="2:16" x14ac:dyDescent="0.25">
      <c r="B402" t="s">
        <v>46</v>
      </c>
      <c r="C402" t="s">
        <v>62</v>
      </c>
      <c r="D402" t="s">
        <v>19</v>
      </c>
      <c r="E402" s="6">
        <v>1</v>
      </c>
      <c r="F402" t="s">
        <v>20</v>
      </c>
      <c r="G402"/>
      <c r="H402" s="33">
        <v>0.98222220000000005</v>
      </c>
      <c r="I402" s="31">
        <v>1</v>
      </c>
      <c r="J402" s="31">
        <v>1</v>
      </c>
      <c r="K402" s="32">
        <v>0.99413918681318691</v>
      </c>
      <c r="M402" s="36">
        <v>5781.5</v>
      </c>
      <c r="O402" s="29">
        <v>2.5000000000000001E-2</v>
      </c>
      <c r="P402" s="37">
        <v>5926.0374999999995</v>
      </c>
    </row>
    <row r="403" spans="2:16" x14ac:dyDescent="0.25">
      <c r="B403" t="s">
        <v>46</v>
      </c>
      <c r="C403" t="s">
        <v>62</v>
      </c>
      <c r="D403" t="s">
        <v>19</v>
      </c>
      <c r="E403" s="6">
        <v>1</v>
      </c>
      <c r="F403" t="s">
        <v>49</v>
      </c>
      <c r="G403"/>
      <c r="H403" s="33">
        <v>1</v>
      </c>
      <c r="I403" s="31">
        <v>1</v>
      </c>
      <c r="J403" s="31">
        <v>1</v>
      </c>
      <c r="K403" s="32">
        <v>1</v>
      </c>
      <c r="M403" s="36">
        <v>6309</v>
      </c>
      <c r="O403" s="29">
        <v>2.5000000000000001E-2</v>
      </c>
      <c r="P403" s="37">
        <v>6466.7249999999995</v>
      </c>
    </row>
    <row r="404" spans="2:16" x14ac:dyDescent="0.25">
      <c r="B404" t="s">
        <v>46</v>
      </c>
      <c r="C404" t="s">
        <v>62</v>
      </c>
      <c r="D404" t="s">
        <v>19</v>
      </c>
      <c r="E404" s="6">
        <v>1</v>
      </c>
      <c r="F404" t="s">
        <v>34</v>
      </c>
      <c r="G404"/>
      <c r="H404" s="33">
        <v>1</v>
      </c>
      <c r="I404" s="31">
        <v>1</v>
      </c>
      <c r="J404" s="31">
        <v>1</v>
      </c>
      <c r="K404" s="32">
        <v>1</v>
      </c>
      <c r="M404" s="36">
        <v>6299</v>
      </c>
      <c r="O404" s="29">
        <v>2.5000000000000001E-2</v>
      </c>
      <c r="P404" s="37">
        <v>6456.4749999999995</v>
      </c>
    </row>
    <row r="405" spans="2:16" x14ac:dyDescent="0.25">
      <c r="B405" t="s">
        <v>46</v>
      </c>
      <c r="C405" t="s">
        <v>62</v>
      </c>
      <c r="D405" t="s">
        <v>21</v>
      </c>
      <c r="E405" s="6">
        <v>0.874074074074074</v>
      </c>
      <c r="F405" t="s">
        <v>37</v>
      </c>
      <c r="G405"/>
      <c r="H405" s="33">
        <v>0.93333333333333324</v>
      </c>
      <c r="I405" s="31">
        <v>0.89784941666666651</v>
      </c>
      <c r="J405" s="31">
        <v>0.92592591666666679</v>
      </c>
      <c r="K405" s="32">
        <v>0.92052872985347989</v>
      </c>
      <c r="M405" s="36">
        <v>6969.833333333333</v>
      </c>
      <c r="O405" s="30"/>
      <c r="P405" s="37" t="s">
        <v>10</v>
      </c>
    </row>
    <row r="406" spans="2:16" x14ac:dyDescent="0.25">
      <c r="B406" t="s">
        <v>46</v>
      </c>
      <c r="C406" t="s">
        <v>62</v>
      </c>
      <c r="D406" t="s">
        <v>21</v>
      </c>
      <c r="E406" s="6">
        <v>0.874074074074074</v>
      </c>
      <c r="F406" t="s">
        <v>50</v>
      </c>
      <c r="G406"/>
      <c r="H406" s="33">
        <v>1</v>
      </c>
      <c r="I406" s="31">
        <v>0.82795666666666667</v>
      </c>
      <c r="J406" s="31">
        <v>0.66666666666666663</v>
      </c>
      <c r="K406" s="32">
        <v>0.83150172161172164</v>
      </c>
      <c r="M406" s="36">
        <v>7349</v>
      </c>
      <c r="O406" s="30"/>
      <c r="P406" s="37" t="s">
        <v>10</v>
      </c>
    </row>
    <row r="407" spans="2:16" x14ac:dyDescent="0.25">
      <c r="B407" t="s">
        <v>46</v>
      </c>
      <c r="C407" s="35" t="s">
        <v>62</v>
      </c>
      <c r="D407" t="s">
        <v>64</v>
      </c>
      <c r="E407" s="6">
        <v>0.90338164251207731</v>
      </c>
      <c r="F407" t="s">
        <v>63</v>
      </c>
      <c r="G407"/>
      <c r="H407" s="33">
        <v>1</v>
      </c>
      <c r="I407" s="31">
        <v>0.96434631578947383</v>
      </c>
      <c r="J407" s="31">
        <v>0.93567247368421058</v>
      </c>
      <c r="K407" s="32">
        <v>0.96748557547715452</v>
      </c>
      <c r="M407" s="36">
        <v>3601</v>
      </c>
      <c r="O407" s="30"/>
      <c r="P407" s="37" t="s">
        <v>10</v>
      </c>
    </row>
    <row r="408" spans="2:16" x14ac:dyDescent="0.25">
      <c r="B408" t="s">
        <v>46</v>
      </c>
      <c r="C408" s="35" t="s">
        <v>62</v>
      </c>
      <c r="D408" t="s">
        <v>64</v>
      </c>
      <c r="E408" s="6">
        <v>0.90338164251207731</v>
      </c>
      <c r="F408" t="s">
        <v>65</v>
      </c>
      <c r="G408"/>
      <c r="H408" s="33">
        <v>0.67500000000000004</v>
      </c>
      <c r="I408" s="31">
        <v>0.60483850000000006</v>
      </c>
      <c r="J408" s="31">
        <v>0.75</v>
      </c>
      <c r="K408" s="32">
        <v>0.67582410439560447</v>
      </c>
      <c r="M408" s="36">
        <v>2877</v>
      </c>
      <c r="O408" s="30"/>
      <c r="P408" s="37" t="s">
        <v>10</v>
      </c>
    </row>
    <row r="409" spans="2:16" x14ac:dyDescent="0.25">
      <c r="B409" t="s">
        <v>46</v>
      </c>
      <c r="C409" t="s">
        <v>62</v>
      </c>
      <c r="D409" t="s">
        <v>13</v>
      </c>
      <c r="E409" s="6">
        <v>0.85</v>
      </c>
      <c r="F409" t="s">
        <v>35</v>
      </c>
      <c r="G409"/>
      <c r="H409" s="33">
        <v>1</v>
      </c>
      <c r="I409" s="31">
        <v>0.83870900000000004</v>
      </c>
      <c r="J409" s="31">
        <v>1</v>
      </c>
      <c r="K409" s="32">
        <v>0.94505471428571419</v>
      </c>
      <c r="M409" s="36">
        <v>419</v>
      </c>
      <c r="O409" s="30"/>
      <c r="P409" s="37" t="s">
        <v>10</v>
      </c>
    </row>
    <row r="410" spans="2:16" x14ac:dyDescent="0.25">
      <c r="B410" t="s">
        <v>46</v>
      </c>
      <c r="C410" t="s">
        <v>62</v>
      </c>
      <c r="D410" t="s">
        <v>13</v>
      </c>
      <c r="E410" s="6">
        <v>0.85</v>
      </c>
      <c r="F410" t="s">
        <v>20</v>
      </c>
      <c r="G410"/>
      <c r="H410" s="33">
        <v>0.91925924444444451</v>
      </c>
      <c r="I410" s="31">
        <v>0.90537631111111116</v>
      </c>
      <c r="J410" s="31">
        <v>0.89999997777777785</v>
      </c>
      <c r="K410" s="32">
        <v>0.91248072869352881</v>
      </c>
      <c r="M410" s="36">
        <v>375.66666666666669</v>
      </c>
      <c r="O410" s="30"/>
      <c r="P410" s="37" t="s">
        <v>10</v>
      </c>
    </row>
    <row r="411" spans="2:16" x14ac:dyDescent="0.25">
      <c r="B411" t="s">
        <v>46</v>
      </c>
      <c r="C411" t="s">
        <v>62</v>
      </c>
      <c r="D411" t="s">
        <v>13</v>
      </c>
      <c r="E411" s="6">
        <v>0.85</v>
      </c>
      <c r="F411" t="s">
        <v>15</v>
      </c>
      <c r="G411"/>
      <c r="H411" s="33">
        <v>0.6</v>
      </c>
      <c r="I411" s="31">
        <v>0.5</v>
      </c>
      <c r="J411" s="31">
        <v>0.25</v>
      </c>
      <c r="K411" s="32">
        <v>0.47563299450549446</v>
      </c>
      <c r="M411" s="36">
        <v>349</v>
      </c>
      <c r="O411" s="30"/>
      <c r="P411" s="37" t="s">
        <v>10</v>
      </c>
    </row>
    <row r="412" spans="2:16" x14ac:dyDescent="0.25">
      <c r="B412" t="s">
        <v>46</v>
      </c>
      <c r="C412" s="35" t="s">
        <v>62</v>
      </c>
      <c r="D412" t="s">
        <v>51</v>
      </c>
      <c r="E412" s="6">
        <v>0.90338164251207731</v>
      </c>
      <c r="F412" t="s">
        <v>63</v>
      </c>
      <c r="G412"/>
      <c r="H412" s="33">
        <v>1</v>
      </c>
      <c r="I412" s="31">
        <v>0.96434631578947383</v>
      </c>
      <c r="J412" s="31">
        <v>0.93567247368421058</v>
      </c>
      <c r="K412" s="32">
        <v>0.96748557547715452</v>
      </c>
      <c r="M412" s="36">
        <v>3689</v>
      </c>
      <c r="O412" s="30"/>
      <c r="P412" s="37" t="s">
        <v>10</v>
      </c>
    </row>
    <row r="413" spans="2:16" x14ac:dyDescent="0.25">
      <c r="B413" t="s">
        <v>46</v>
      </c>
      <c r="C413" s="35" t="s">
        <v>62</v>
      </c>
      <c r="D413" t="s">
        <v>51</v>
      </c>
      <c r="E413" s="6">
        <v>0.90338164251207731</v>
      </c>
      <c r="F413" t="s">
        <v>65</v>
      </c>
      <c r="G413"/>
      <c r="H413" s="33">
        <v>0.67500000000000004</v>
      </c>
      <c r="I413" s="31">
        <v>0.60483850000000006</v>
      </c>
      <c r="J413" s="31">
        <v>0.75</v>
      </c>
      <c r="K413" s="32">
        <v>0.67582410439560447</v>
      </c>
      <c r="M413" s="36">
        <v>2789</v>
      </c>
      <c r="O413" s="30"/>
      <c r="P413" s="37" t="s">
        <v>10</v>
      </c>
    </row>
    <row r="414" spans="2:16" x14ac:dyDescent="0.25">
      <c r="B414" t="s">
        <v>46</v>
      </c>
      <c r="C414" t="s">
        <v>109</v>
      </c>
      <c r="D414" t="s">
        <v>19</v>
      </c>
      <c r="E414" s="6">
        <v>0.9715762273901809</v>
      </c>
      <c r="F414" t="s">
        <v>87</v>
      </c>
      <c r="G414"/>
      <c r="H414" s="33">
        <v>1</v>
      </c>
      <c r="I414" s="31">
        <v>0.96176818518518514</v>
      </c>
      <c r="J414" s="31">
        <v>0.96707818518518518</v>
      </c>
      <c r="K414" s="32">
        <v>0.97848204354904356</v>
      </c>
      <c r="M414" s="36">
        <v>5009</v>
      </c>
      <c r="O414" s="29">
        <v>0.05</v>
      </c>
      <c r="P414" s="37">
        <v>5259.45</v>
      </c>
    </row>
    <row r="415" spans="2:16" x14ac:dyDescent="0.25">
      <c r="B415" t="s">
        <v>46</v>
      </c>
      <c r="C415" t="s">
        <v>109</v>
      </c>
      <c r="D415" t="s">
        <v>19</v>
      </c>
      <c r="E415" s="6">
        <v>0.9715762273901809</v>
      </c>
      <c r="F415" t="s">
        <v>111</v>
      </c>
      <c r="G415"/>
      <c r="H415" s="33">
        <v>1</v>
      </c>
      <c r="I415" s="31">
        <v>0.99354819999999999</v>
      </c>
      <c r="J415" s="31">
        <v>0.96666659999999993</v>
      </c>
      <c r="K415" s="32">
        <v>0.97486848571428575</v>
      </c>
      <c r="M415" s="36">
        <v>5859</v>
      </c>
      <c r="O415" s="29">
        <v>0.05</v>
      </c>
      <c r="P415" s="37">
        <v>6151.95</v>
      </c>
    </row>
    <row r="416" spans="2:16" x14ac:dyDescent="0.25">
      <c r="B416" t="s">
        <v>46</v>
      </c>
      <c r="C416" t="s">
        <v>109</v>
      </c>
      <c r="D416" t="s">
        <v>19</v>
      </c>
      <c r="E416" s="6">
        <v>0.9715762273901809</v>
      </c>
      <c r="F416" t="s">
        <v>112</v>
      </c>
      <c r="G416"/>
      <c r="H416" s="33">
        <v>0.91666650000000005</v>
      </c>
      <c r="I416" s="31">
        <v>0.90322575000000005</v>
      </c>
      <c r="J416" s="31">
        <v>1</v>
      </c>
      <c r="K416" s="32">
        <v>0.9395603653846154</v>
      </c>
      <c r="M416" s="36">
        <v>6409</v>
      </c>
      <c r="O416" s="30"/>
      <c r="P416" s="37" t="s">
        <v>10</v>
      </c>
    </row>
    <row r="417" spans="2:16" x14ac:dyDescent="0.25">
      <c r="B417" t="s">
        <v>46</v>
      </c>
      <c r="C417" t="s">
        <v>109</v>
      </c>
      <c r="D417" t="s">
        <v>19</v>
      </c>
      <c r="E417" s="6">
        <v>0.9715762273901809</v>
      </c>
      <c r="F417" t="s">
        <v>113</v>
      </c>
      <c r="G417"/>
      <c r="H417" s="33">
        <v>1</v>
      </c>
      <c r="I417" s="31">
        <v>1</v>
      </c>
      <c r="J417" s="31">
        <v>0.97619042857142857</v>
      </c>
      <c r="K417" s="32">
        <v>0.98361882260596545</v>
      </c>
      <c r="M417" s="36">
        <v>5419</v>
      </c>
      <c r="O417" s="29">
        <v>0.05</v>
      </c>
      <c r="P417" s="37">
        <v>5689.95</v>
      </c>
    </row>
    <row r="418" spans="2:16" x14ac:dyDescent="0.25">
      <c r="B418" t="s">
        <v>46</v>
      </c>
      <c r="C418" t="s">
        <v>109</v>
      </c>
      <c r="D418" t="s">
        <v>21</v>
      </c>
      <c r="E418" s="6">
        <v>0.84482758620689657</v>
      </c>
      <c r="F418" t="s">
        <v>22</v>
      </c>
      <c r="G418"/>
      <c r="H418" s="33">
        <v>0.84492752173913044</v>
      </c>
      <c r="I418" s="31">
        <v>0.83755757142857146</v>
      </c>
      <c r="J418" s="31">
        <v>0.875</v>
      </c>
      <c r="K418" s="32">
        <v>0.85687345371142609</v>
      </c>
      <c r="M418" s="36">
        <v>7139</v>
      </c>
      <c r="O418" s="29"/>
      <c r="P418" s="37" t="s">
        <v>10</v>
      </c>
    </row>
    <row r="419" spans="2:16" x14ac:dyDescent="0.25">
      <c r="B419" t="s">
        <v>46</v>
      </c>
      <c r="C419" t="s">
        <v>109</v>
      </c>
      <c r="D419" t="s">
        <v>21</v>
      </c>
      <c r="E419" s="6">
        <v>0.84482758620689657</v>
      </c>
      <c r="F419" t="s">
        <v>100</v>
      </c>
      <c r="G419"/>
      <c r="H419" s="33">
        <v>0.64666659999999998</v>
      </c>
      <c r="I419" s="31" t="s">
        <v>10</v>
      </c>
      <c r="J419" s="31" t="s">
        <v>10</v>
      </c>
      <c r="K419" s="32">
        <v>0.64666659999999998</v>
      </c>
      <c r="M419" s="36" t="s">
        <v>10</v>
      </c>
      <c r="O419" s="30"/>
      <c r="P419" s="37" t="s">
        <v>10</v>
      </c>
    </row>
    <row r="420" spans="2:16" x14ac:dyDescent="0.25">
      <c r="B420" t="s">
        <v>46</v>
      </c>
      <c r="C420" t="s">
        <v>109</v>
      </c>
      <c r="D420" t="s">
        <v>21</v>
      </c>
      <c r="E420" s="6">
        <v>0.84482758620689657</v>
      </c>
      <c r="F420" t="s">
        <v>23</v>
      </c>
      <c r="G420"/>
      <c r="H420" s="33">
        <v>0</v>
      </c>
      <c r="I420" s="31">
        <v>0</v>
      </c>
      <c r="J420" s="31">
        <v>0</v>
      </c>
      <c r="K420" s="32">
        <v>0</v>
      </c>
      <c r="M420" s="36">
        <v>8209</v>
      </c>
      <c r="O420" s="30"/>
      <c r="P420" s="37" t="s">
        <v>10</v>
      </c>
    </row>
    <row r="421" spans="2:16" x14ac:dyDescent="0.25">
      <c r="B421" t="s">
        <v>46</v>
      </c>
      <c r="C421" t="s">
        <v>109</v>
      </c>
      <c r="D421" t="s">
        <v>64</v>
      </c>
      <c r="E421" s="6">
        <v>0.9715762273901809</v>
      </c>
      <c r="F421" t="s">
        <v>111</v>
      </c>
      <c r="G421"/>
      <c r="H421" s="33">
        <v>1</v>
      </c>
      <c r="I421" s="31">
        <v>0.99354819999999999</v>
      </c>
      <c r="J421" s="31">
        <v>0.96666659999999993</v>
      </c>
      <c r="K421" s="32">
        <v>0.97486848571428575</v>
      </c>
      <c r="M421" s="36">
        <v>3749</v>
      </c>
      <c r="O421" s="29">
        <v>2.5000000000000001E-2</v>
      </c>
      <c r="P421" s="37">
        <v>3842.7249999999995</v>
      </c>
    </row>
    <row r="422" spans="2:16" x14ac:dyDescent="0.25">
      <c r="B422" t="s">
        <v>46</v>
      </c>
      <c r="C422" t="s">
        <v>109</v>
      </c>
      <c r="D422" t="s">
        <v>64</v>
      </c>
      <c r="E422" s="6">
        <v>0.9715762273901809</v>
      </c>
      <c r="F422" t="s">
        <v>87</v>
      </c>
      <c r="G422"/>
      <c r="H422" s="33">
        <v>1</v>
      </c>
      <c r="I422" s="31">
        <v>0.96176818518518514</v>
      </c>
      <c r="J422" s="31">
        <v>0.96707818518518518</v>
      </c>
      <c r="K422" s="32">
        <v>0.97848204354904356</v>
      </c>
      <c r="M422" s="36">
        <v>3229</v>
      </c>
      <c r="O422" s="29">
        <v>2.5000000000000001E-2</v>
      </c>
      <c r="P422" s="37">
        <v>3309.7249999999999</v>
      </c>
    </row>
    <row r="423" spans="2:16" x14ac:dyDescent="0.25">
      <c r="B423" t="s">
        <v>46</v>
      </c>
      <c r="C423" t="s">
        <v>109</v>
      </c>
      <c r="D423" t="s">
        <v>64</v>
      </c>
      <c r="E423" s="6">
        <v>0.9715762273901809</v>
      </c>
      <c r="F423" t="s">
        <v>113</v>
      </c>
      <c r="G423"/>
      <c r="H423" s="33">
        <v>1</v>
      </c>
      <c r="I423" s="31">
        <v>1</v>
      </c>
      <c r="J423" s="31">
        <v>0.97619042857142857</v>
      </c>
      <c r="K423" s="32">
        <v>0.98361882260596545</v>
      </c>
      <c r="M423" s="36">
        <v>3739</v>
      </c>
      <c r="O423" s="29">
        <v>2.5000000000000001E-2</v>
      </c>
      <c r="P423" s="37">
        <v>3832.4749999999995</v>
      </c>
    </row>
    <row r="424" spans="2:16" x14ac:dyDescent="0.25">
      <c r="B424" t="s">
        <v>46</v>
      </c>
      <c r="C424" t="s">
        <v>109</v>
      </c>
      <c r="D424" t="s">
        <v>64</v>
      </c>
      <c r="E424" s="6">
        <v>0.9715762273901809</v>
      </c>
      <c r="F424" t="s">
        <v>112</v>
      </c>
      <c r="G424"/>
      <c r="H424" s="33">
        <v>0.91666650000000005</v>
      </c>
      <c r="I424" s="31">
        <v>0.90322575000000005</v>
      </c>
      <c r="J424" s="31">
        <v>1</v>
      </c>
      <c r="K424" s="32">
        <v>0.9395603653846154</v>
      </c>
      <c r="M424" s="36">
        <v>4049</v>
      </c>
      <c r="O424" s="30"/>
      <c r="P424" s="37" t="s">
        <v>10</v>
      </c>
    </row>
    <row r="425" spans="2:16" x14ac:dyDescent="0.25">
      <c r="B425" t="s">
        <v>46</v>
      </c>
      <c r="C425" t="s">
        <v>109</v>
      </c>
      <c r="D425" t="s">
        <v>13</v>
      </c>
      <c r="E425" s="6">
        <v>0.83083645443196008</v>
      </c>
      <c r="F425" t="s">
        <v>79</v>
      </c>
      <c r="G425"/>
      <c r="H425" s="33">
        <v>0.96926709219858154</v>
      </c>
      <c r="I425" s="31">
        <v>0.8860214666666667</v>
      </c>
      <c r="J425" s="31">
        <v>0.82962960000000008</v>
      </c>
      <c r="K425" s="32">
        <v>0.90387985949177885</v>
      </c>
      <c r="M425" s="36">
        <v>419</v>
      </c>
      <c r="O425" s="30"/>
      <c r="P425" s="37" t="s">
        <v>10</v>
      </c>
    </row>
    <row r="426" spans="2:16" x14ac:dyDescent="0.25">
      <c r="B426" t="s">
        <v>46</v>
      </c>
      <c r="C426" t="s">
        <v>109</v>
      </c>
      <c r="D426" t="s">
        <v>13</v>
      </c>
      <c r="E426" s="6">
        <v>0.83083645443196008</v>
      </c>
      <c r="F426" t="s">
        <v>14</v>
      </c>
      <c r="G426"/>
      <c r="H426" s="33">
        <v>0.97255574614065188</v>
      </c>
      <c r="I426" s="31">
        <v>0.95053401900664214</v>
      </c>
      <c r="J426" s="31">
        <v>0.84600389473684212</v>
      </c>
      <c r="K426" s="32">
        <v>0.92423261343672813</v>
      </c>
      <c r="M426" s="36">
        <v>389</v>
      </c>
      <c r="O426" s="30"/>
      <c r="P426" s="37" t="s">
        <v>10</v>
      </c>
    </row>
    <row r="427" spans="2:16" x14ac:dyDescent="0.25">
      <c r="B427" t="s">
        <v>46</v>
      </c>
      <c r="C427" t="s">
        <v>109</v>
      </c>
      <c r="D427" t="s">
        <v>13</v>
      </c>
      <c r="E427" s="6">
        <v>0.83083645443196008</v>
      </c>
      <c r="F427" t="s">
        <v>15</v>
      </c>
      <c r="G427"/>
      <c r="H427" s="33">
        <v>0.8333332967032967</v>
      </c>
      <c r="I427" s="31">
        <v>0.89365669418996363</v>
      </c>
      <c r="J427" s="31">
        <v>0.781045705882353</v>
      </c>
      <c r="K427" s="32">
        <v>0.83657414388086337</v>
      </c>
      <c r="M427" s="36">
        <v>319</v>
      </c>
      <c r="O427" s="30"/>
      <c r="P427" s="37" t="s">
        <v>10</v>
      </c>
    </row>
    <row r="428" spans="2:16" x14ac:dyDescent="0.25">
      <c r="B428" t="s">
        <v>46</v>
      </c>
      <c r="C428" t="s">
        <v>114</v>
      </c>
      <c r="D428" t="s">
        <v>19</v>
      </c>
      <c r="E428" s="6">
        <v>1</v>
      </c>
      <c r="F428" t="s">
        <v>20</v>
      </c>
      <c r="G428"/>
      <c r="H428" s="33">
        <v>1</v>
      </c>
      <c r="I428" s="31">
        <v>0.99130436501575336</v>
      </c>
      <c r="J428" s="31">
        <v>1</v>
      </c>
      <c r="K428" s="32">
        <v>1.0078008442805786</v>
      </c>
      <c r="M428" s="36">
        <v>5997.4615384615381</v>
      </c>
      <c r="O428" s="29">
        <v>0.05</v>
      </c>
      <c r="P428" s="37">
        <v>6297.3346153846151</v>
      </c>
    </row>
    <row r="429" spans="2:16" x14ac:dyDescent="0.25">
      <c r="B429" t="s">
        <v>46</v>
      </c>
      <c r="C429" t="s">
        <v>114</v>
      </c>
      <c r="D429" t="s">
        <v>19</v>
      </c>
      <c r="E429" s="6">
        <v>1</v>
      </c>
      <c r="F429" t="s">
        <v>15</v>
      </c>
      <c r="G429"/>
      <c r="H429" s="33">
        <v>1</v>
      </c>
      <c r="I429" s="31">
        <v>1</v>
      </c>
      <c r="J429" s="31">
        <v>1</v>
      </c>
      <c r="K429" s="32">
        <v>1</v>
      </c>
      <c r="M429" s="36">
        <v>6219</v>
      </c>
      <c r="O429" s="29">
        <v>2.5000000000000001E-2</v>
      </c>
      <c r="P429" s="37">
        <v>6374.4749999999995</v>
      </c>
    </row>
    <row r="430" spans="2:16" x14ac:dyDescent="0.25">
      <c r="B430" t="s">
        <v>46</v>
      </c>
      <c r="C430" t="s">
        <v>114</v>
      </c>
      <c r="D430" t="s">
        <v>21</v>
      </c>
      <c r="E430" s="6">
        <v>1</v>
      </c>
      <c r="F430" t="s">
        <v>115</v>
      </c>
      <c r="G430"/>
      <c r="H430" s="33">
        <v>1</v>
      </c>
      <c r="I430" s="31">
        <v>0.83870966666666658</v>
      </c>
      <c r="J430" s="31">
        <v>1</v>
      </c>
      <c r="K430" s="32">
        <v>0.94505494139194146</v>
      </c>
      <c r="M430" s="36">
        <v>7099</v>
      </c>
      <c r="O430" s="30"/>
      <c r="P430" s="37" t="s">
        <v>10</v>
      </c>
    </row>
    <row r="431" spans="2:16" x14ac:dyDescent="0.25">
      <c r="B431" t="s">
        <v>46</v>
      </c>
      <c r="C431" t="s">
        <v>114</v>
      </c>
      <c r="D431" t="s">
        <v>21</v>
      </c>
      <c r="E431" s="6">
        <v>1</v>
      </c>
      <c r="F431" t="s">
        <v>116</v>
      </c>
      <c r="G431"/>
      <c r="H431" s="33">
        <v>1</v>
      </c>
      <c r="I431" s="31">
        <v>1</v>
      </c>
      <c r="J431" s="31">
        <v>1</v>
      </c>
      <c r="K431" s="32">
        <v>1</v>
      </c>
      <c r="M431" s="36">
        <v>7579</v>
      </c>
      <c r="O431" s="29"/>
      <c r="P431" s="37" t="s">
        <v>10</v>
      </c>
    </row>
    <row r="432" spans="2:16" x14ac:dyDescent="0.25">
      <c r="B432" t="s">
        <v>46</v>
      </c>
      <c r="C432" t="s">
        <v>114</v>
      </c>
      <c r="D432" t="s">
        <v>21</v>
      </c>
      <c r="E432" s="6">
        <v>1</v>
      </c>
      <c r="F432" t="s">
        <v>117</v>
      </c>
      <c r="G432"/>
      <c r="H432" s="33">
        <v>1</v>
      </c>
      <c r="I432" s="31">
        <v>1</v>
      </c>
      <c r="J432" s="31">
        <v>1</v>
      </c>
      <c r="K432" s="32">
        <v>1</v>
      </c>
      <c r="M432" s="36">
        <v>7209</v>
      </c>
      <c r="O432" s="29">
        <v>5.0999999999999997E-2</v>
      </c>
      <c r="P432" s="37">
        <v>7576.6589999999997</v>
      </c>
    </row>
    <row r="433" spans="2:16" x14ac:dyDescent="0.25">
      <c r="B433" t="s">
        <v>46</v>
      </c>
      <c r="C433" t="s">
        <v>114</v>
      </c>
      <c r="D433" t="s">
        <v>64</v>
      </c>
      <c r="E433" s="6">
        <v>1</v>
      </c>
      <c r="F433" t="s">
        <v>15</v>
      </c>
      <c r="G433"/>
      <c r="H433" s="33">
        <v>1</v>
      </c>
      <c r="I433" s="31">
        <v>1</v>
      </c>
      <c r="J433" s="31">
        <v>1</v>
      </c>
      <c r="K433" s="32">
        <v>1</v>
      </c>
      <c r="M433" s="36">
        <v>3669</v>
      </c>
      <c r="O433" s="29">
        <v>2.5000000000000001E-2</v>
      </c>
      <c r="P433" s="37">
        <v>3760.7249999999995</v>
      </c>
    </row>
    <row r="434" spans="2:16" x14ac:dyDescent="0.25">
      <c r="B434" t="s">
        <v>46</v>
      </c>
      <c r="C434" t="s">
        <v>114</v>
      </c>
      <c r="D434" t="s">
        <v>64</v>
      </c>
      <c r="E434" s="6">
        <v>1</v>
      </c>
      <c r="F434" t="s">
        <v>20</v>
      </c>
      <c r="G434"/>
      <c r="H434" s="33">
        <v>1</v>
      </c>
      <c r="I434" s="31">
        <v>0.99130436501575336</v>
      </c>
      <c r="J434" s="31">
        <v>1</v>
      </c>
      <c r="K434" s="32">
        <v>1.0078008442805786</v>
      </c>
      <c r="M434" s="36">
        <v>3239</v>
      </c>
      <c r="O434" s="29">
        <v>2.5000000000000001E-2</v>
      </c>
      <c r="P434" s="37">
        <v>3319.9749999999999</v>
      </c>
    </row>
    <row r="435" spans="2:16" x14ac:dyDescent="0.25">
      <c r="B435" t="s">
        <v>46</v>
      </c>
      <c r="C435" t="s">
        <v>114</v>
      </c>
      <c r="D435" t="s">
        <v>13</v>
      </c>
      <c r="E435" s="6">
        <v>0.95740740740740737</v>
      </c>
      <c r="F435" t="s">
        <v>14</v>
      </c>
      <c r="G435"/>
      <c r="H435" s="33">
        <v>0.88666666666666671</v>
      </c>
      <c r="I435" s="31">
        <v>0.85268816666666669</v>
      </c>
      <c r="J435" s="31">
        <v>0.93148146666666665</v>
      </c>
      <c r="K435" s="32">
        <v>0.89143174908424905</v>
      </c>
      <c r="M435" s="36">
        <v>409</v>
      </c>
      <c r="O435" s="30"/>
      <c r="P435" s="37" t="s">
        <v>10</v>
      </c>
    </row>
    <row r="436" spans="2:16" x14ac:dyDescent="0.25">
      <c r="B436" t="s">
        <v>46</v>
      </c>
      <c r="C436" t="s">
        <v>114</v>
      </c>
      <c r="D436" t="s">
        <v>13</v>
      </c>
      <c r="E436" s="6">
        <v>0.95740740740740737</v>
      </c>
      <c r="F436" t="s">
        <v>15</v>
      </c>
      <c r="G436"/>
      <c r="H436" s="33">
        <v>0.97499999999999998</v>
      </c>
      <c r="I436" s="31">
        <v>0.98963132142857135</v>
      </c>
      <c r="J436" s="31">
        <v>0.9821428571428571</v>
      </c>
      <c r="K436" s="32">
        <v>0.98361885282574568</v>
      </c>
      <c r="M436" s="36">
        <v>349</v>
      </c>
      <c r="O436" s="29">
        <v>2.5000000000000001E-2</v>
      </c>
      <c r="P436" s="37">
        <v>357.72499999999997</v>
      </c>
    </row>
    <row r="437" spans="2:16" x14ac:dyDescent="0.25">
      <c r="B437" t="s">
        <v>46</v>
      </c>
      <c r="C437" t="s">
        <v>114</v>
      </c>
      <c r="D437" t="s">
        <v>13</v>
      </c>
      <c r="E437" s="6">
        <v>0.95740740740740737</v>
      </c>
      <c r="F437" t="s">
        <v>79</v>
      </c>
      <c r="G437"/>
      <c r="H437" s="33">
        <v>1</v>
      </c>
      <c r="I437" s="31">
        <v>0.96774150000000003</v>
      </c>
      <c r="J437" s="31">
        <v>1</v>
      </c>
      <c r="K437" s="32">
        <v>0.98901084065934075</v>
      </c>
      <c r="M437" s="36">
        <v>509</v>
      </c>
      <c r="O437" s="29">
        <v>2.5000000000000001E-2</v>
      </c>
      <c r="P437" s="37">
        <v>521.72499999999991</v>
      </c>
    </row>
    <row r="438" spans="2:16" x14ac:dyDescent="0.25">
      <c r="B438" t="s">
        <v>46</v>
      </c>
      <c r="C438" t="s">
        <v>119</v>
      </c>
      <c r="D438" t="s">
        <v>19</v>
      </c>
      <c r="E438" s="6">
        <v>0.98611111111111105</v>
      </c>
      <c r="F438" t="s">
        <v>20</v>
      </c>
      <c r="G438"/>
      <c r="H438" s="33">
        <v>0.97499999999999998</v>
      </c>
      <c r="I438" s="31">
        <v>1</v>
      </c>
      <c r="J438" s="31">
        <v>0.99305549999999998</v>
      </c>
      <c r="K438" s="32">
        <v>0.98996654532967032</v>
      </c>
      <c r="M438" s="36">
        <v>4179</v>
      </c>
      <c r="O438" s="29">
        <v>0.05</v>
      </c>
      <c r="P438" s="37">
        <v>4387.95</v>
      </c>
    </row>
    <row r="439" spans="2:16" x14ac:dyDescent="0.25">
      <c r="B439" t="s">
        <v>46</v>
      </c>
      <c r="C439" t="s">
        <v>119</v>
      </c>
      <c r="D439" t="s">
        <v>19</v>
      </c>
      <c r="E439" s="6">
        <v>0.98611111111111105</v>
      </c>
      <c r="F439" t="s">
        <v>87</v>
      </c>
      <c r="G439"/>
      <c r="H439" s="33">
        <v>0.91228068421052633</v>
      </c>
      <c r="I439" s="31">
        <v>0.98811542105263162</v>
      </c>
      <c r="J439" s="31">
        <v>0.97368421052631582</v>
      </c>
      <c r="K439" s="32">
        <v>0.9564714245228455</v>
      </c>
      <c r="M439" s="36">
        <v>5389</v>
      </c>
      <c r="O439" s="29">
        <v>0.05</v>
      </c>
      <c r="P439" s="37">
        <v>5658.45</v>
      </c>
    </row>
    <row r="440" spans="2:16" x14ac:dyDescent="0.25">
      <c r="B440" t="s">
        <v>46</v>
      </c>
      <c r="C440" t="s">
        <v>119</v>
      </c>
      <c r="D440" t="s">
        <v>19</v>
      </c>
      <c r="E440" s="6">
        <v>0.98611111111111105</v>
      </c>
      <c r="F440" t="s">
        <v>113</v>
      </c>
      <c r="G440"/>
      <c r="H440" s="33">
        <v>1</v>
      </c>
      <c r="I440" s="31">
        <v>1</v>
      </c>
      <c r="J440" s="31">
        <v>1</v>
      </c>
      <c r="K440" s="32">
        <v>1</v>
      </c>
      <c r="M440" s="36">
        <v>5729</v>
      </c>
      <c r="O440" s="29">
        <v>0.05</v>
      </c>
      <c r="P440" s="37">
        <v>6015.45</v>
      </c>
    </row>
    <row r="441" spans="2:16" x14ac:dyDescent="0.25">
      <c r="B441" t="s">
        <v>46</v>
      </c>
      <c r="C441" t="s">
        <v>119</v>
      </c>
      <c r="D441" t="s">
        <v>19</v>
      </c>
      <c r="E441" s="6">
        <v>0.98611111111111105</v>
      </c>
      <c r="F441" t="s">
        <v>111</v>
      </c>
      <c r="G441"/>
      <c r="H441" s="33">
        <v>1</v>
      </c>
      <c r="I441" s="31">
        <v>1</v>
      </c>
      <c r="J441" s="31">
        <v>1</v>
      </c>
      <c r="K441" s="32">
        <v>1</v>
      </c>
      <c r="M441" s="36">
        <v>6839</v>
      </c>
      <c r="O441" s="29">
        <v>2.5000000000000001E-2</v>
      </c>
      <c r="P441" s="37">
        <v>7009.9749999999995</v>
      </c>
    </row>
    <row r="442" spans="2:16" x14ac:dyDescent="0.25">
      <c r="B442" t="s">
        <v>46</v>
      </c>
      <c r="C442" t="s">
        <v>119</v>
      </c>
      <c r="D442" t="s">
        <v>21</v>
      </c>
      <c r="E442" s="6">
        <v>1</v>
      </c>
      <c r="F442" t="s">
        <v>120</v>
      </c>
      <c r="G442"/>
      <c r="H442" s="33">
        <v>1</v>
      </c>
      <c r="I442" s="31">
        <v>1</v>
      </c>
      <c r="J442" s="31">
        <v>1</v>
      </c>
      <c r="K442" s="32">
        <v>1</v>
      </c>
      <c r="M442" s="36">
        <v>6899</v>
      </c>
      <c r="O442" s="29">
        <v>0.05</v>
      </c>
      <c r="P442" s="37">
        <v>7243.9500000000007</v>
      </c>
    </row>
    <row r="443" spans="2:16" x14ac:dyDescent="0.25">
      <c r="B443" t="s">
        <v>46</v>
      </c>
      <c r="C443" t="s">
        <v>119</v>
      </c>
      <c r="D443" t="s">
        <v>21</v>
      </c>
      <c r="E443" s="6">
        <v>1</v>
      </c>
      <c r="F443" t="s">
        <v>37</v>
      </c>
      <c r="G443"/>
      <c r="H443" s="33">
        <v>0.82222200000000001</v>
      </c>
      <c r="I443" s="31">
        <v>0.92473099999999997</v>
      </c>
      <c r="J443" s="31">
        <v>1</v>
      </c>
      <c r="K443" s="32">
        <v>0.91575078021978007</v>
      </c>
      <c r="M443" s="36">
        <v>6279</v>
      </c>
      <c r="O443" s="30"/>
      <c r="P443" s="37" t="s">
        <v>10</v>
      </c>
    </row>
    <row r="444" spans="2:16" x14ac:dyDescent="0.25">
      <c r="B444" t="s">
        <v>46</v>
      </c>
      <c r="C444" t="s">
        <v>119</v>
      </c>
      <c r="D444" t="s">
        <v>21</v>
      </c>
      <c r="E444" s="6">
        <v>1</v>
      </c>
      <c r="F444" t="s">
        <v>50</v>
      </c>
      <c r="G444"/>
      <c r="H444" s="33">
        <v>0.66666666666666663</v>
      </c>
      <c r="I444" s="31">
        <v>0.93548366666666671</v>
      </c>
      <c r="J444" s="31">
        <v>1</v>
      </c>
      <c r="K444" s="32">
        <v>0.8681317985347986</v>
      </c>
      <c r="M444" s="36">
        <v>6785.666666666667</v>
      </c>
      <c r="O444" s="30"/>
      <c r="P444" s="37" t="s">
        <v>10</v>
      </c>
    </row>
    <row r="445" spans="2:16" x14ac:dyDescent="0.25">
      <c r="B445" t="s">
        <v>46</v>
      </c>
      <c r="C445" t="s">
        <v>119</v>
      </c>
      <c r="D445" t="s">
        <v>64</v>
      </c>
      <c r="E445" s="6">
        <v>0.98611111111111105</v>
      </c>
      <c r="F445" t="s">
        <v>87</v>
      </c>
      <c r="G445"/>
      <c r="H445" s="33">
        <v>0.91228068421052633</v>
      </c>
      <c r="I445" s="31">
        <v>0.98811542105263162</v>
      </c>
      <c r="J445" s="31">
        <v>0.97368421052631582</v>
      </c>
      <c r="K445" s="32">
        <v>0.9564714245228455</v>
      </c>
      <c r="M445" s="36">
        <v>3879</v>
      </c>
      <c r="O445" s="29">
        <v>2.5000000000000001E-2</v>
      </c>
      <c r="P445" s="37">
        <v>3975.9749999999995</v>
      </c>
    </row>
    <row r="446" spans="2:16" x14ac:dyDescent="0.25">
      <c r="B446" t="s">
        <v>46</v>
      </c>
      <c r="C446" t="s">
        <v>119</v>
      </c>
      <c r="D446" t="s">
        <v>64</v>
      </c>
      <c r="E446" s="6">
        <v>0.98611111111111105</v>
      </c>
      <c r="F446" t="s">
        <v>113</v>
      </c>
      <c r="G446"/>
      <c r="H446" s="33">
        <v>1</v>
      </c>
      <c r="I446" s="31">
        <v>1</v>
      </c>
      <c r="J446" s="31">
        <v>1</v>
      </c>
      <c r="K446" s="32">
        <v>1</v>
      </c>
      <c r="M446" s="36">
        <v>4169</v>
      </c>
      <c r="O446" s="29">
        <v>2.5000000000000001E-2</v>
      </c>
      <c r="P446" s="37">
        <v>4273.2249999999995</v>
      </c>
    </row>
    <row r="447" spans="2:16" x14ac:dyDescent="0.25">
      <c r="B447" t="s">
        <v>46</v>
      </c>
      <c r="C447" t="s">
        <v>119</v>
      </c>
      <c r="D447" t="s">
        <v>13</v>
      </c>
      <c r="E447" s="6">
        <v>0.9787581699346406</v>
      </c>
      <c r="F447" t="s">
        <v>15</v>
      </c>
      <c r="G447"/>
      <c r="H447" s="33">
        <v>0.9474747272727273</v>
      </c>
      <c r="I447" s="31">
        <v>0.95210163636363632</v>
      </c>
      <c r="J447" s="31">
        <v>0.97979796969696975</v>
      </c>
      <c r="K447" s="32">
        <v>0.96158911888111875</v>
      </c>
      <c r="M447" s="36">
        <v>369</v>
      </c>
      <c r="O447" s="29">
        <v>4.8969072164948453E-2</v>
      </c>
      <c r="P447" s="37">
        <v>387.06958762886597</v>
      </c>
    </row>
    <row r="448" spans="2:16" x14ac:dyDescent="0.25">
      <c r="B448" t="s">
        <v>46</v>
      </c>
      <c r="C448" t="s">
        <v>119</v>
      </c>
      <c r="D448" t="s">
        <v>13</v>
      </c>
      <c r="E448" s="6">
        <v>0.9787581699346406</v>
      </c>
      <c r="F448" t="s">
        <v>14</v>
      </c>
      <c r="G448"/>
      <c r="H448" s="33">
        <v>0.96666665714285727</v>
      </c>
      <c r="I448" s="31">
        <v>0.93364054285714282</v>
      </c>
      <c r="J448" s="31">
        <v>0.97777777142857147</v>
      </c>
      <c r="K448" s="32">
        <v>0.95166199026687592</v>
      </c>
      <c r="M448" s="36">
        <v>419</v>
      </c>
      <c r="O448" s="30"/>
      <c r="P448" s="37" t="s">
        <v>10</v>
      </c>
    </row>
    <row r="449" spans="2:16" x14ac:dyDescent="0.25">
      <c r="B449" t="s">
        <v>46</v>
      </c>
      <c r="C449" t="s">
        <v>141</v>
      </c>
      <c r="D449" t="s">
        <v>19</v>
      </c>
      <c r="E449" s="6">
        <v>0.88888888888888895</v>
      </c>
      <c r="F449" t="s">
        <v>20</v>
      </c>
      <c r="G449"/>
      <c r="H449" s="33">
        <v>0.89166662500000005</v>
      </c>
      <c r="I449" s="31">
        <v>0.92540318749999995</v>
      </c>
      <c r="J449" s="31">
        <v>0.97916662499999996</v>
      </c>
      <c r="K449" s="32">
        <v>0.9290193207417583</v>
      </c>
      <c r="M449" s="36">
        <v>5689</v>
      </c>
      <c r="O449" s="30"/>
      <c r="P449" s="37" t="s">
        <v>10</v>
      </c>
    </row>
    <row r="450" spans="2:16" x14ac:dyDescent="0.25">
      <c r="B450" t="s">
        <v>46</v>
      </c>
      <c r="C450" t="s">
        <v>141</v>
      </c>
      <c r="D450" t="s">
        <v>19</v>
      </c>
      <c r="E450" s="6">
        <v>0.88888888888888895</v>
      </c>
      <c r="F450" t="s">
        <v>15</v>
      </c>
      <c r="G450"/>
      <c r="H450" s="33">
        <v>0.75</v>
      </c>
      <c r="I450" s="31">
        <v>0.75</v>
      </c>
      <c r="J450" s="31">
        <v>0.75</v>
      </c>
      <c r="K450" s="32">
        <v>0.75</v>
      </c>
      <c r="M450" s="36">
        <v>6409</v>
      </c>
      <c r="O450" s="30"/>
      <c r="P450" s="37" t="s">
        <v>10</v>
      </c>
    </row>
    <row r="451" spans="2:16" x14ac:dyDescent="0.25">
      <c r="B451" t="s">
        <v>46</v>
      </c>
      <c r="C451" t="s">
        <v>141</v>
      </c>
      <c r="D451" t="s">
        <v>19</v>
      </c>
      <c r="E451" s="6">
        <v>0.88888888888888895</v>
      </c>
      <c r="F451" t="s">
        <v>34</v>
      </c>
      <c r="G451"/>
      <c r="H451" s="33">
        <v>0</v>
      </c>
      <c r="I451" s="31">
        <v>0</v>
      </c>
      <c r="J451" s="31">
        <v>0</v>
      </c>
      <c r="K451" s="32">
        <v>2.8666813186813189E-2</v>
      </c>
      <c r="M451" s="36">
        <v>7569</v>
      </c>
      <c r="O451" s="30"/>
      <c r="P451" s="37" t="s">
        <v>10</v>
      </c>
    </row>
    <row r="452" spans="2:16" x14ac:dyDescent="0.25">
      <c r="B452" t="s">
        <v>46</v>
      </c>
      <c r="C452" t="s">
        <v>141</v>
      </c>
      <c r="D452" t="s">
        <v>21</v>
      </c>
      <c r="E452" s="6">
        <v>0.77272727272727271</v>
      </c>
      <c r="F452" t="s">
        <v>17</v>
      </c>
      <c r="G452"/>
      <c r="H452" s="33">
        <v>0.75</v>
      </c>
      <c r="I452" s="31">
        <v>0.75</v>
      </c>
      <c r="J452" s="31">
        <v>0.6875</v>
      </c>
      <c r="K452" s="32">
        <v>0.72491637362637362</v>
      </c>
      <c r="M452" s="36">
        <v>8119</v>
      </c>
      <c r="O452" s="29">
        <v>-2.5000000000000001E-2</v>
      </c>
      <c r="P452" s="37">
        <v>7916.0249999999996</v>
      </c>
    </row>
    <row r="453" spans="2:16" x14ac:dyDescent="0.25">
      <c r="B453" t="s">
        <v>46</v>
      </c>
      <c r="C453" t="s">
        <v>141</v>
      </c>
      <c r="D453" t="s">
        <v>21</v>
      </c>
      <c r="E453" s="6">
        <v>0.77272727272727271</v>
      </c>
      <c r="F453" t="s">
        <v>18</v>
      </c>
      <c r="G453"/>
      <c r="H453" s="33">
        <v>1</v>
      </c>
      <c r="I453" s="31">
        <v>1</v>
      </c>
      <c r="J453" s="31">
        <v>1</v>
      </c>
      <c r="K453" s="32">
        <v>1</v>
      </c>
      <c r="M453" s="36">
        <v>11519</v>
      </c>
      <c r="O453" s="30"/>
      <c r="P453" s="37" t="s">
        <v>10</v>
      </c>
    </row>
    <row r="454" spans="2:16" x14ac:dyDescent="0.25">
      <c r="B454" t="s">
        <v>46</v>
      </c>
      <c r="C454" t="s">
        <v>141</v>
      </c>
      <c r="D454" t="s">
        <v>21</v>
      </c>
      <c r="E454" s="6">
        <v>0.77272727272727271</v>
      </c>
      <c r="F454" t="s">
        <v>110</v>
      </c>
      <c r="G454"/>
      <c r="H454" s="33">
        <v>1</v>
      </c>
      <c r="I454" s="31">
        <v>1</v>
      </c>
      <c r="J454" s="31">
        <v>1</v>
      </c>
      <c r="K454" s="32">
        <v>1</v>
      </c>
      <c r="M454" s="36">
        <v>9009</v>
      </c>
      <c r="O454" s="30"/>
      <c r="P454" s="37" t="s">
        <v>10</v>
      </c>
    </row>
    <row r="455" spans="2:16" x14ac:dyDescent="0.25">
      <c r="B455" t="s">
        <v>46</v>
      </c>
      <c r="C455" t="s">
        <v>141</v>
      </c>
      <c r="D455" t="s">
        <v>13</v>
      </c>
      <c r="E455" s="6">
        <v>0.81003584229390679</v>
      </c>
      <c r="F455" t="s">
        <v>14</v>
      </c>
      <c r="G455"/>
      <c r="H455" s="33">
        <v>0.68095235714285718</v>
      </c>
      <c r="I455" s="31">
        <v>0.70737324999999995</v>
      </c>
      <c r="J455" s="31">
        <v>0.69444442857142863</v>
      </c>
      <c r="K455" s="32">
        <v>0.70247762205651487</v>
      </c>
      <c r="M455" s="36">
        <v>349</v>
      </c>
      <c r="O455" s="30"/>
      <c r="P455" s="37" t="s">
        <v>10</v>
      </c>
    </row>
    <row r="456" spans="2:16" x14ac:dyDescent="0.25">
      <c r="B456" t="s">
        <v>46</v>
      </c>
      <c r="C456" t="s">
        <v>141</v>
      </c>
      <c r="D456" t="s">
        <v>13</v>
      </c>
      <c r="E456" s="6">
        <v>0.81003584229390679</v>
      </c>
      <c r="F456" t="s">
        <v>15</v>
      </c>
      <c r="G456"/>
      <c r="H456" s="33">
        <v>0.97058823529411764</v>
      </c>
      <c r="I456" s="31">
        <v>0.93548385294117642</v>
      </c>
      <c r="J456" s="31">
        <v>0.90522873529411763</v>
      </c>
      <c r="K456" s="32">
        <v>0.93670778312863601</v>
      </c>
      <c r="M456" s="36">
        <v>289</v>
      </c>
      <c r="O456" s="30"/>
      <c r="P456" s="37" t="s">
        <v>10</v>
      </c>
    </row>
    <row r="457" spans="2:16" x14ac:dyDescent="0.25">
      <c r="B457" t="s">
        <v>46</v>
      </c>
      <c r="C457" t="s">
        <v>157</v>
      </c>
      <c r="D457" t="s">
        <v>19</v>
      </c>
      <c r="E457" s="6">
        <v>0.88412698412698409</v>
      </c>
      <c r="F457" t="s">
        <v>111</v>
      </c>
      <c r="G457"/>
      <c r="H457" s="33">
        <v>0</v>
      </c>
      <c r="I457" s="31">
        <v>0</v>
      </c>
      <c r="J457" s="31">
        <v>0</v>
      </c>
      <c r="K457" s="32">
        <v>0</v>
      </c>
      <c r="M457" s="36">
        <v>7589</v>
      </c>
      <c r="O457" s="30"/>
      <c r="P457" s="37" t="s">
        <v>10</v>
      </c>
    </row>
    <row r="458" spans="2:16" x14ac:dyDescent="0.25">
      <c r="B458" t="s">
        <v>46</v>
      </c>
      <c r="C458" t="s">
        <v>157</v>
      </c>
      <c r="D458" t="s">
        <v>19</v>
      </c>
      <c r="E458" s="6">
        <v>0.88412698412698409</v>
      </c>
      <c r="F458" t="s">
        <v>87</v>
      </c>
      <c r="G458"/>
      <c r="H458" s="33">
        <v>0.86875000000000002</v>
      </c>
      <c r="I458" s="31">
        <v>0.93145156250000005</v>
      </c>
      <c r="J458" s="31">
        <v>0.95486106250000002</v>
      </c>
      <c r="K458" s="32">
        <v>0.92173310782967022</v>
      </c>
      <c r="M458" s="36">
        <v>5809</v>
      </c>
      <c r="O458" s="30"/>
      <c r="P458" s="37" t="s">
        <v>10</v>
      </c>
    </row>
    <row r="459" spans="2:16" x14ac:dyDescent="0.25">
      <c r="B459" t="s">
        <v>46</v>
      </c>
      <c r="C459" t="s">
        <v>157</v>
      </c>
      <c r="D459" t="s">
        <v>19</v>
      </c>
      <c r="E459" s="6">
        <v>0.88412698412698409</v>
      </c>
      <c r="F459" t="s">
        <v>31</v>
      </c>
      <c r="G459"/>
      <c r="H459" s="33">
        <v>0.77777777777777779</v>
      </c>
      <c r="I459" s="31">
        <v>0.78494622222222221</v>
      </c>
      <c r="J459" s="31">
        <v>0.85185177777777776</v>
      </c>
      <c r="K459" s="32">
        <v>0.81684981196581197</v>
      </c>
      <c r="M459" s="36">
        <v>5179</v>
      </c>
      <c r="O459" s="30"/>
      <c r="P459" s="37" t="s">
        <v>10</v>
      </c>
    </row>
    <row r="460" spans="2:16" x14ac:dyDescent="0.25">
      <c r="B460" t="s">
        <v>46</v>
      </c>
      <c r="C460" t="s">
        <v>157</v>
      </c>
      <c r="D460" t="s">
        <v>19</v>
      </c>
      <c r="E460" s="6">
        <v>0.88412698412698409</v>
      </c>
      <c r="F460" t="s">
        <v>20</v>
      </c>
      <c r="G460"/>
      <c r="H460" s="33">
        <v>0.9296295555555556</v>
      </c>
      <c r="I460" s="31">
        <v>0.79928311111111106</v>
      </c>
      <c r="J460" s="31">
        <v>0.88888888888888884</v>
      </c>
      <c r="K460" s="32">
        <v>0.87179483272283287</v>
      </c>
      <c r="M460" s="36">
        <v>4629</v>
      </c>
      <c r="O460" s="30"/>
      <c r="P460" s="37" t="s">
        <v>10</v>
      </c>
    </row>
    <row r="461" spans="2:16" x14ac:dyDescent="0.25">
      <c r="B461" t="s">
        <v>46</v>
      </c>
      <c r="C461" t="s">
        <v>157</v>
      </c>
      <c r="D461" t="s">
        <v>13</v>
      </c>
      <c r="E461" s="6">
        <v>0.74465811965811968</v>
      </c>
      <c r="F461" t="s">
        <v>15</v>
      </c>
      <c r="G461"/>
      <c r="H461" s="33">
        <v>0.8098039117647059</v>
      </c>
      <c r="I461" s="31">
        <v>0.76375708823529409</v>
      </c>
      <c r="J461" s="31">
        <v>0.73856208823529412</v>
      </c>
      <c r="K461" s="32">
        <v>0.7699755336134454</v>
      </c>
      <c r="M461" s="36">
        <v>279</v>
      </c>
      <c r="O461" s="30"/>
      <c r="P461" s="37" t="s">
        <v>10</v>
      </c>
    </row>
    <row r="462" spans="2:16" x14ac:dyDescent="0.25">
      <c r="B462" t="s">
        <v>46</v>
      </c>
      <c r="C462" t="s">
        <v>157</v>
      </c>
      <c r="D462" t="s">
        <v>13</v>
      </c>
      <c r="E462" s="6">
        <v>0.74465811965811968</v>
      </c>
      <c r="F462" t="s">
        <v>14</v>
      </c>
      <c r="G462"/>
      <c r="H462" s="33">
        <v>0.6777777777777777</v>
      </c>
      <c r="I462" s="31">
        <v>0.77240138888888898</v>
      </c>
      <c r="J462" s="31">
        <v>0.75617283333333329</v>
      </c>
      <c r="K462" s="32">
        <v>0.73820138888888887</v>
      </c>
      <c r="M462" s="36">
        <v>319</v>
      </c>
      <c r="O462" s="30"/>
      <c r="P462" s="37" t="s">
        <v>10</v>
      </c>
    </row>
    <row r="463" spans="2:16" x14ac:dyDescent="0.25">
      <c r="B463" t="s">
        <v>46</v>
      </c>
      <c r="C463" t="s">
        <v>157</v>
      </c>
      <c r="D463" t="s">
        <v>24</v>
      </c>
      <c r="E463" s="6">
        <v>0.94691358024691363</v>
      </c>
      <c r="F463" t="s">
        <v>158</v>
      </c>
      <c r="G463"/>
      <c r="H463" s="33">
        <v>0.88888888888888884</v>
      </c>
      <c r="I463" s="31">
        <v>0.88888888888888884</v>
      </c>
      <c r="J463" s="31">
        <v>1</v>
      </c>
      <c r="K463" s="32">
        <v>0.92551892551892556</v>
      </c>
      <c r="M463" s="36">
        <v>1069</v>
      </c>
      <c r="O463" s="29">
        <v>6.537789003302899E-2</v>
      </c>
      <c r="P463" s="37">
        <v>1138.8889644453081</v>
      </c>
    </row>
    <row r="464" spans="2:16" s="10" customFormat="1" x14ac:dyDescent="0.25">
      <c r="B464" t="s">
        <v>46</v>
      </c>
      <c r="C464" t="s">
        <v>157</v>
      </c>
      <c r="D464" t="s">
        <v>24</v>
      </c>
      <c r="E464" s="6">
        <v>0.94691358024691363</v>
      </c>
      <c r="F464" t="s">
        <v>159</v>
      </c>
      <c r="G464"/>
      <c r="H464" s="33">
        <v>0.94117647058823528</v>
      </c>
      <c r="I464" s="31">
        <v>0.94117647058823528</v>
      </c>
      <c r="J464" s="31">
        <v>0.91830064705882353</v>
      </c>
      <c r="K464" s="32">
        <v>0.93527444085326439</v>
      </c>
      <c r="L464"/>
      <c r="M464" s="36">
        <v>1579</v>
      </c>
      <c r="N464"/>
      <c r="O464" s="29">
        <v>0.1</v>
      </c>
      <c r="P464" s="37">
        <v>1736.9</v>
      </c>
    </row>
    <row r="465" spans="2:16" x14ac:dyDescent="0.25">
      <c r="B465" t="s">
        <v>46</v>
      </c>
      <c r="C465" t="s">
        <v>157</v>
      </c>
      <c r="D465" t="s">
        <v>24</v>
      </c>
      <c r="E465" s="6">
        <v>0.94691358024691363</v>
      </c>
      <c r="F465" t="s">
        <v>160</v>
      </c>
      <c r="G465"/>
      <c r="H465" s="33">
        <v>0.94736842105263153</v>
      </c>
      <c r="I465" s="31">
        <v>0.94736842105263153</v>
      </c>
      <c r="J465" s="31">
        <v>0.94736842105263153</v>
      </c>
      <c r="K465" s="32">
        <v>0.94736842105263153</v>
      </c>
      <c r="M465" s="36">
        <v>1359</v>
      </c>
      <c r="O465" s="29">
        <v>7.6923076923076927E-2</v>
      </c>
      <c r="P465" s="37">
        <v>1463.5384615384614</v>
      </c>
    </row>
    <row r="466" spans="2:16" x14ac:dyDescent="0.25">
      <c r="B466" t="s">
        <v>46</v>
      </c>
      <c r="C466" t="s">
        <v>190</v>
      </c>
      <c r="D466" t="s">
        <v>19</v>
      </c>
      <c r="E466" s="6">
        <v>0.98202614379084963</v>
      </c>
      <c r="F466" t="s">
        <v>20</v>
      </c>
      <c r="G466"/>
      <c r="H466" s="33">
        <v>0.99420286956521731</v>
      </c>
      <c r="I466" s="31">
        <v>0.98737726086956523</v>
      </c>
      <c r="J466" s="31">
        <v>0.97342991304347837</v>
      </c>
      <c r="K466" s="32">
        <v>0.98070169469660773</v>
      </c>
      <c r="M466" s="36">
        <v>5609</v>
      </c>
      <c r="O466" s="29">
        <v>2.5000000000000001E-2</v>
      </c>
      <c r="P466" s="37">
        <v>5749.2249999999995</v>
      </c>
    </row>
    <row r="467" spans="2:16" x14ac:dyDescent="0.25">
      <c r="B467" t="s">
        <v>46</v>
      </c>
      <c r="C467" t="s">
        <v>190</v>
      </c>
      <c r="D467" t="s">
        <v>19</v>
      </c>
      <c r="E467" s="6">
        <v>0.98202614379084963</v>
      </c>
      <c r="F467" t="s">
        <v>15</v>
      </c>
      <c r="G467"/>
      <c r="H467" s="33">
        <v>0.97407400000000011</v>
      </c>
      <c r="I467" s="31">
        <v>0.94623655555555553</v>
      </c>
      <c r="J467" s="31">
        <v>1</v>
      </c>
      <c r="K467" s="32">
        <v>0.97313794749694738</v>
      </c>
      <c r="M467" s="36">
        <v>5990.1111111111113</v>
      </c>
      <c r="O467" s="29">
        <v>2.5000000000000001E-2</v>
      </c>
      <c r="P467" s="37">
        <v>6139.8638888888881</v>
      </c>
    </row>
    <row r="468" spans="2:16" x14ac:dyDescent="0.25">
      <c r="B468" t="s">
        <v>46</v>
      </c>
      <c r="C468" t="s">
        <v>190</v>
      </c>
      <c r="D468" t="s">
        <v>19</v>
      </c>
      <c r="E468" s="6">
        <v>0.98202614379084963</v>
      </c>
      <c r="F468" t="s">
        <v>31</v>
      </c>
      <c r="G468"/>
      <c r="H468" s="33">
        <v>1</v>
      </c>
      <c r="I468" s="31">
        <v>1</v>
      </c>
      <c r="J468" s="31">
        <v>1</v>
      </c>
      <c r="K468" s="32">
        <v>1</v>
      </c>
      <c r="M468" s="36">
        <v>6059</v>
      </c>
      <c r="O468" s="29">
        <v>2.5000000000000001E-2</v>
      </c>
      <c r="P468" s="37">
        <v>6210.4749999999995</v>
      </c>
    </row>
    <row r="469" spans="2:16" x14ac:dyDescent="0.25">
      <c r="B469" t="s">
        <v>46</v>
      </c>
      <c r="C469" t="s">
        <v>190</v>
      </c>
      <c r="D469" t="s">
        <v>21</v>
      </c>
      <c r="E469" s="6">
        <v>0.77969348659003834</v>
      </c>
      <c r="F469" t="s">
        <v>22</v>
      </c>
      <c r="G469"/>
      <c r="H469" s="33">
        <v>0.88405795652173913</v>
      </c>
      <c r="I469" s="31">
        <v>0.89340813043478273</v>
      </c>
      <c r="J469" s="31">
        <v>0.81642508695652172</v>
      </c>
      <c r="K469" s="32">
        <v>0.8656390668896321</v>
      </c>
      <c r="M469" s="36">
        <v>7569</v>
      </c>
      <c r="O469" s="29">
        <v>-2.5000000000000001E-2</v>
      </c>
      <c r="P469" s="37">
        <v>7379.7749999999996</v>
      </c>
    </row>
    <row r="470" spans="2:16" x14ac:dyDescent="0.25">
      <c r="B470" t="s">
        <v>46</v>
      </c>
      <c r="C470" t="s">
        <v>190</v>
      </c>
      <c r="D470" t="s">
        <v>21</v>
      </c>
      <c r="E470" s="6">
        <v>0.77969348659003834</v>
      </c>
      <c r="F470" t="s">
        <v>23</v>
      </c>
      <c r="G470"/>
      <c r="H470" s="33">
        <v>0.83333333333333337</v>
      </c>
      <c r="I470" s="31">
        <v>0.83333333333333337</v>
      </c>
      <c r="J470" s="31">
        <v>0.63888883333333335</v>
      </c>
      <c r="K470" s="32">
        <v>0.75927690476190479</v>
      </c>
      <c r="M470" s="36">
        <v>7859</v>
      </c>
      <c r="O470" s="29">
        <v>-2.5000000000000001E-2</v>
      </c>
      <c r="P470" s="37">
        <v>7662.5249999999996</v>
      </c>
    </row>
    <row r="471" spans="2:16" x14ac:dyDescent="0.25">
      <c r="B471" t="s">
        <v>46</v>
      </c>
      <c r="C471" t="s">
        <v>190</v>
      </c>
      <c r="D471" t="s">
        <v>13</v>
      </c>
      <c r="E471" s="6">
        <v>0.96481481481481479</v>
      </c>
      <c r="F471" t="s">
        <v>14</v>
      </c>
      <c r="G471"/>
      <c r="H471" s="33">
        <v>0.94791665624999999</v>
      </c>
      <c r="I471" s="31">
        <v>0.95262093749999999</v>
      </c>
      <c r="J471" s="31">
        <v>0.95833331249999998</v>
      </c>
      <c r="K471" s="32">
        <v>0.94832475618131851</v>
      </c>
      <c r="M471" s="36">
        <v>449</v>
      </c>
      <c r="O471" s="30"/>
      <c r="P471" s="37" t="s">
        <v>10</v>
      </c>
    </row>
    <row r="472" spans="2:16" x14ac:dyDescent="0.25">
      <c r="B472" t="s">
        <v>46</v>
      </c>
      <c r="C472" t="s">
        <v>190</v>
      </c>
      <c r="D472" t="s">
        <v>13</v>
      </c>
      <c r="E472" s="6">
        <v>0.96481481481481479</v>
      </c>
      <c r="F472" t="s">
        <v>15</v>
      </c>
      <c r="G472"/>
      <c r="H472" s="33">
        <v>0.96250000000000002</v>
      </c>
      <c r="I472" s="31">
        <v>0.93413974999999994</v>
      </c>
      <c r="J472" s="31">
        <v>0.96759258333333331</v>
      </c>
      <c r="K472" s="32">
        <v>0.95684024450549454</v>
      </c>
      <c r="M472" s="36">
        <v>369</v>
      </c>
      <c r="O472" s="30"/>
      <c r="P472" s="37" t="s">
        <v>10</v>
      </c>
    </row>
    <row r="473" spans="2:16" x14ac:dyDescent="0.25">
      <c r="B473" t="s">
        <v>46</v>
      </c>
      <c r="C473" t="s">
        <v>190</v>
      </c>
      <c r="D473" t="s">
        <v>13</v>
      </c>
      <c r="E473" s="6">
        <v>0.96481481481481479</v>
      </c>
      <c r="F473" t="s">
        <v>79</v>
      </c>
      <c r="G473"/>
      <c r="H473" s="33">
        <v>1</v>
      </c>
      <c r="I473" s="31">
        <v>0.91129024999999997</v>
      </c>
      <c r="J473" s="31">
        <v>1</v>
      </c>
      <c r="K473" s="32">
        <v>0.96978019505494517</v>
      </c>
      <c r="M473" s="36">
        <v>539</v>
      </c>
      <c r="O473" s="30"/>
      <c r="P473" s="37" t="s">
        <v>10</v>
      </c>
    </row>
    <row r="474" spans="2:16" x14ac:dyDescent="0.25">
      <c r="B474" t="s">
        <v>46</v>
      </c>
      <c r="C474" t="s">
        <v>190</v>
      </c>
      <c r="D474" t="s">
        <v>24</v>
      </c>
      <c r="E474" s="6">
        <v>1</v>
      </c>
      <c r="F474" t="s">
        <v>34</v>
      </c>
      <c r="G474"/>
      <c r="H474" s="33">
        <v>0.94166666666666676</v>
      </c>
      <c r="I474" s="31">
        <v>1</v>
      </c>
      <c r="J474" s="31">
        <v>1</v>
      </c>
      <c r="K474" s="32">
        <v>0.98076923076923084</v>
      </c>
      <c r="M474" s="36">
        <v>3149</v>
      </c>
      <c r="O474" s="29">
        <v>2.5000000000000001E-2</v>
      </c>
      <c r="P474" s="37">
        <v>3227.7249999999999</v>
      </c>
    </row>
    <row r="475" spans="2:16" x14ac:dyDescent="0.25">
      <c r="B475" t="s">
        <v>46</v>
      </c>
      <c r="C475" t="s">
        <v>190</v>
      </c>
      <c r="D475" t="s">
        <v>24</v>
      </c>
      <c r="E475" s="6">
        <v>1</v>
      </c>
      <c r="F475" t="s">
        <v>36</v>
      </c>
      <c r="G475"/>
      <c r="H475" s="33">
        <v>0.95454545454545459</v>
      </c>
      <c r="I475" s="31">
        <v>0.97947213636363639</v>
      </c>
      <c r="J475" s="31">
        <v>1</v>
      </c>
      <c r="K475" s="32">
        <v>0.97802197652347644</v>
      </c>
      <c r="M475" s="36">
        <v>3379</v>
      </c>
      <c r="O475" s="29">
        <v>2.5000000000000001E-2</v>
      </c>
      <c r="P475" s="37">
        <v>3463.4749999999999</v>
      </c>
    </row>
    <row r="476" spans="2:16" x14ac:dyDescent="0.25">
      <c r="B476" t="s">
        <v>46</v>
      </c>
      <c r="C476" t="s">
        <v>207</v>
      </c>
      <c r="D476" t="s">
        <v>19</v>
      </c>
      <c r="E476" s="6">
        <v>0.9</v>
      </c>
      <c r="F476" t="s">
        <v>20</v>
      </c>
      <c r="G476"/>
      <c r="H476" s="33">
        <v>0.94374999999999998</v>
      </c>
      <c r="I476" s="31">
        <v>1</v>
      </c>
      <c r="J476" s="31">
        <v>1</v>
      </c>
      <c r="K476" s="32">
        <v>0.98145604395604391</v>
      </c>
      <c r="M476" s="36">
        <v>5239</v>
      </c>
      <c r="O476" s="29">
        <v>0.01</v>
      </c>
      <c r="P476" s="37">
        <v>5291.39</v>
      </c>
    </row>
    <row r="477" spans="2:16" x14ac:dyDescent="0.25">
      <c r="B477" t="s">
        <v>46</v>
      </c>
      <c r="C477" t="s">
        <v>207</v>
      </c>
      <c r="D477" t="s">
        <v>19</v>
      </c>
      <c r="E477" s="6">
        <v>0.9</v>
      </c>
      <c r="F477" t="s">
        <v>87</v>
      </c>
      <c r="G477"/>
      <c r="H477" s="33">
        <v>0.5</v>
      </c>
      <c r="I477" s="31">
        <v>0.55645149999999999</v>
      </c>
      <c r="J477" s="31">
        <v>0.5</v>
      </c>
      <c r="K477" s="32">
        <v>0.51923073076923076</v>
      </c>
      <c r="M477" s="36">
        <v>6319</v>
      </c>
      <c r="O477" s="29">
        <v>-5.0999999999999997E-2</v>
      </c>
      <c r="P477" s="37">
        <v>5996.7309999999998</v>
      </c>
    </row>
    <row r="478" spans="2:16" x14ac:dyDescent="0.25">
      <c r="B478" t="s">
        <v>46</v>
      </c>
      <c r="C478" t="s">
        <v>207</v>
      </c>
      <c r="D478" t="s">
        <v>13</v>
      </c>
      <c r="E478" s="6">
        <v>0.82763532763532766</v>
      </c>
      <c r="F478" t="s">
        <v>15</v>
      </c>
      <c r="G478"/>
      <c r="H478" s="33">
        <v>0.92638887499999989</v>
      </c>
      <c r="I478" s="31">
        <v>0.80241933333333337</v>
      </c>
      <c r="J478" s="31">
        <v>0.8125</v>
      </c>
      <c r="K478" s="32">
        <v>0.84810477289377284</v>
      </c>
      <c r="M478" s="36">
        <v>279</v>
      </c>
      <c r="O478" s="30"/>
      <c r="P478" s="37" t="s">
        <v>10</v>
      </c>
    </row>
    <row r="479" spans="2:16" x14ac:dyDescent="0.25">
      <c r="B479" t="s">
        <v>46</v>
      </c>
      <c r="C479" t="s">
        <v>207</v>
      </c>
      <c r="D479" t="s">
        <v>13</v>
      </c>
      <c r="E479" s="6">
        <v>0.82763532763532766</v>
      </c>
      <c r="F479" t="s">
        <v>14</v>
      </c>
      <c r="G479"/>
      <c r="H479" s="33">
        <v>0.90666666666666662</v>
      </c>
      <c r="I479" s="31">
        <v>0.82580639999999994</v>
      </c>
      <c r="J479" s="31">
        <v>0.85185180000000005</v>
      </c>
      <c r="K479" s="32">
        <v>0.86688960879120869</v>
      </c>
      <c r="M479" s="36">
        <v>329</v>
      </c>
      <c r="O479" s="30"/>
      <c r="P479" s="37" t="s">
        <v>10</v>
      </c>
    </row>
    <row r="480" spans="2:16" x14ac:dyDescent="0.25">
      <c r="B480" t="s">
        <v>46</v>
      </c>
      <c r="C480" s="35" t="s">
        <v>207</v>
      </c>
      <c r="D480" t="s">
        <v>16</v>
      </c>
      <c r="E480" s="6">
        <v>0.94444444444444442</v>
      </c>
      <c r="F480" t="s">
        <v>18</v>
      </c>
      <c r="G480"/>
      <c r="H480" s="33">
        <v>0.969696909090909</v>
      </c>
      <c r="I480" s="31">
        <v>0.87976536363636371</v>
      </c>
      <c r="J480" s="31">
        <v>0.92424236363636358</v>
      </c>
      <c r="K480" s="32">
        <v>0.92950524375624388</v>
      </c>
      <c r="M480" s="36">
        <v>309</v>
      </c>
      <c r="O480" s="30"/>
      <c r="P480" s="37" t="s">
        <v>10</v>
      </c>
    </row>
    <row r="481" spans="2:16" x14ac:dyDescent="0.25">
      <c r="B481" t="s">
        <v>46</v>
      </c>
      <c r="C481" t="s">
        <v>207</v>
      </c>
      <c r="D481" t="s">
        <v>16</v>
      </c>
      <c r="E481" s="6">
        <v>0.94444444444444442</v>
      </c>
      <c r="F481" t="s">
        <v>17</v>
      </c>
      <c r="G481"/>
      <c r="H481" s="33">
        <v>0.96666649999999998</v>
      </c>
      <c r="I481" s="31">
        <v>1</v>
      </c>
      <c r="J481" s="31">
        <v>1</v>
      </c>
      <c r="K481" s="32">
        <v>0.9890109340659341</v>
      </c>
      <c r="M481" s="36">
        <v>329</v>
      </c>
      <c r="O481" s="29">
        <v>1.7910447761194031E-2</v>
      </c>
      <c r="P481" s="37">
        <v>334.8925373134328</v>
      </c>
    </row>
    <row r="482" spans="2:16" x14ac:dyDescent="0.25">
      <c r="B482" t="s">
        <v>46</v>
      </c>
      <c r="C482" t="s">
        <v>210</v>
      </c>
      <c r="D482" t="s">
        <v>19</v>
      </c>
      <c r="E482" s="6">
        <v>0.89777777777777767</v>
      </c>
      <c r="F482" t="s">
        <v>20</v>
      </c>
      <c r="G482"/>
      <c r="H482" s="33">
        <v>0.95000000000000007</v>
      </c>
      <c r="I482" s="31">
        <v>0.95698922222222216</v>
      </c>
      <c r="J482" s="31">
        <v>0.92592588888888883</v>
      </c>
      <c r="K482" s="32">
        <v>0.94179008302808298</v>
      </c>
      <c r="M482" s="36">
        <v>6629</v>
      </c>
      <c r="O482" s="30"/>
      <c r="P482" s="37" t="s">
        <v>10</v>
      </c>
    </row>
    <row r="483" spans="2:16" x14ac:dyDescent="0.25">
      <c r="B483" t="s">
        <v>46</v>
      </c>
      <c r="C483" t="s">
        <v>210</v>
      </c>
      <c r="D483" t="s">
        <v>19</v>
      </c>
      <c r="E483" s="6">
        <v>0.89777777777777767</v>
      </c>
      <c r="F483" t="s">
        <v>15</v>
      </c>
      <c r="G483"/>
      <c r="H483" s="33">
        <v>0.9476190000000001</v>
      </c>
      <c r="I483" s="31">
        <v>0.8571428571428571</v>
      </c>
      <c r="J483" s="31">
        <v>0.82539671428571437</v>
      </c>
      <c r="K483" s="32">
        <v>0.86854135007849298</v>
      </c>
      <c r="M483" s="36">
        <v>7029</v>
      </c>
      <c r="O483" s="30"/>
      <c r="P483" s="37" t="s">
        <v>10</v>
      </c>
    </row>
    <row r="484" spans="2:16" x14ac:dyDescent="0.25">
      <c r="B484" t="s">
        <v>46</v>
      </c>
      <c r="C484" t="s">
        <v>210</v>
      </c>
      <c r="D484" t="s">
        <v>13</v>
      </c>
      <c r="E484" s="6">
        <v>0.88725490196078438</v>
      </c>
      <c r="F484" t="s">
        <v>14</v>
      </c>
      <c r="G484"/>
      <c r="H484" s="33">
        <v>0.83333333333333337</v>
      </c>
      <c r="I484" s="31">
        <v>0.94838706666666672</v>
      </c>
      <c r="J484" s="31">
        <v>0.83703703333333335</v>
      </c>
      <c r="K484" s="32">
        <v>0.8749163743589744</v>
      </c>
      <c r="M484" s="36">
        <v>399</v>
      </c>
      <c r="O484" s="30"/>
      <c r="P484" s="37" t="s">
        <v>10</v>
      </c>
    </row>
    <row r="485" spans="2:16" x14ac:dyDescent="0.25">
      <c r="B485" t="s">
        <v>46</v>
      </c>
      <c r="C485" t="s">
        <v>210</v>
      </c>
      <c r="D485" t="s">
        <v>13</v>
      </c>
      <c r="E485" s="6">
        <v>0.88725490196078438</v>
      </c>
      <c r="F485" t="s">
        <v>15</v>
      </c>
      <c r="G485"/>
      <c r="H485" s="33">
        <v>0.9559523571428572</v>
      </c>
      <c r="I485" s="31">
        <v>0.89861750000000007</v>
      </c>
      <c r="J485" s="31">
        <v>0.9642857142857143</v>
      </c>
      <c r="K485" s="32">
        <v>0.93916796310832018</v>
      </c>
      <c r="M485" s="36">
        <v>319</v>
      </c>
      <c r="O485" s="30"/>
      <c r="P485" s="37" t="s">
        <v>10</v>
      </c>
    </row>
    <row r="486" spans="2:16" x14ac:dyDescent="0.25">
      <c r="B486" t="s">
        <v>46</v>
      </c>
      <c r="C486" t="s">
        <v>210</v>
      </c>
      <c r="D486" t="s">
        <v>13</v>
      </c>
      <c r="E486" s="6">
        <v>0.88725490196078438</v>
      </c>
      <c r="F486" t="s">
        <v>79</v>
      </c>
      <c r="G486"/>
      <c r="H486" s="33">
        <v>0.82</v>
      </c>
      <c r="I486" s="31">
        <v>0.92258060000000008</v>
      </c>
      <c r="J486" s="31">
        <v>0.82222220000000001</v>
      </c>
      <c r="K486" s="32">
        <v>0.85408502857142865</v>
      </c>
      <c r="M486" s="36">
        <v>399</v>
      </c>
      <c r="O486" s="30"/>
      <c r="P486" s="37" t="s">
        <v>10</v>
      </c>
    </row>
    <row r="487" spans="2:16" x14ac:dyDescent="0.25">
      <c r="B487" t="s">
        <v>46</v>
      </c>
      <c r="C487" t="s">
        <v>210</v>
      </c>
      <c r="D487" t="s">
        <v>16</v>
      </c>
      <c r="E487" s="6">
        <v>0.93827160493827166</v>
      </c>
      <c r="F487" t="s">
        <v>211</v>
      </c>
      <c r="G487"/>
      <c r="H487" s="33">
        <v>0.86333330000000008</v>
      </c>
      <c r="I487" s="31">
        <v>0.75483869999999997</v>
      </c>
      <c r="J487" s="31">
        <v>0.88888879999999992</v>
      </c>
      <c r="K487" s="32">
        <v>0.83559480989011004</v>
      </c>
      <c r="M487" s="36">
        <v>409</v>
      </c>
      <c r="O487" s="30"/>
      <c r="P487" s="37" t="s">
        <v>10</v>
      </c>
    </row>
    <row r="488" spans="2:16" x14ac:dyDescent="0.25">
      <c r="B488" t="s">
        <v>46</v>
      </c>
      <c r="C488" t="s">
        <v>210</v>
      </c>
      <c r="D488" t="s">
        <v>16</v>
      </c>
      <c r="E488" s="6">
        <v>0.93827160493827166</v>
      </c>
      <c r="F488" t="s">
        <v>212</v>
      </c>
      <c r="G488"/>
      <c r="H488" s="33">
        <v>0.88333324999999996</v>
      </c>
      <c r="I488" s="31">
        <v>1</v>
      </c>
      <c r="J488" s="31">
        <v>1</v>
      </c>
      <c r="K488" s="32">
        <v>0.96153843406593409</v>
      </c>
      <c r="M488" s="36">
        <v>339</v>
      </c>
      <c r="O488" s="29">
        <v>2.5000000000000001E-2</v>
      </c>
      <c r="P488" s="37">
        <v>347.47499999999997</v>
      </c>
    </row>
    <row r="489" spans="2:16" x14ac:dyDescent="0.25">
      <c r="B489" t="s">
        <v>46</v>
      </c>
      <c r="C489" s="35" t="s">
        <v>210</v>
      </c>
      <c r="D489" t="s">
        <v>24</v>
      </c>
      <c r="E489" s="6">
        <v>0.6962962962962963</v>
      </c>
      <c r="F489" t="s">
        <v>74</v>
      </c>
      <c r="G489"/>
      <c r="H489" s="33">
        <v>0.47857142857142859</v>
      </c>
      <c r="I489" s="31">
        <v>0.5</v>
      </c>
      <c r="J489" s="31">
        <v>0.52380949999999993</v>
      </c>
      <c r="K489" s="32">
        <v>0.50419764521193089</v>
      </c>
      <c r="M489" s="36">
        <v>2699</v>
      </c>
      <c r="O489" s="30"/>
      <c r="P489" s="37" t="s">
        <v>10</v>
      </c>
    </row>
    <row r="490" spans="2:16" x14ac:dyDescent="0.25">
      <c r="B490" t="s">
        <v>46</v>
      </c>
      <c r="C490" s="35" t="s">
        <v>210</v>
      </c>
      <c r="D490" t="s">
        <v>24</v>
      </c>
      <c r="E490" s="6">
        <v>0.6962962962962963</v>
      </c>
      <c r="F490" t="s">
        <v>75</v>
      </c>
      <c r="G490"/>
      <c r="H490" s="33">
        <v>0.64791662499999991</v>
      </c>
      <c r="I490" s="31">
        <v>0.79435481249999995</v>
      </c>
      <c r="J490" s="31">
        <v>0.8472221875</v>
      </c>
      <c r="K490" s="32">
        <v>0.76997727815934069</v>
      </c>
      <c r="M490" s="36">
        <v>2974</v>
      </c>
      <c r="O490" s="30"/>
      <c r="P490" s="37" t="s">
        <v>10</v>
      </c>
    </row>
    <row r="491" spans="2:16" x14ac:dyDescent="0.25">
      <c r="B491" t="s">
        <v>46</v>
      </c>
      <c r="C491" t="s">
        <v>231</v>
      </c>
      <c r="D491" t="s">
        <v>19</v>
      </c>
      <c r="E491" s="6">
        <v>0.85858585858585856</v>
      </c>
      <c r="F491" t="s">
        <v>20</v>
      </c>
      <c r="G491"/>
      <c r="H491" s="33">
        <v>0.84166666666666667</v>
      </c>
      <c r="I491" s="31">
        <v>0.85618279166666678</v>
      </c>
      <c r="J491" s="31">
        <v>0.83101849999999999</v>
      </c>
      <c r="K491" s="32">
        <v>0.84207277793040303</v>
      </c>
      <c r="M491" s="36">
        <v>5869</v>
      </c>
      <c r="O491" s="30"/>
      <c r="P491" s="37" t="s">
        <v>10</v>
      </c>
    </row>
    <row r="492" spans="2:16" x14ac:dyDescent="0.25">
      <c r="B492" t="s">
        <v>46</v>
      </c>
      <c r="C492" t="s">
        <v>231</v>
      </c>
      <c r="D492" t="s">
        <v>19</v>
      </c>
      <c r="E492" s="6">
        <v>0.85858585858585856</v>
      </c>
      <c r="F492" t="s">
        <v>15</v>
      </c>
      <c r="G492"/>
      <c r="H492" s="33">
        <v>0.7857142857142857</v>
      </c>
      <c r="I492" s="31">
        <v>0.92165885714285711</v>
      </c>
      <c r="J492" s="31">
        <v>0.91269828571428568</v>
      </c>
      <c r="K492" s="32">
        <v>0.86990640816326525</v>
      </c>
      <c r="M492" s="36">
        <v>6499</v>
      </c>
      <c r="O492" s="30"/>
      <c r="P492" s="37" t="s">
        <v>10</v>
      </c>
    </row>
    <row r="493" spans="2:16" x14ac:dyDescent="0.25">
      <c r="B493" t="s">
        <v>46</v>
      </c>
      <c r="C493" t="s">
        <v>231</v>
      </c>
      <c r="D493" t="s">
        <v>19</v>
      </c>
      <c r="E493" s="6">
        <v>0.85858585858585856</v>
      </c>
      <c r="F493" t="s">
        <v>31</v>
      </c>
      <c r="G493"/>
      <c r="H493" s="33">
        <v>1</v>
      </c>
      <c r="I493" s="31">
        <v>1</v>
      </c>
      <c r="J493" s="31">
        <v>1</v>
      </c>
      <c r="K493" s="32">
        <v>1</v>
      </c>
      <c r="M493" s="36">
        <v>7379</v>
      </c>
      <c r="O493" s="30"/>
      <c r="P493" s="37" t="s">
        <v>10</v>
      </c>
    </row>
    <row r="494" spans="2:16" x14ac:dyDescent="0.25">
      <c r="B494" t="s">
        <v>46</v>
      </c>
      <c r="C494" t="s">
        <v>231</v>
      </c>
      <c r="D494" t="s">
        <v>13</v>
      </c>
      <c r="E494" s="6">
        <v>0.94534050179211471</v>
      </c>
      <c r="F494" t="s">
        <v>14</v>
      </c>
      <c r="G494"/>
      <c r="H494" s="33">
        <v>0.97456139473684211</v>
      </c>
      <c r="I494" s="31">
        <v>0.97113749999999999</v>
      </c>
      <c r="J494" s="31">
        <v>0.9619882894736842</v>
      </c>
      <c r="K494" s="32">
        <v>0.97084264459224989</v>
      </c>
      <c r="M494" s="36">
        <v>449</v>
      </c>
      <c r="O494" s="29">
        <v>2.5000000000000001E-2</v>
      </c>
      <c r="P494" s="37">
        <v>460.22499999999997</v>
      </c>
    </row>
    <row r="495" spans="2:16" x14ac:dyDescent="0.25">
      <c r="B495" t="s">
        <v>46</v>
      </c>
      <c r="C495" t="s">
        <v>231</v>
      </c>
      <c r="D495" t="s">
        <v>13</v>
      </c>
      <c r="E495" s="6">
        <v>0.94534050179211471</v>
      </c>
      <c r="F495" t="s">
        <v>15</v>
      </c>
      <c r="G495"/>
      <c r="H495" s="33">
        <v>0.93194441666666661</v>
      </c>
      <c r="I495" s="31">
        <v>0.96370966666666658</v>
      </c>
      <c r="J495" s="31">
        <v>0.91898145833333322</v>
      </c>
      <c r="K495" s="32">
        <v>0.94190951556776559</v>
      </c>
      <c r="M495" s="36">
        <v>369</v>
      </c>
      <c r="O495" s="29">
        <v>2.5000000000000001E-2</v>
      </c>
      <c r="P495" s="37">
        <v>378.22499999999997</v>
      </c>
    </row>
    <row r="496" spans="2:16" x14ac:dyDescent="0.25">
      <c r="B496" t="s">
        <v>46</v>
      </c>
      <c r="C496" t="s">
        <v>231</v>
      </c>
      <c r="D496" t="s">
        <v>24</v>
      </c>
      <c r="E496" s="6">
        <v>0.5714285714285714</v>
      </c>
      <c r="F496" t="s">
        <v>232</v>
      </c>
      <c r="G496"/>
      <c r="H496" s="33">
        <v>0.55555555555555558</v>
      </c>
      <c r="I496" s="31">
        <v>0.55555555555555558</v>
      </c>
      <c r="J496" s="31">
        <v>0.55555555555555558</v>
      </c>
      <c r="K496" s="32">
        <v>0.56351859584859587</v>
      </c>
      <c r="M496" s="36">
        <v>3299</v>
      </c>
      <c r="O496" s="30"/>
      <c r="P496" s="37" t="s">
        <v>10</v>
      </c>
    </row>
    <row r="497" spans="2:16" x14ac:dyDescent="0.25">
      <c r="B497" t="s">
        <v>46</v>
      </c>
      <c r="C497" t="s">
        <v>231</v>
      </c>
      <c r="D497" t="s">
        <v>24</v>
      </c>
      <c r="E497" s="6">
        <v>0.5714285714285714</v>
      </c>
      <c r="F497" t="s">
        <v>84</v>
      </c>
      <c r="G497"/>
      <c r="H497" s="33">
        <v>0.8571428571428571</v>
      </c>
      <c r="I497" s="31">
        <v>0.8571428571428571</v>
      </c>
      <c r="J497" s="31">
        <v>0.80952380952380953</v>
      </c>
      <c r="K497" s="32">
        <v>0.84144427001569866</v>
      </c>
      <c r="M497" s="36">
        <v>3299</v>
      </c>
      <c r="O497" s="30"/>
      <c r="P497" s="37" t="s">
        <v>10</v>
      </c>
    </row>
    <row r="498" spans="2:16" x14ac:dyDescent="0.25">
      <c r="B498" t="s">
        <v>46</v>
      </c>
      <c r="C498" s="35" t="s">
        <v>231</v>
      </c>
      <c r="D498" t="s">
        <v>24</v>
      </c>
      <c r="E498" s="6">
        <v>0.5714285714285714</v>
      </c>
      <c r="F498" t="s">
        <v>75</v>
      </c>
      <c r="G498"/>
      <c r="H498" s="33">
        <v>0.35714285714285715</v>
      </c>
      <c r="I498" s="31">
        <v>0.46313357142857142</v>
      </c>
      <c r="J498" s="31">
        <v>0.5714285714285714</v>
      </c>
      <c r="K498" s="32">
        <v>0.46389322605965461</v>
      </c>
      <c r="M498" s="36">
        <v>3749</v>
      </c>
      <c r="O498" s="30"/>
      <c r="P498" s="37" t="s">
        <v>10</v>
      </c>
    </row>
    <row r="499" spans="2:16" x14ac:dyDescent="0.25">
      <c r="B499" t="s">
        <v>46</v>
      </c>
      <c r="C499" s="35" t="s">
        <v>231</v>
      </c>
      <c r="D499" t="s">
        <v>24</v>
      </c>
      <c r="E499" s="6">
        <v>0.5714285714285714</v>
      </c>
      <c r="F499" t="s">
        <v>74</v>
      </c>
      <c r="G499"/>
      <c r="H499" s="33">
        <v>8.3333333333333329E-2</v>
      </c>
      <c r="I499" s="31">
        <v>8.6021499999999987E-2</v>
      </c>
      <c r="J499" s="31">
        <v>0.16666666666666666</v>
      </c>
      <c r="K499" s="32">
        <v>0.11172160989010989</v>
      </c>
      <c r="M499" s="36">
        <v>3299</v>
      </c>
      <c r="O499" s="30"/>
      <c r="P499" s="37" t="s">
        <v>10</v>
      </c>
    </row>
    <row r="500" spans="2:16" x14ac:dyDescent="0.25">
      <c r="B500" t="s">
        <v>46</v>
      </c>
      <c r="C500" t="s">
        <v>236</v>
      </c>
      <c r="D500" t="s">
        <v>19</v>
      </c>
      <c r="E500" s="6">
        <v>1</v>
      </c>
      <c r="F500" t="s">
        <v>237</v>
      </c>
      <c r="G500"/>
      <c r="H500" s="33">
        <v>1</v>
      </c>
      <c r="I500" s="31">
        <v>0.99731175000000005</v>
      </c>
      <c r="J500" s="31">
        <v>1</v>
      </c>
      <c r="K500" s="32">
        <v>0.99908422252747242</v>
      </c>
      <c r="M500" s="36">
        <v>6487.333333333333</v>
      </c>
      <c r="O500" s="29">
        <v>2.5000000000000001E-2</v>
      </c>
      <c r="P500" s="37">
        <v>6649.5166666666655</v>
      </c>
    </row>
    <row r="501" spans="2:16" x14ac:dyDescent="0.25">
      <c r="B501" t="s">
        <v>46</v>
      </c>
      <c r="C501" t="s">
        <v>236</v>
      </c>
      <c r="D501" t="s">
        <v>19</v>
      </c>
      <c r="E501" s="6">
        <v>1</v>
      </c>
      <c r="F501" t="s">
        <v>238</v>
      </c>
      <c r="G501"/>
      <c r="H501" s="33">
        <v>1</v>
      </c>
      <c r="I501" s="31">
        <v>1</v>
      </c>
      <c r="J501" s="31">
        <v>1</v>
      </c>
      <c r="K501" s="32">
        <v>1</v>
      </c>
      <c r="M501" s="36">
        <v>6949</v>
      </c>
      <c r="O501" s="29">
        <v>2.5000000000000001E-2</v>
      </c>
      <c r="P501" s="37">
        <v>7122.7249999999995</v>
      </c>
    </row>
    <row r="502" spans="2:16" x14ac:dyDescent="0.25">
      <c r="B502" t="s">
        <v>46</v>
      </c>
      <c r="C502" t="s">
        <v>236</v>
      </c>
      <c r="D502" t="s">
        <v>19</v>
      </c>
      <c r="E502" s="6">
        <v>1</v>
      </c>
      <c r="F502" t="s">
        <v>20</v>
      </c>
      <c r="G502"/>
      <c r="H502" s="33">
        <v>1</v>
      </c>
      <c r="I502" s="31">
        <v>0.9978494</v>
      </c>
      <c r="J502" s="31">
        <v>1</v>
      </c>
      <c r="K502" s="32">
        <v>0.99926737802197796</v>
      </c>
      <c r="M502" s="36">
        <v>6533</v>
      </c>
      <c r="O502" s="29">
        <v>2.5000000000000001E-2</v>
      </c>
      <c r="P502" s="37">
        <v>6696.3249999999998</v>
      </c>
    </row>
    <row r="503" spans="2:16" x14ac:dyDescent="0.25">
      <c r="B503" t="s">
        <v>46</v>
      </c>
      <c r="C503" t="s">
        <v>236</v>
      </c>
      <c r="D503" t="s">
        <v>19</v>
      </c>
      <c r="E503" s="6">
        <v>1</v>
      </c>
      <c r="F503" t="s">
        <v>49</v>
      </c>
      <c r="G503"/>
      <c r="H503" s="33">
        <v>1</v>
      </c>
      <c r="I503" s="31">
        <v>1</v>
      </c>
      <c r="J503" s="31">
        <v>1</v>
      </c>
      <c r="K503" s="32">
        <v>1</v>
      </c>
      <c r="M503" s="36">
        <v>6939</v>
      </c>
      <c r="O503" s="29">
        <v>2.5000000000000001E-2</v>
      </c>
      <c r="P503" s="37">
        <v>7112.4749999999995</v>
      </c>
    </row>
    <row r="504" spans="2:16" x14ac:dyDescent="0.25">
      <c r="B504" t="s">
        <v>46</v>
      </c>
      <c r="C504" t="s">
        <v>236</v>
      </c>
      <c r="D504" t="s">
        <v>13</v>
      </c>
      <c r="E504" s="6">
        <v>0.99502487562189057</v>
      </c>
      <c r="F504" t="s">
        <v>20</v>
      </c>
      <c r="G504"/>
      <c r="H504" s="33">
        <v>0.93333332352941178</v>
      </c>
      <c r="I504" s="31">
        <v>0.96869064705882357</v>
      </c>
      <c r="J504" s="31">
        <v>0.99836600000000009</v>
      </c>
      <c r="K504" s="32">
        <v>0.96651299030381377</v>
      </c>
      <c r="M504" s="36">
        <v>369.58823529411762</v>
      </c>
      <c r="O504" s="29">
        <v>2.5000000000000001E-2</v>
      </c>
      <c r="P504" s="37">
        <v>378.82794117647052</v>
      </c>
    </row>
    <row r="505" spans="2:16" x14ac:dyDescent="0.25">
      <c r="B505" t="s">
        <v>46</v>
      </c>
      <c r="C505" t="s">
        <v>236</v>
      </c>
      <c r="D505" t="s">
        <v>13</v>
      </c>
      <c r="E505" s="6">
        <v>0.99502487562189057</v>
      </c>
      <c r="F505" t="s">
        <v>35</v>
      </c>
      <c r="G505"/>
      <c r="H505" s="33">
        <v>0.89999983333333333</v>
      </c>
      <c r="I505" s="31">
        <v>0.95698883333333329</v>
      </c>
      <c r="J505" s="31">
        <v>0.95370350000000004</v>
      </c>
      <c r="K505" s="32">
        <v>0.94760289926739938</v>
      </c>
      <c r="M505" s="36">
        <v>407.33333333333331</v>
      </c>
      <c r="O505" s="29">
        <v>2.5000000000000001E-2</v>
      </c>
      <c r="P505" s="37">
        <v>417.51666666666659</v>
      </c>
    </row>
    <row r="506" spans="2:16" x14ac:dyDescent="0.25">
      <c r="B506" t="s">
        <v>46</v>
      </c>
      <c r="C506" t="s">
        <v>236</v>
      </c>
      <c r="D506" t="s">
        <v>13</v>
      </c>
      <c r="E506" s="6">
        <v>0.99502487562189057</v>
      </c>
      <c r="F506" t="s">
        <v>49</v>
      </c>
      <c r="G506"/>
      <c r="H506" s="33">
        <v>0.98888883333333333</v>
      </c>
      <c r="I506" s="31">
        <v>1</v>
      </c>
      <c r="J506" s="31">
        <v>1</v>
      </c>
      <c r="K506" s="32">
        <v>0.99633697802197807</v>
      </c>
      <c r="M506" s="36">
        <v>349</v>
      </c>
      <c r="O506" s="29">
        <v>2.5000000000000001E-2</v>
      </c>
      <c r="P506" s="37">
        <v>357.72499999999997</v>
      </c>
    </row>
    <row r="507" spans="2:16" x14ac:dyDescent="0.25">
      <c r="B507" t="s">
        <v>46</v>
      </c>
      <c r="C507" t="s">
        <v>253</v>
      </c>
      <c r="D507" t="s">
        <v>19</v>
      </c>
      <c r="E507" s="6">
        <v>1</v>
      </c>
      <c r="F507" t="s">
        <v>20</v>
      </c>
      <c r="G507"/>
      <c r="H507" s="33">
        <v>0.97222222222222221</v>
      </c>
      <c r="I507" s="31">
        <v>1</v>
      </c>
      <c r="J507" s="31">
        <v>1</v>
      </c>
      <c r="K507" s="32">
        <v>0.99084249084249088</v>
      </c>
      <c r="M507" s="36">
        <v>6259</v>
      </c>
      <c r="O507" s="29">
        <v>2.5000000000000001E-2</v>
      </c>
      <c r="P507" s="37">
        <v>6415.4749999999995</v>
      </c>
    </row>
    <row r="508" spans="2:16" x14ac:dyDescent="0.25">
      <c r="B508" t="s">
        <v>46</v>
      </c>
      <c r="C508" t="s">
        <v>253</v>
      </c>
      <c r="D508" t="s">
        <v>19</v>
      </c>
      <c r="E508" s="6">
        <v>1</v>
      </c>
      <c r="F508" t="s">
        <v>15</v>
      </c>
      <c r="G508"/>
      <c r="H508" s="33">
        <v>1</v>
      </c>
      <c r="I508" s="31">
        <v>1</v>
      </c>
      <c r="J508" s="31">
        <v>1</v>
      </c>
      <c r="K508" s="32">
        <v>1</v>
      </c>
      <c r="M508" s="36">
        <v>7689</v>
      </c>
      <c r="O508" s="29">
        <v>2.5000000000000001E-2</v>
      </c>
      <c r="P508" s="37">
        <v>7881.2249999999995</v>
      </c>
    </row>
    <row r="509" spans="2:16" x14ac:dyDescent="0.25">
      <c r="B509" t="s">
        <v>46</v>
      </c>
      <c r="C509" t="s">
        <v>253</v>
      </c>
      <c r="D509" t="s">
        <v>21</v>
      </c>
      <c r="E509" s="6">
        <v>0.96296296296296291</v>
      </c>
      <c r="F509" t="s">
        <v>38</v>
      </c>
      <c r="G509"/>
      <c r="H509" s="33">
        <v>0.91904757142857141</v>
      </c>
      <c r="I509" s="31">
        <v>1</v>
      </c>
      <c r="J509" s="31">
        <v>0.95238085714285714</v>
      </c>
      <c r="K509" s="32">
        <v>0.96307414442700168</v>
      </c>
      <c r="M509" s="36">
        <v>7539</v>
      </c>
      <c r="O509" s="29">
        <v>2.5000000000000001E-2</v>
      </c>
      <c r="P509" s="37">
        <v>7727.4749999999995</v>
      </c>
    </row>
    <row r="510" spans="2:16" x14ac:dyDescent="0.25">
      <c r="B510" t="s">
        <v>46</v>
      </c>
      <c r="C510" t="s">
        <v>253</v>
      </c>
      <c r="D510" t="s">
        <v>21</v>
      </c>
      <c r="E510" s="6">
        <v>0.96296296296296291</v>
      </c>
      <c r="F510" t="s">
        <v>88</v>
      </c>
      <c r="G510"/>
      <c r="H510" s="33">
        <v>1</v>
      </c>
      <c r="I510" s="31">
        <v>1</v>
      </c>
      <c r="J510" s="31">
        <v>1</v>
      </c>
      <c r="K510" s="32">
        <v>1</v>
      </c>
      <c r="M510" s="36">
        <v>8069</v>
      </c>
      <c r="O510" s="29">
        <v>2.5000000000000001E-2</v>
      </c>
      <c r="P510" s="37">
        <v>8270.7249999999985</v>
      </c>
    </row>
    <row r="511" spans="2:16" x14ac:dyDescent="0.25">
      <c r="B511" t="s">
        <v>46</v>
      </c>
      <c r="C511" t="s">
        <v>253</v>
      </c>
      <c r="D511" t="s">
        <v>13</v>
      </c>
      <c r="E511" s="6">
        <v>0.98792270531400972</v>
      </c>
      <c r="F511" t="s">
        <v>14</v>
      </c>
      <c r="G511"/>
      <c r="H511" s="33">
        <v>0.87956987096774197</v>
      </c>
      <c r="I511" s="31">
        <v>0.93548387096774188</v>
      </c>
      <c r="J511" s="31">
        <v>0.9838709677419355</v>
      </c>
      <c r="K511" s="32">
        <v>0.93184654377880194</v>
      </c>
      <c r="M511" s="36">
        <v>349</v>
      </c>
      <c r="O511" s="29">
        <v>2.5000000000000001E-2</v>
      </c>
      <c r="P511" s="37">
        <v>357.72499999999997</v>
      </c>
    </row>
    <row r="512" spans="2:16" x14ac:dyDescent="0.25">
      <c r="B512" t="s">
        <v>46</v>
      </c>
      <c r="C512" t="s">
        <v>253</v>
      </c>
      <c r="D512" t="s">
        <v>13</v>
      </c>
      <c r="E512" s="6">
        <v>0.98792270531400972</v>
      </c>
      <c r="F512" t="s">
        <v>15</v>
      </c>
      <c r="G512"/>
      <c r="H512" s="33">
        <v>0.92105263157894735</v>
      </c>
      <c r="I512" s="31">
        <v>0.96943971052631583</v>
      </c>
      <c r="J512" s="31">
        <v>0.99122805263157898</v>
      </c>
      <c r="K512" s="32">
        <v>0.95941357692307683</v>
      </c>
      <c r="M512" s="36">
        <v>309</v>
      </c>
      <c r="O512" s="29">
        <v>2.5000000000000001E-2</v>
      </c>
      <c r="P512" s="37">
        <v>316.72499999999997</v>
      </c>
    </row>
    <row r="513" spans="2:16" x14ac:dyDescent="0.25">
      <c r="B513" t="s">
        <v>46</v>
      </c>
      <c r="C513" t="s">
        <v>253</v>
      </c>
      <c r="D513" t="s">
        <v>24</v>
      </c>
      <c r="E513" s="6">
        <v>1</v>
      </c>
      <c r="F513" t="s">
        <v>36</v>
      </c>
      <c r="G513"/>
      <c r="H513" s="33">
        <v>0.99833329999999998</v>
      </c>
      <c r="I513" s="31">
        <v>1</v>
      </c>
      <c r="J513" s="31">
        <v>1</v>
      </c>
      <c r="K513" s="32">
        <v>0.99945053846153853</v>
      </c>
      <c r="M513" s="36">
        <v>3189</v>
      </c>
      <c r="O513" s="29">
        <v>2.5000000000000001E-2</v>
      </c>
      <c r="P513" s="37">
        <v>3268.7249999999999</v>
      </c>
    </row>
    <row r="514" spans="2:16" x14ac:dyDescent="0.25">
      <c r="B514" t="s">
        <v>46</v>
      </c>
      <c r="C514" t="s">
        <v>253</v>
      </c>
      <c r="D514" t="s">
        <v>24</v>
      </c>
      <c r="E514" s="6">
        <v>1</v>
      </c>
      <c r="F514" t="s">
        <v>34</v>
      </c>
      <c r="G514"/>
      <c r="H514" s="33">
        <v>1</v>
      </c>
      <c r="I514" s="31">
        <v>1</v>
      </c>
      <c r="J514" s="31">
        <v>1</v>
      </c>
      <c r="K514" s="32">
        <v>1</v>
      </c>
      <c r="M514" s="36">
        <v>2949</v>
      </c>
      <c r="O514" s="29">
        <v>2.5000000000000001E-2</v>
      </c>
      <c r="P514" s="37">
        <v>3022.7249999999999</v>
      </c>
    </row>
    <row r="515" spans="2:16" x14ac:dyDescent="0.25">
      <c r="B515" t="s">
        <v>169</v>
      </c>
      <c r="C515" t="s">
        <v>170</v>
      </c>
      <c r="D515" t="s">
        <v>19</v>
      </c>
      <c r="E515" s="6">
        <v>0.91919191919191912</v>
      </c>
      <c r="F515" t="s">
        <v>20</v>
      </c>
      <c r="G515"/>
      <c r="H515" s="33">
        <v>0.91111111111111098</v>
      </c>
      <c r="I515" s="31">
        <v>0.781362</v>
      </c>
      <c r="J515" s="31">
        <v>0.90123455555555543</v>
      </c>
      <c r="K515" s="32">
        <v>0.86675159706959704</v>
      </c>
      <c r="M515" s="36">
        <v>5149</v>
      </c>
      <c r="O515" s="30"/>
      <c r="P515" s="37" t="s">
        <v>10</v>
      </c>
    </row>
    <row r="516" spans="2:16" x14ac:dyDescent="0.25">
      <c r="B516" t="s">
        <v>169</v>
      </c>
      <c r="C516" t="s">
        <v>170</v>
      </c>
      <c r="D516" t="s">
        <v>19</v>
      </c>
      <c r="E516" s="6">
        <v>0.91919191919191912</v>
      </c>
      <c r="F516" t="s">
        <v>15</v>
      </c>
      <c r="G516"/>
      <c r="H516" s="33">
        <v>1</v>
      </c>
      <c r="I516" s="31">
        <v>1</v>
      </c>
      <c r="J516" s="31">
        <v>1</v>
      </c>
      <c r="K516" s="32">
        <v>1</v>
      </c>
      <c r="M516" s="36">
        <v>6369</v>
      </c>
      <c r="O516" s="29">
        <v>4.8977153949529638E-2</v>
      </c>
      <c r="P516" s="37">
        <v>6680.935493504554</v>
      </c>
    </row>
    <row r="517" spans="2:16" x14ac:dyDescent="0.25">
      <c r="B517" t="s">
        <v>169</v>
      </c>
      <c r="C517" t="s">
        <v>170</v>
      </c>
      <c r="D517" t="s">
        <v>13</v>
      </c>
      <c r="E517" s="6">
        <v>0.90303030303030296</v>
      </c>
      <c r="F517" t="s">
        <v>14</v>
      </c>
      <c r="G517"/>
      <c r="H517" s="33">
        <v>0.81111108333333337</v>
      </c>
      <c r="I517" s="31">
        <v>0.96370966666666658</v>
      </c>
      <c r="J517" s="31">
        <v>0.88194441666666668</v>
      </c>
      <c r="K517" s="32">
        <v>0.88475472161172164</v>
      </c>
      <c r="M517" s="36">
        <v>379</v>
      </c>
      <c r="O517" s="30"/>
      <c r="P517" s="37" t="s">
        <v>10</v>
      </c>
    </row>
    <row r="518" spans="2:16" x14ac:dyDescent="0.25">
      <c r="B518" t="s">
        <v>169</v>
      </c>
      <c r="C518" t="s">
        <v>170</v>
      </c>
      <c r="D518" t="s">
        <v>13</v>
      </c>
      <c r="E518" s="6">
        <v>0.90303030303030296</v>
      </c>
      <c r="F518" t="s">
        <v>15</v>
      </c>
      <c r="G518"/>
      <c r="H518" s="33">
        <v>0.99892470967741931</v>
      </c>
      <c r="I518" s="31">
        <v>0.94484909677419349</v>
      </c>
      <c r="J518" s="31">
        <v>0.91935483870967738</v>
      </c>
      <c r="K518" s="32">
        <v>0.95311559092520381</v>
      </c>
      <c r="M518" s="36">
        <v>329</v>
      </c>
      <c r="O518" s="29">
        <v>2.5000000000000001E-2</v>
      </c>
      <c r="P518" s="37">
        <v>337.22499999999997</v>
      </c>
    </row>
    <row r="519" spans="2:16" x14ac:dyDescent="0.25">
      <c r="B519" t="s">
        <v>169</v>
      </c>
      <c r="C519" t="s">
        <v>170</v>
      </c>
      <c r="D519" t="s">
        <v>16</v>
      </c>
      <c r="E519" s="6">
        <v>1</v>
      </c>
      <c r="F519" t="s">
        <v>17</v>
      </c>
      <c r="G519"/>
      <c r="H519" s="33">
        <v>0.94166666666666676</v>
      </c>
      <c r="I519" s="31">
        <v>1</v>
      </c>
      <c r="J519" s="31">
        <v>1</v>
      </c>
      <c r="K519" s="32">
        <v>0.98076923076923084</v>
      </c>
      <c r="M519" s="36">
        <v>379</v>
      </c>
      <c r="O519" s="29">
        <v>2.5000000000000001E-2</v>
      </c>
      <c r="P519" s="37">
        <v>388.47499999999997</v>
      </c>
    </row>
    <row r="520" spans="2:16" x14ac:dyDescent="0.25">
      <c r="B520" t="s">
        <v>169</v>
      </c>
      <c r="C520" t="s">
        <v>191</v>
      </c>
      <c r="D520" t="s">
        <v>19</v>
      </c>
      <c r="E520" s="6">
        <v>0.92760942760942755</v>
      </c>
      <c r="F520" t="s">
        <v>20</v>
      </c>
      <c r="G520"/>
      <c r="H520" s="33">
        <v>0.86025638461538456</v>
      </c>
      <c r="I520" s="31">
        <v>0.88089326923076916</v>
      </c>
      <c r="J520" s="31">
        <v>0.9081196538461539</v>
      </c>
      <c r="K520" s="32">
        <v>0.884137580304311</v>
      </c>
      <c r="M520" s="36">
        <v>5809</v>
      </c>
      <c r="O520" s="29">
        <v>0.01</v>
      </c>
      <c r="P520" s="37">
        <v>5867.09</v>
      </c>
    </row>
    <row r="521" spans="2:16" x14ac:dyDescent="0.25">
      <c r="B521" t="s">
        <v>169</v>
      </c>
      <c r="C521" t="s">
        <v>191</v>
      </c>
      <c r="D521" t="s">
        <v>19</v>
      </c>
      <c r="E521" s="6">
        <v>0.92760942760942755</v>
      </c>
      <c r="F521" t="s">
        <v>192</v>
      </c>
      <c r="G521"/>
      <c r="H521" s="33">
        <v>1</v>
      </c>
      <c r="I521" s="31">
        <v>1</v>
      </c>
      <c r="J521" s="31">
        <v>1</v>
      </c>
      <c r="K521" s="32">
        <v>1</v>
      </c>
      <c r="M521" s="36">
        <v>8199</v>
      </c>
      <c r="O521" s="30"/>
      <c r="P521" s="37" t="s">
        <v>10</v>
      </c>
    </row>
    <row r="522" spans="2:16" x14ac:dyDescent="0.25">
      <c r="B522" t="s">
        <v>169</v>
      </c>
      <c r="C522" t="s">
        <v>191</v>
      </c>
      <c r="D522" t="s">
        <v>19</v>
      </c>
      <c r="E522" s="6">
        <v>0.92760942760942755</v>
      </c>
      <c r="F522" t="s">
        <v>15</v>
      </c>
      <c r="G522"/>
      <c r="H522" s="33">
        <v>0.911111</v>
      </c>
      <c r="I522" s="31">
        <v>1</v>
      </c>
      <c r="J522" s="31">
        <v>1</v>
      </c>
      <c r="K522" s="32">
        <v>0.97069593406593413</v>
      </c>
      <c r="M522" s="36">
        <v>6689</v>
      </c>
      <c r="O522" s="29">
        <v>5.7179101672617971E-2</v>
      </c>
      <c r="P522" s="37">
        <v>7071.4710110881415</v>
      </c>
    </row>
    <row r="523" spans="2:16" x14ac:dyDescent="0.25">
      <c r="B523" t="s">
        <v>169</v>
      </c>
      <c r="C523" t="s">
        <v>191</v>
      </c>
      <c r="D523" t="s">
        <v>21</v>
      </c>
      <c r="E523" s="6">
        <v>0.69348659003831414</v>
      </c>
      <c r="F523" t="s">
        <v>17</v>
      </c>
      <c r="G523"/>
      <c r="H523" s="33">
        <v>0.81449273913043474</v>
      </c>
      <c r="I523" s="31">
        <v>0.65217391304347827</v>
      </c>
      <c r="J523" s="31">
        <v>0.65700482608695654</v>
      </c>
      <c r="K523" s="32">
        <v>0.71004796942188253</v>
      </c>
      <c r="M523" s="36">
        <v>7379</v>
      </c>
      <c r="O523" s="29">
        <v>-0.05</v>
      </c>
      <c r="P523" s="37">
        <v>7010.0499999999993</v>
      </c>
    </row>
    <row r="524" spans="2:16" x14ac:dyDescent="0.25">
      <c r="B524" t="s">
        <v>169</v>
      </c>
      <c r="C524" t="s">
        <v>191</v>
      </c>
      <c r="D524" t="s">
        <v>21</v>
      </c>
      <c r="E524" s="6">
        <v>0.69348659003831414</v>
      </c>
      <c r="F524" t="s">
        <v>18</v>
      </c>
      <c r="G524"/>
      <c r="H524" s="33">
        <v>0.67777766666666661</v>
      </c>
      <c r="I524" s="31">
        <v>0.83333333333333337</v>
      </c>
      <c r="J524" s="31">
        <v>0.83333333333333337</v>
      </c>
      <c r="K524" s="32">
        <v>0.78205124542124549</v>
      </c>
      <c r="M524" s="36">
        <v>9229</v>
      </c>
      <c r="O524" s="30"/>
      <c r="P524" s="37" t="s">
        <v>10</v>
      </c>
    </row>
    <row r="525" spans="2:16" x14ac:dyDescent="0.25">
      <c r="B525" t="s">
        <v>169</v>
      </c>
      <c r="C525" t="s">
        <v>191</v>
      </c>
      <c r="D525" t="s">
        <v>13</v>
      </c>
      <c r="E525" s="6">
        <v>0.8481481481481481</v>
      </c>
      <c r="F525" t="s">
        <v>14</v>
      </c>
      <c r="G525"/>
      <c r="H525" s="33">
        <v>0.75523808571428575</v>
      </c>
      <c r="I525" s="31">
        <v>0.80737325714285713</v>
      </c>
      <c r="J525" s="31">
        <v>0.75555554285714288</v>
      </c>
      <c r="K525" s="32">
        <v>0.7754692414442701</v>
      </c>
      <c r="M525" s="36">
        <v>349</v>
      </c>
      <c r="O525" s="30"/>
      <c r="P525" s="37" t="s">
        <v>10</v>
      </c>
    </row>
    <row r="526" spans="2:16" x14ac:dyDescent="0.25">
      <c r="B526" t="s">
        <v>169</v>
      </c>
      <c r="C526" t="s">
        <v>191</v>
      </c>
      <c r="D526" t="s">
        <v>13</v>
      </c>
      <c r="E526" s="6">
        <v>0.8481481481481481</v>
      </c>
      <c r="F526" t="s">
        <v>15</v>
      </c>
      <c r="G526"/>
      <c r="H526" s="33">
        <v>0.99066664000000004</v>
      </c>
      <c r="I526" s="31">
        <v>0.97290319999999997</v>
      </c>
      <c r="J526" s="31">
        <v>0.97777776000000005</v>
      </c>
      <c r="K526" s="32">
        <v>0.97794550769230781</v>
      </c>
      <c r="M526" s="36">
        <v>299</v>
      </c>
      <c r="O526" s="30"/>
      <c r="P526" s="37" t="s">
        <v>10</v>
      </c>
    </row>
    <row r="527" spans="2:16" x14ac:dyDescent="0.25">
      <c r="B527" t="s">
        <v>169</v>
      </c>
      <c r="C527" t="s">
        <v>213</v>
      </c>
      <c r="D527" t="s">
        <v>19</v>
      </c>
      <c r="E527" s="6">
        <v>0.91435185185185175</v>
      </c>
      <c r="F527" t="s">
        <v>30</v>
      </c>
      <c r="G527"/>
      <c r="H527" s="33">
        <v>0.96428567857142855</v>
      </c>
      <c r="I527" s="31">
        <v>0.9642857142857143</v>
      </c>
      <c r="J527" s="31">
        <v>0.9642857142857143</v>
      </c>
      <c r="K527" s="32">
        <v>0.96428570251177381</v>
      </c>
      <c r="M527" s="36">
        <v>6289</v>
      </c>
      <c r="O527" s="30"/>
      <c r="P527" s="37" t="s">
        <v>10</v>
      </c>
    </row>
    <row r="528" spans="2:16" x14ac:dyDescent="0.25">
      <c r="B528" t="s">
        <v>169</v>
      </c>
      <c r="C528" t="s">
        <v>213</v>
      </c>
      <c r="D528" t="s">
        <v>19</v>
      </c>
      <c r="E528" s="6">
        <v>0.91435185185185175</v>
      </c>
      <c r="F528" t="s">
        <v>123</v>
      </c>
      <c r="G528"/>
      <c r="H528" s="33">
        <v>0.7583333333333333</v>
      </c>
      <c r="I528" s="31">
        <v>0.80107524999999991</v>
      </c>
      <c r="J528" s="31">
        <v>0.7407406666666666</v>
      </c>
      <c r="K528" s="32">
        <v>0.76775758516483528</v>
      </c>
      <c r="M528" s="36">
        <v>7609</v>
      </c>
      <c r="O528" s="30"/>
      <c r="P528" s="37" t="s">
        <v>10</v>
      </c>
    </row>
    <row r="529" spans="2:16" x14ac:dyDescent="0.25">
      <c r="B529" t="s">
        <v>169</v>
      </c>
      <c r="C529" t="s">
        <v>213</v>
      </c>
      <c r="D529" t="s">
        <v>19</v>
      </c>
      <c r="E529" s="6">
        <v>0.91435185185185175</v>
      </c>
      <c r="F529" t="s">
        <v>57</v>
      </c>
      <c r="G529"/>
      <c r="H529" s="33">
        <v>0.75</v>
      </c>
      <c r="I529" s="31">
        <v>0.88709674999999999</v>
      </c>
      <c r="J529" s="31">
        <v>1</v>
      </c>
      <c r="K529" s="32">
        <v>0.87912087087912094</v>
      </c>
      <c r="M529" s="36">
        <v>6999</v>
      </c>
      <c r="O529" s="30"/>
      <c r="P529" s="37" t="s">
        <v>10</v>
      </c>
    </row>
    <row r="530" spans="2:16" x14ac:dyDescent="0.25">
      <c r="B530" t="s">
        <v>169</v>
      </c>
      <c r="C530" t="s">
        <v>213</v>
      </c>
      <c r="D530" t="s">
        <v>19</v>
      </c>
      <c r="E530" s="6">
        <v>0.91435185185185175</v>
      </c>
      <c r="F530" t="s">
        <v>214</v>
      </c>
      <c r="G530"/>
      <c r="H530" s="33">
        <v>0.75</v>
      </c>
      <c r="I530" s="31">
        <v>0.86290299999999998</v>
      </c>
      <c r="J530" s="31">
        <v>1</v>
      </c>
      <c r="K530" s="32">
        <v>0.87087904395604399</v>
      </c>
      <c r="M530" s="36">
        <v>7839</v>
      </c>
      <c r="O530" s="30"/>
      <c r="P530" s="37" t="s">
        <v>10</v>
      </c>
    </row>
    <row r="531" spans="2:16" x14ac:dyDescent="0.25">
      <c r="B531" t="s">
        <v>169</v>
      </c>
      <c r="C531" t="s">
        <v>213</v>
      </c>
      <c r="D531" t="s">
        <v>13</v>
      </c>
      <c r="E531" s="6">
        <v>0.94159544159544162</v>
      </c>
      <c r="F531" t="s">
        <v>14</v>
      </c>
      <c r="G531"/>
      <c r="H531" s="33">
        <v>0.86666666666666659</v>
      </c>
      <c r="I531" s="31">
        <v>0.91158899999999998</v>
      </c>
      <c r="J531" s="31">
        <v>0.9300411481481482</v>
      </c>
      <c r="K531" s="32">
        <v>0.89195023321123312</v>
      </c>
      <c r="M531" s="36">
        <v>349</v>
      </c>
      <c r="O531" s="30"/>
      <c r="P531" s="37" t="s">
        <v>10</v>
      </c>
    </row>
    <row r="532" spans="2:16" x14ac:dyDescent="0.25">
      <c r="B532" t="s">
        <v>169</v>
      </c>
      <c r="C532" t="s">
        <v>213</v>
      </c>
      <c r="D532" t="s">
        <v>13</v>
      </c>
      <c r="E532" s="6">
        <v>0.94159544159544162</v>
      </c>
      <c r="F532" t="s">
        <v>15</v>
      </c>
      <c r="G532"/>
      <c r="H532" s="33">
        <v>0.81944441666666668</v>
      </c>
      <c r="I532" s="31">
        <v>0.95967741666666662</v>
      </c>
      <c r="J532" s="31">
        <v>0.96759258333333331</v>
      </c>
      <c r="K532" s="32">
        <v>0.91837870787545794</v>
      </c>
      <c r="M532" s="36">
        <v>329</v>
      </c>
      <c r="O532" s="29">
        <v>2.5000000000000001E-2</v>
      </c>
      <c r="P532" s="37">
        <v>337.22499999999997</v>
      </c>
    </row>
    <row r="533" spans="2:16" x14ac:dyDescent="0.25">
      <c r="B533" t="s">
        <v>169</v>
      </c>
      <c r="C533" t="s">
        <v>213</v>
      </c>
      <c r="D533" t="s">
        <v>16</v>
      </c>
      <c r="E533" s="6">
        <v>0.99305555555555558</v>
      </c>
      <c r="F533" t="s">
        <v>17</v>
      </c>
      <c r="G533"/>
      <c r="H533" s="33">
        <v>0.98750000000000004</v>
      </c>
      <c r="I533" s="31">
        <v>1</v>
      </c>
      <c r="J533" s="31">
        <v>0.98611099999999996</v>
      </c>
      <c r="K533" s="32">
        <v>0.99229572802197807</v>
      </c>
      <c r="M533" s="36">
        <v>389</v>
      </c>
      <c r="O533" s="30"/>
      <c r="P533" s="37" t="s">
        <v>10</v>
      </c>
    </row>
    <row r="534" spans="2:16" x14ac:dyDescent="0.25">
      <c r="B534" t="s">
        <v>169</v>
      </c>
      <c r="C534" t="s">
        <v>213</v>
      </c>
      <c r="D534" t="s">
        <v>16</v>
      </c>
      <c r="E534" s="6">
        <v>0.99305555555555558</v>
      </c>
      <c r="F534" t="s">
        <v>18</v>
      </c>
      <c r="G534"/>
      <c r="H534" s="33">
        <v>0.99166662500000002</v>
      </c>
      <c r="I534" s="31">
        <v>1</v>
      </c>
      <c r="J534" s="31">
        <v>1</v>
      </c>
      <c r="K534" s="32">
        <v>0.99725273351648358</v>
      </c>
      <c r="M534" s="36">
        <v>359</v>
      </c>
      <c r="O534" s="30"/>
      <c r="P534" s="37" t="s">
        <v>10</v>
      </c>
    </row>
    <row r="535" spans="2:16" x14ac:dyDescent="0.25">
      <c r="B535" t="s">
        <v>169</v>
      </c>
      <c r="C535" t="s">
        <v>213</v>
      </c>
      <c r="D535" t="s">
        <v>24</v>
      </c>
      <c r="E535" s="6">
        <v>1</v>
      </c>
      <c r="F535" t="s">
        <v>80</v>
      </c>
      <c r="G535"/>
      <c r="H535" s="33">
        <v>1</v>
      </c>
      <c r="I535" s="31">
        <v>1</v>
      </c>
      <c r="J535" s="31">
        <v>1</v>
      </c>
      <c r="K535" s="32">
        <v>1</v>
      </c>
      <c r="M535" s="36">
        <v>3129</v>
      </c>
      <c r="O535" s="29">
        <v>2.5000000000000001E-2</v>
      </c>
      <c r="P535" s="37">
        <v>3207.2249999999999</v>
      </c>
    </row>
    <row r="536" spans="2:16" x14ac:dyDescent="0.25">
      <c r="B536" t="s">
        <v>169</v>
      </c>
      <c r="C536" t="s">
        <v>226</v>
      </c>
      <c r="D536" t="s">
        <v>19</v>
      </c>
      <c r="E536" s="6">
        <v>0.81851851851851853</v>
      </c>
      <c r="F536" t="s">
        <v>20</v>
      </c>
      <c r="G536"/>
      <c r="H536" s="33">
        <v>0.87246373913043473</v>
      </c>
      <c r="I536" s="31">
        <v>0.86535760869565215</v>
      </c>
      <c r="J536" s="31">
        <v>0.80917873913043481</v>
      </c>
      <c r="K536" s="32">
        <v>0.85039155040611558</v>
      </c>
      <c r="M536" s="36">
        <v>5568.565217391304</v>
      </c>
      <c r="O536" s="30"/>
      <c r="P536" s="37" t="s">
        <v>10</v>
      </c>
    </row>
    <row r="537" spans="2:16" x14ac:dyDescent="0.25">
      <c r="B537" t="s">
        <v>169</v>
      </c>
      <c r="C537" t="s">
        <v>226</v>
      </c>
      <c r="D537" t="s">
        <v>19</v>
      </c>
      <c r="E537" s="6">
        <v>0.81851851851851853</v>
      </c>
      <c r="F537" t="s">
        <v>31</v>
      </c>
      <c r="G537"/>
      <c r="H537" s="33">
        <v>0.98333300000000001</v>
      </c>
      <c r="I537" s="31">
        <v>0.5</v>
      </c>
      <c r="J537" s="31">
        <v>0.5</v>
      </c>
      <c r="K537" s="32">
        <v>0.65934054945054943</v>
      </c>
      <c r="M537" s="36">
        <v>6519</v>
      </c>
      <c r="O537" s="30"/>
      <c r="P537" s="37" t="s">
        <v>10</v>
      </c>
    </row>
    <row r="538" spans="2:16" x14ac:dyDescent="0.25">
      <c r="B538" t="s">
        <v>169</v>
      </c>
      <c r="C538" t="s">
        <v>226</v>
      </c>
      <c r="D538" t="s">
        <v>19</v>
      </c>
      <c r="E538" s="6">
        <v>0.81851851851851853</v>
      </c>
      <c r="F538" t="s">
        <v>87</v>
      </c>
      <c r="G538"/>
      <c r="H538" s="33">
        <v>0.6</v>
      </c>
      <c r="I538" s="31">
        <v>0.61290320000000009</v>
      </c>
      <c r="J538" s="31">
        <v>0.98888880000000001</v>
      </c>
      <c r="K538" s="32">
        <v>0.73339698021978017</v>
      </c>
      <c r="M538" s="36">
        <v>6519</v>
      </c>
      <c r="O538" s="30"/>
      <c r="P538" s="37" t="s">
        <v>10</v>
      </c>
    </row>
    <row r="539" spans="2:16" x14ac:dyDescent="0.25">
      <c r="B539" t="s">
        <v>169</v>
      </c>
      <c r="C539" t="s">
        <v>226</v>
      </c>
      <c r="D539" t="s">
        <v>21</v>
      </c>
      <c r="E539" s="6">
        <v>0.92929292929292917</v>
      </c>
      <c r="F539" t="s">
        <v>17</v>
      </c>
      <c r="G539"/>
      <c r="H539" s="33">
        <v>1</v>
      </c>
      <c r="I539" s="31">
        <v>1</v>
      </c>
      <c r="J539" s="31">
        <v>0.91358022222222224</v>
      </c>
      <c r="K539" s="32">
        <v>0.97770344322344316</v>
      </c>
      <c r="M539" s="36">
        <v>7599</v>
      </c>
      <c r="O539" s="30"/>
      <c r="P539" s="37" t="s">
        <v>10</v>
      </c>
    </row>
    <row r="540" spans="2:16" x14ac:dyDescent="0.25">
      <c r="B540" t="s">
        <v>169</v>
      </c>
      <c r="C540" t="s">
        <v>226</v>
      </c>
      <c r="D540" t="s">
        <v>21</v>
      </c>
      <c r="E540" s="6">
        <v>0.92929292929292917</v>
      </c>
      <c r="F540" t="s">
        <v>18</v>
      </c>
      <c r="G540"/>
      <c r="H540" s="33">
        <v>1</v>
      </c>
      <c r="I540" s="31">
        <v>1</v>
      </c>
      <c r="J540" s="31">
        <v>1</v>
      </c>
      <c r="K540" s="32">
        <v>1</v>
      </c>
      <c r="M540" s="36">
        <v>9709</v>
      </c>
      <c r="O540" s="30"/>
      <c r="P540" s="37" t="s">
        <v>10</v>
      </c>
    </row>
    <row r="541" spans="2:16" x14ac:dyDescent="0.25">
      <c r="B541" t="s">
        <v>169</v>
      </c>
      <c r="C541" t="s">
        <v>226</v>
      </c>
      <c r="D541" t="s">
        <v>13</v>
      </c>
      <c r="E541" s="6">
        <v>0.86969696969696975</v>
      </c>
      <c r="F541" t="s">
        <v>14</v>
      </c>
      <c r="G541"/>
      <c r="H541" s="33">
        <v>0.85333333333333328</v>
      </c>
      <c r="I541" s="31">
        <v>0.83512544444444436</v>
      </c>
      <c r="J541" s="31">
        <v>0.87407406666666676</v>
      </c>
      <c r="K541" s="32">
        <v>0.85534851404151391</v>
      </c>
      <c r="M541" s="36">
        <v>469</v>
      </c>
      <c r="O541" s="30"/>
      <c r="P541" s="37" t="s">
        <v>10</v>
      </c>
    </row>
    <row r="542" spans="2:16" x14ac:dyDescent="0.25">
      <c r="B542" t="s">
        <v>169</v>
      </c>
      <c r="C542" t="s">
        <v>226</v>
      </c>
      <c r="D542" t="s">
        <v>13</v>
      </c>
      <c r="E542" s="6">
        <v>0.86969696969696975</v>
      </c>
      <c r="F542" t="s">
        <v>15</v>
      </c>
      <c r="G542"/>
      <c r="H542" s="33">
        <v>0.8</v>
      </c>
      <c r="I542" s="31">
        <v>0.89677410000000002</v>
      </c>
      <c r="J542" s="31">
        <v>0.85</v>
      </c>
      <c r="K542" s="32">
        <v>0.84586713296703309</v>
      </c>
      <c r="M542" s="36">
        <v>399</v>
      </c>
      <c r="O542" s="30"/>
      <c r="P542" s="37" t="s">
        <v>10</v>
      </c>
    </row>
    <row r="543" spans="2:16" x14ac:dyDescent="0.25">
      <c r="B543" t="s">
        <v>169</v>
      </c>
      <c r="C543" t="s">
        <v>242</v>
      </c>
      <c r="D543" t="s">
        <v>19</v>
      </c>
      <c r="E543" s="6">
        <v>0.9814814814814814</v>
      </c>
      <c r="F543" t="s">
        <v>30</v>
      </c>
      <c r="G543"/>
      <c r="H543" s="33">
        <v>1</v>
      </c>
      <c r="I543" s="31">
        <v>1</v>
      </c>
      <c r="J543" s="31">
        <v>0.98765422222222221</v>
      </c>
      <c r="K543" s="32">
        <v>0.98885172161172163</v>
      </c>
      <c r="M543" s="36">
        <v>6369</v>
      </c>
      <c r="O543" s="29">
        <v>2.5000000000000001E-2</v>
      </c>
      <c r="P543" s="37">
        <v>6528.2249999999995</v>
      </c>
    </row>
    <row r="544" spans="2:16" x14ac:dyDescent="0.25">
      <c r="B544" t="s">
        <v>169</v>
      </c>
      <c r="C544" t="s">
        <v>242</v>
      </c>
      <c r="D544" t="s">
        <v>19</v>
      </c>
      <c r="E544" s="6">
        <v>0.9814814814814814</v>
      </c>
      <c r="F544" t="s">
        <v>20</v>
      </c>
      <c r="G544"/>
      <c r="H544" s="33">
        <v>0.88421052631578956</v>
      </c>
      <c r="I544" s="31">
        <v>0.98811536842105263</v>
      </c>
      <c r="J544" s="31">
        <v>0.97660815789473676</v>
      </c>
      <c r="K544" s="32">
        <v>0.95174386466165417</v>
      </c>
      <c r="M544" s="36">
        <v>5553.2105263157891</v>
      </c>
      <c r="O544" s="29">
        <v>1.8885644678358331E-2</v>
      </c>
      <c r="P544" s="37">
        <v>5658.0864871399081</v>
      </c>
    </row>
    <row r="545" spans="2:16" x14ac:dyDescent="0.25">
      <c r="B545" t="s">
        <v>169</v>
      </c>
      <c r="C545" t="s">
        <v>242</v>
      </c>
      <c r="D545" t="s">
        <v>19</v>
      </c>
      <c r="E545" s="6">
        <v>0.9814814814814814</v>
      </c>
      <c r="F545" t="s">
        <v>15</v>
      </c>
      <c r="G545"/>
      <c r="H545" s="33">
        <v>1</v>
      </c>
      <c r="I545" s="31">
        <v>1</v>
      </c>
      <c r="J545" s="31">
        <v>1</v>
      </c>
      <c r="K545" s="32">
        <v>1</v>
      </c>
      <c r="M545" s="36">
        <v>6909</v>
      </c>
      <c r="O545" s="29">
        <v>2.5000000000000001E-2</v>
      </c>
      <c r="P545" s="37">
        <v>7081.7249999999995</v>
      </c>
    </row>
    <row r="546" spans="2:16" x14ac:dyDescent="0.25">
      <c r="B546" t="s">
        <v>169</v>
      </c>
      <c r="C546" t="s">
        <v>242</v>
      </c>
      <c r="D546" t="s">
        <v>21</v>
      </c>
      <c r="E546" s="6">
        <v>0.73504273504273498</v>
      </c>
      <c r="F546" t="s">
        <v>243</v>
      </c>
      <c r="G546"/>
      <c r="H546" s="33">
        <v>0.96111108333333339</v>
      </c>
      <c r="I546" s="31">
        <v>0.7956989166666667</v>
      </c>
      <c r="J546" s="31">
        <v>0.79629625000000004</v>
      </c>
      <c r="K546" s="32">
        <v>0.85308166391941398</v>
      </c>
      <c r="M546" s="36">
        <v>6259</v>
      </c>
      <c r="O546" s="29">
        <v>-0.05</v>
      </c>
      <c r="P546" s="37">
        <v>5946.0499999999993</v>
      </c>
    </row>
    <row r="547" spans="2:16" x14ac:dyDescent="0.25">
      <c r="B547" t="s">
        <v>169</v>
      </c>
      <c r="C547" t="s">
        <v>242</v>
      </c>
      <c r="D547" t="s">
        <v>21</v>
      </c>
      <c r="E547" s="6">
        <v>0.73504273504273498</v>
      </c>
      <c r="F547" t="s">
        <v>244</v>
      </c>
      <c r="G547"/>
      <c r="H547" s="33">
        <v>0</v>
      </c>
      <c r="I547" s="31">
        <v>0</v>
      </c>
      <c r="J547" s="31">
        <v>0</v>
      </c>
      <c r="K547" s="32">
        <v>0</v>
      </c>
      <c r="M547" s="36">
        <v>6509</v>
      </c>
      <c r="O547" s="30"/>
      <c r="P547" s="37" t="s">
        <v>10</v>
      </c>
    </row>
    <row r="548" spans="2:16" x14ac:dyDescent="0.25">
      <c r="B548" t="s">
        <v>169</v>
      </c>
      <c r="C548" t="s">
        <v>242</v>
      </c>
      <c r="D548" t="s">
        <v>13</v>
      </c>
      <c r="E548" s="6">
        <v>0.82183908045977005</v>
      </c>
      <c r="F548" t="s">
        <v>15</v>
      </c>
      <c r="G548"/>
      <c r="H548" s="33">
        <v>0.74615384615384606</v>
      </c>
      <c r="I548" s="31">
        <v>0.79156326923076925</v>
      </c>
      <c r="J548" s="31">
        <v>0.78846153846153844</v>
      </c>
      <c r="K548" s="32">
        <v>0.778051375739645</v>
      </c>
      <c r="M548" s="36">
        <v>319</v>
      </c>
      <c r="O548" s="30"/>
      <c r="P548" s="37" t="s">
        <v>10</v>
      </c>
    </row>
    <row r="549" spans="2:16" x14ac:dyDescent="0.25">
      <c r="B549" t="s">
        <v>169</v>
      </c>
      <c r="C549" t="s">
        <v>242</v>
      </c>
      <c r="D549" t="s">
        <v>13</v>
      </c>
      <c r="E549" s="6">
        <v>0.82183908045977005</v>
      </c>
      <c r="F549" t="s">
        <v>14</v>
      </c>
      <c r="G549"/>
      <c r="H549" s="33">
        <v>0.86770831250000002</v>
      </c>
      <c r="I549" s="31">
        <v>0.89213709375000005</v>
      </c>
      <c r="J549" s="31">
        <v>0.84895831249999998</v>
      </c>
      <c r="K549" s="32">
        <v>0.87126730322802204</v>
      </c>
      <c r="M549" s="36">
        <v>329</v>
      </c>
      <c r="O549" s="30"/>
      <c r="P549" s="37" t="s">
        <v>10</v>
      </c>
    </row>
    <row r="550" spans="2:16" x14ac:dyDescent="0.25">
      <c r="B550" t="s">
        <v>169</v>
      </c>
      <c r="C550" t="s">
        <v>245</v>
      </c>
      <c r="D550" t="s">
        <v>19</v>
      </c>
      <c r="E550" s="6">
        <v>1</v>
      </c>
      <c r="F550" t="s">
        <v>20</v>
      </c>
      <c r="G550"/>
      <c r="H550" s="33">
        <v>0.98571428571428577</v>
      </c>
      <c r="I550" s="31">
        <v>1</v>
      </c>
      <c r="J550" s="31">
        <v>1</v>
      </c>
      <c r="K550" s="32">
        <v>0.9952904238618524</v>
      </c>
      <c r="M550" s="36">
        <v>5808.2857142857147</v>
      </c>
      <c r="O550" s="29">
        <v>2.5000000000000001E-2</v>
      </c>
      <c r="P550" s="37">
        <v>5953.4928571428572</v>
      </c>
    </row>
    <row r="551" spans="2:16" x14ac:dyDescent="0.25">
      <c r="B551" t="s">
        <v>169</v>
      </c>
      <c r="C551" t="s">
        <v>245</v>
      </c>
      <c r="D551" t="s">
        <v>19</v>
      </c>
      <c r="E551" s="6">
        <v>1</v>
      </c>
      <c r="F551" t="s">
        <v>49</v>
      </c>
      <c r="G551"/>
      <c r="H551" s="33">
        <v>1</v>
      </c>
      <c r="I551" s="31">
        <v>1</v>
      </c>
      <c r="J551" s="31">
        <v>1</v>
      </c>
      <c r="K551" s="32">
        <v>1</v>
      </c>
      <c r="M551" s="36">
        <v>7429</v>
      </c>
      <c r="O551" s="29">
        <v>2.5000000000000001E-2</v>
      </c>
      <c r="P551" s="37">
        <v>7614.7249999999995</v>
      </c>
    </row>
    <row r="552" spans="2:16" x14ac:dyDescent="0.25">
      <c r="B552" t="s">
        <v>169</v>
      </c>
      <c r="C552" t="s">
        <v>245</v>
      </c>
      <c r="D552" t="s">
        <v>21</v>
      </c>
      <c r="E552" s="6">
        <v>1</v>
      </c>
      <c r="F552" t="s">
        <v>38</v>
      </c>
      <c r="G552"/>
      <c r="H552" s="33">
        <v>0.98333333333333339</v>
      </c>
      <c r="I552" s="31">
        <v>1</v>
      </c>
      <c r="J552" s="31">
        <v>1</v>
      </c>
      <c r="K552" s="32">
        <v>0.99450549450549453</v>
      </c>
      <c r="M552" s="36">
        <v>8124.833333333333</v>
      </c>
      <c r="O552" s="29">
        <v>2.5000000000000001E-2</v>
      </c>
      <c r="P552" s="37">
        <v>8327.9541666666664</v>
      </c>
    </row>
    <row r="553" spans="2:16" x14ac:dyDescent="0.25">
      <c r="B553" t="s">
        <v>169</v>
      </c>
      <c r="C553" t="s">
        <v>245</v>
      </c>
      <c r="D553" t="s">
        <v>21</v>
      </c>
      <c r="E553" s="6">
        <v>1</v>
      </c>
      <c r="F553" t="s">
        <v>246</v>
      </c>
      <c r="G553"/>
      <c r="H553" s="33">
        <v>1</v>
      </c>
      <c r="I553" s="31">
        <v>1</v>
      </c>
      <c r="J553" s="31">
        <v>1</v>
      </c>
      <c r="K553" s="32">
        <v>1</v>
      </c>
      <c r="M553" s="36">
        <v>10432.333333333334</v>
      </c>
      <c r="O553" s="29">
        <v>2.6834577114427806E-2</v>
      </c>
      <c r="P553" s="37">
        <v>10712.280586650084</v>
      </c>
    </row>
    <row r="554" spans="2:16" x14ac:dyDescent="0.25">
      <c r="B554" t="s">
        <v>169</v>
      </c>
      <c r="C554" t="s">
        <v>245</v>
      </c>
      <c r="D554" t="s">
        <v>13</v>
      </c>
      <c r="E554" s="6">
        <v>0.97592592592592597</v>
      </c>
      <c r="F554" t="s">
        <v>20</v>
      </c>
      <c r="G554"/>
      <c r="H554" s="33">
        <v>0.93222216666666669</v>
      </c>
      <c r="I554" s="31">
        <v>0.96451606666666667</v>
      </c>
      <c r="J554" s="31">
        <v>0.98148146666666658</v>
      </c>
      <c r="K554" s="32">
        <v>0.96078989084249078</v>
      </c>
      <c r="M554" s="36">
        <v>400.33333333333331</v>
      </c>
      <c r="O554" s="30"/>
      <c r="P554" s="37" t="s">
        <v>10</v>
      </c>
    </row>
    <row r="555" spans="2:16" x14ac:dyDescent="0.25">
      <c r="B555" t="s">
        <v>169</v>
      </c>
      <c r="C555" t="s">
        <v>245</v>
      </c>
      <c r="D555" t="s">
        <v>13</v>
      </c>
      <c r="E555" s="6">
        <v>0.97592592592592597</v>
      </c>
      <c r="F555" t="s">
        <v>49</v>
      </c>
      <c r="G555"/>
      <c r="H555" s="33">
        <v>0.93214278571428566</v>
      </c>
      <c r="I555" s="31">
        <v>0.92972342857142853</v>
      </c>
      <c r="J555" s="31">
        <v>0.98015871428571433</v>
      </c>
      <c r="K555" s="32">
        <v>0.94652236891679753</v>
      </c>
      <c r="M555" s="36">
        <v>351.85714285714283</v>
      </c>
      <c r="O555" s="30"/>
      <c r="P555" s="37" t="s">
        <v>10</v>
      </c>
    </row>
    <row r="556" spans="2:16" x14ac:dyDescent="0.25">
      <c r="B556" t="s">
        <v>169</v>
      </c>
      <c r="C556" t="s">
        <v>245</v>
      </c>
      <c r="D556" t="s">
        <v>13</v>
      </c>
      <c r="E556" s="6">
        <v>0.97592592592592597</v>
      </c>
      <c r="F556" t="s">
        <v>35</v>
      </c>
      <c r="G556"/>
      <c r="H556" s="33">
        <v>0.86666650000000001</v>
      </c>
      <c r="I556" s="31">
        <v>0.79032199999999997</v>
      </c>
      <c r="J556" s="31">
        <v>0.83333299999999999</v>
      </c>
      <c r="K556" s="32">
        <v>0.84161458241758247</v>
      </c>
      <c r="M556" s="36">
        <v>409</v>
      </c>
      <c r="O556" s="30"/>
      <c r="P556" s="37" t="s">
        <v>10</v>
      </c>
    </row>
    <row r="557" spans="2:16" x14ac:dyDescent="0.25">
      <c r="B557" t="s">
        <v>32</v>
      </c>
      <c r="C557" t="s">
        <v>33</v>
      </c>
      <c r="D557" t="s">
        <v>19</v>
      </c>
      <c r="E557" s="6">
        <v>0.9285714285714286</v>
      </c>
      <c r="F557" t="s">
        <v>20</v>
      </c>
      <c r="G557"/>
      <c r="H557" s="33">
        <v>0.98275862068965514</v>
      </c>
      <c r="I557" s="31">
        <v>1</v>
      </c>
      <c r="J557" s="31">
        <v>0.96551724137931039</v>
      </c>
      <c r="K557" s="32">
        <v>0.98294808639636233</v>
      </c>
      <c r="M557" s="36">
        <v>4216.9310344827591</v>
      </c>
      <c r="O557" s="30"/>
      <c r="P557" s="37" t="s">
        <v>10</v>
      </c>
    </row>
    <row r="558" spans="2:16" x14ac:dyDescent="0.25">
      <c r="B558" t="s">
        <v>32</v>
      </c>
      <c r="C558" t="s">
        <v>33</v>
      </c>
      <c r="D558" t="s">
        <v>19</v>
      </c>
      <c r="E558" s="6">
        <v>0.9285714285714286</v>
      </c>
      <c r="F558" t="s">
        <v>34</v>
      </c>
      <c r="G558"/>
      <c r="H558" s="33">
        <v>0.96153846153846156</v>
      </c>
      <c r="I558" s="31">
        <v>1</v>
      </c>
      <c r="J558" s="31">
        <v>0.92307692307692313</v>
      </c>
      <c r="K558" s="32">
        <v>0.96526882502113276</v>
      </c>
      <c r="M558" s="36">
        <v>5365.1538461538457</v>
      </c>
      <c r="O558" s="30"/>
      <c r="P558" s="37" t="s">
        <v>10</v>
      </c>
    </row>
    <row r="559" spans="2:16" x14ac:dyDescent="0.25">
      <c r="B559" t="s">
        <v>32</v>
      </c>
      <c r="C559" t="s">
        <v>33</v>
      </c>
      <c r="D559" t="s">
        <v>19</v>
      </c>
      <c r="E559" s="6">
        <v>0.9285714285714286</v>
      </c>
      <c r="F559" t="s">
        <v>35</v>
      </c>
      <c r="G559"/>
      <c r="H559" s="33">
        <v>1</v>
      </c>
      <c r="I559" s="31">
        <v>1</v>
      </c>
      <c r="J559" s="31">
        <v>1</v>
      </c>
      <c r="K559" s="32">
        <v>1</v>
      </c>
      <c r="M559" s="36">
        <v>4729</v>
      </c>
      <c r="O559" s="30"/>
      <c r="P559" s="37" t="s">
        <v>10</v>
      </c>
    </row>
    <row r="560" spans="2:16" x14ac:dyDescent="0.25">
      <c r="B560" t="s">
        <v>32</v>
      </c>
      <c r="C560" t="s">
        <v>33</v>
      </c>
      <c r="D560" t="s">
        <v>19</v>
      </c>
      <c r="E560" s="6">
        <v>0.9285714285714286</v>
      </c>
      <c r="F560" t="s">
        <v>36</v>
      </c>
      <c r="G560"/>
      <c r="H560" s="33">
        <v>0.4</v>
      </c>
      <c r="I560" s="31">
        <v>0</v>
      </c>
      <c r="J560" s="31">
        <v>0</v>
      </c>
      <c r="K560" s="32">
        <v>0.13186813186813187</v>
      </c>
      <c r="M560" s="36">
        <v>6499</v>
      </c>
      <c r="O560" s="30"/>
      <c r="P560" s="37" t="s">
        <v>10</v>
      </c>
    </row>
    <row r="561" spans="2:16" x14ac:dyDescent="0.25">
      <c r="B561" t="s">
        <v>32</v>
      </c>
      <c r="C561" t="s">
        <v>33</v>
      </c>
      <c r="D561" t="s">
        <v>21</v>
      </c>
      <c r="E561" s="6">
        <v>0.80917874396135259</v>
      </c>
      <c r="F561" t="s">
        <v>37</v>
      </c>
      <c r="G561"/>
      <c r="H561" s="33">
        <v>0.89999994736842104</v>
      </c>
      <c r="I561" s="31">
        <v>0.97962647368421052</v>
      </c>
      <c r="J561" s="31">
        <v>0.85087715789473684</v>
      </c>
      <c r="K561" s="32">
        <v>0.90653051069982649</v>
      </c>
      <c r="M561" s="36">
        <v>6323.7368421052633</v>
      </c>
      <c r="O561" s="29"/>
      <c r="P561" s="37" t="s">
        <v>10</v>
      </c>
    </row>
    <row r="562" spans="2:16" x14ac:dyDescent="0.25">
      <c r="B562" t="s">
        <v>32</v>
      </c>
      <c r="C562" t="s">
        <v>33</v>
      </c>
      <c r="D562" t="s">
        <v>21</v>
      </c>
      <c r="E562" s="6">
        <v>0.80917874396135259</v>
      </c>
      <c r="F562" t="s">
        <v>38</v>
      </c>
      <c r="G562"/>
      <c r="H562" s="33">
        <v>1</v>
      </c>
      <c r="I562" s="31">
        <v>1</v>
      </c>
      <c r="J562" s="31">
        <v>0.72222200000000003</v>
      </c>
      <c r="K562" s="32">
        <v>0.89249879120879116</v>
      </c>
      <c r="M562" s="36">
        <v>6279</v>
      </c>
      <c r="O562" s="30"/>
      <c r="P562" s="37" t="s">
        <v>10</v>
      </c>
    </row>
    <row r="563" spans="2:16" x14ac:dyDescent="0.25">
      <c r="B563" t="s">
        <v>32</v>
      </c>
      <c r="C563" t="s">
        <v>33</v>
      </c>
      <c r="D563" t="s">
        <v>21</v>
      </c>
      <c r="E563" s="6">
        <v>0.80917874396135259</v>
      </c>
      <c r="F563" t="s">
        <v>39</v>
      </c>
      <c r="G563"/>
      <c r="H563" s="33">
        <v>0.5</v>
      </c>
      <c r="I563" s="31">
        <v>0.5</v>
      </c>
      <c r="J563" s="31">
        <v>0.5</v>
      </c>
      <c r="K563" s="32">
        <v>0.5</v>
      </c>
      <c r="M563" s="36">
        <v>8249</v>
      </c>
      <c r="O563" s="30"/>
      <c r="P563" s="37" t="s">
        <v>10</v>
      </c>
    </row>
    <row r="564" spans="2:16" x14ac:dyDescent="0.25">
      <c r="B564" t="s">
        <v>32</v>
      </c>
      <c r="C564" t="s">
        <v>89</v>
      </c>
      <c r="D564" t="s">
        <v>19</v>
      </c>
      <c r="E564" s="6">
        <v>0.89057239057239057</v>
      </c>
      <c r="F564" t="s">
        <v>20</v>
      </c>
      <c r="G564"/>
      <c r="H564" s="33">
        <v>0.93827159259259263</v>
      </c>
      <c r="I564" s="31">
        <v>0.95698922222222227</v>
      </c>
      <c r="J564" s="31">
        <v>0.8662551111111112</v>
      </c>
      <c r="K564" s="32">
        <v>0.92518268986568997</v>
      </c>
      <c r="M564" s="36">
        <v>5759</v>
      </c>
      <c r="O564" s="30"/>
      <c r="P564" s="37" t="s">
        <v>10</v>
      </c>
    </row>
    <row r="565" spans="2:16" x14ac:dyDescent="0.25">
      <c r="B565" t="s">
        <v>32</v>
      </c>
      <c r="C565" t="s">
        <v>89</v>
      </c>
      <c r="D565" t="s">
        <v>19</v>
      </c>
      <c r="E565" s="6">
        <v>0.89057239057239057</v>
      </c>
      <c r="F565" t="s">
        <v>15</v>
      </c>
      <c r="G565"/>
      <c r="H565" s="33">
        <v>1</v>
      </c>
      <c r="I565" s="31">
        <v>1</v>
      </c>
      <c r="J565" s="31">
        <v>1</v>
      </c>
      <c r="K565" s="32">
        <v>1</v>
      </c>
      <c r="M565" s="36">
        <v>6209</v>
      </c>
      <c r="O565" s="30"/>
      <c r="P565" s="37" t="s">
        <v>10</v>
      </c>
    </row>
    <row r="566" spans="2:16" x14ac:dyDescent="0.25">
      <c r="B566" t="s">
        <v>32</v>
      </c>
      <c r="C566" t="s">
        <v>89</v>
      </c>
      <c r="D566" t="s">
        <v>13</v>
      </c>
      <c r="E566" s="6">
        <v>0.87962962962962954</v>
      </c>
      <c r="F566" t="s">
        <v>14</v>
      </c>
      <c r="G566"/>
      <c r="H566" s="33">
        <v>0.95757572727272733</v>
      </c>
      <c r="I566" s="31">
        <v>0.93841640909090918</v>
      </c>
      <c r="J566" s="31">
        <v>0.93939390909090903</v>
      </c>
      <c r="K566" s="32">
        <v>0.94288318731268739</v>
      </c>
      <c r="M566" s="36">
        <v>349</v>
      </c>
      <c r="O566" s="30"/>
      <c r="P566" s="37" t="s">
        <v>10</v>
      </c>
    </row>
    <row r="567" spans="2:16" x14ac:dyDescent="0.25">
      <c r="B567" t="s">
        <v>32</v>
      </c>
      <c r="C567" t="s">
        <v>89</v>
      </c>
      <c r="D567" t="s">
        <v>13</v>
      </c>
      <c r="E567" s="6">
        <v>0.87962962962962954</v>
      </c>
      <c r="F567" t="s">
        <v>15</v>
      </c>
      <c r="G567"/>
      <c r="H567" s="33">
        <v>0.95833329999999994</v>
      </c>
      <c r="I567" s="31">
        <v>0.9177419</v>
      </c>
      <c r="J567" s="31">
        <v>0.81388885</v>
      </c>
      <c r="K567" s="32">
        <v>0.90234110329670325</v>
      </c>
      <c r="M567" s="36">
        <v>299</v>
      </c>
      <c r="O567" s="30"/>
      <c r="P567" s="37" t="s">
        <v>10</v>
      </c>
    </row>
    <row r="568" spans="2:16" x14ac:dyDescent="0.25">
      <c r="B568" t="s">
        <v>32</v>
      </c>
      <c r="C568" t="s">
        <v>89</v>
      </c>
      <c r="D568" t="s">
        <v>16</v>
      </c>
      <c r="E568" s="6">
        <v>1</v>
      </c>
      <c r="F568" t="s">
        <v>17</v>
      </c>
      <c r="G568"/>
      <c r="H568" s="33">
        <v>1</v>
      </c>
      <c r="I568" s="31">
        <v>1</v>
      </c>
      <c r="J568" s="31">
        <v>1</v>
      </c>
      <c r="K568" s="32">
        <v>1</v>
      </c>
      <c r="M568" s="36">
        <v>369</v>
      </c>
      <c r="O568" s="29">
        <v>2.5000000000000001E-2</v>
      </c>
      <c r="P568" s="37">
        <v>378.22499999999997</v>
      </c>
    </row>
    <row r="569" spans="2:16" x14ac:dyDescent="0.25">
      <c r="B569" t="s">
        <v>32</v>
      </c>
      <c r="C569" t="s">
        <v>89</v>
      </c>
      <c r="D569" t="s">
        <v>51</v>
      </c>
      <c r="E569" s="6">
        <v>1</v>
      </c>
      <c r="F569" t="s">
        <v>20</v>
      </c>
      <c r="G569"/>
      <c r="H569" s="33">
        <v>1</v>
      </c>
      <c r="I569" s="31">
        <v>1</v>
      </c>
      <c r="J569" s="31">
        <v>1</v>
      </c>
      <c r="K569" s="32">
        <v>1</v>
      </c>
      <c r="M569" s="36">
        <v>2649</v>
      </c>
      <c r="O569" s="29">
        <v>2.5000000000000001E-2</v>
      </c>
      <c r="P569" s="37">
        <v>2715.2249999999999</v>
      </c>
    </row>
    <row r="570" spans="2:16" x14ac:dyDescent="0.25">
      <c r="B570" t="s">
        <v>32</v>
      </c>
      <c r="C570" t="s">
        <v>90</v>
      </c>
      <c r="D570" t="s">
        <v>19</v>
      </c>
      <c r="E570" s="6">
        <v>0.78869047619047616</v>
      </c>
      <c r="F570" t="s">
        <v>20</v>
      </c>
      <c r="G570"/>
      <c r="H570" s="33">
        <v>0.76896551724137929</v>
      </c>
      <c r="I570" s="31">
        <v>0.77864293103448279</v>
      </c>
      <c r="J570" s="31">
        <v>0.69540227586206893</v>
      </c>
      <c r="K570" s="32">
        <v>0.74759871731716554</v>
      </c>
      <c r="M570" s="36">
        <v>4719</v>
      </c>
      <c r="O570" s="30"/>
      <c r="P570" s="37" t="s">
        <v>10</v>
      </c>
    </row>
    <row r="571" spans="2:16" x14ac:dyDescent="0.25">
      <c r="B571" t="s">
        <v>32</v>
      </c>
      <c r="C571" t="s">
        <v>90</v>
      </c>
      <c r="D571" t="s">
        <v>19</v>
      </c>
      <c r="E571" s="6">
        <v>0.78869047619047616</v>
      </c>
      <c r="F571" t="s">
        <v>34</v>
      </c>
      <c r="G571"/>
      <c r="H571" s="33">
        <v>0.84615384615384615</v>
      </c>
      <c r="I571" s="31">
        <v>0.84615384615384615</v>
      </c>
      <c r="J571" s="31">
        <v>0.84615384615384615</v>
      </c>
      <c r="K571" s="32">
        <v>0.84615384615384615</v>
      </c>
      <c r="M571" s="36">
        <v>6049</v>
      </c>
      <c r="O571" s="30"/>
      <c r="P571" s="37" t="s">
        <v>10</v>
      </c>
    </row>
    <row r="572" spans="2:16" x14ac:dyDescent="0.25">
      <c r="B572" t="s">
        <v>32</v>
      </c>
      <c r="C572" t="s">
        <v>90</v>
      </c>
      <c r="D572" t="s">
        <v>19</v>
      </c>
      <c r="E572" s="6">
        <v>0.78869047619047616</v>
      </c>
      <c r="F572" t="s">
        <v>35</v>
      </c>
      <c r="G572"/>
      <c r="H572" s="33">
        <v>0.75</v>
      </c>
      <c r="I572" s="31">
        <v>0.83602150000000008</v>
      </c>
      <c r="J572" s="31">
        <v>0.91666666666666663</v>
      </c>
      <c r="K572" s="32">
        <v>0.83424908241758244</v>
      </c>
      <c r="M572" s="36">
        <v>5319</v>
      </c>
      <c r="O572" s="30"/>
      <c r="P572" s="37" t="s">
        <v>10</v>
      </c>
    </row>
    <row r="573" spans="2:16" x14ac:dyDescent="0.25">
      <c r="B573" t="s">
        <v>32</v>
      </c>
      <c r="C573" t="s">
        <v>90</v>
      </c>
      <c r="D573" t="s">
        <v>19</v>
      </c>
      <c r="E573" s="6">
        <v>0.78869047619047616</v>
      </c>
      <c r="F573" t="s">
        <v>36</v>
      </c>
      <c r="G573"/>
      <c r="H573" s="33">
        <v>1</v>
      </c>
      <c r="I573" s="31">
        <v>1</v>
      </c>
      <c r="J573" s="31">
        <v>1</v>
      </c>
      <c r="K573" s="32">
        <v>1</v>
      </c>
      <c r="M573" s="36">
        <v>7339</v>
      </c>
      <c r="O573" s="30"/>
      <c r="P573" s="37" t="s">
        <v>10</v>
      </c>
    </row>
    <row r="574" spans="2:16" x14ac:dyDescent="0.25">
      <c r="B574" t="s">
        <v>32</v>
      </c>
      <c r="C574" t="s">
        <v>90</v>
      </c>
      <c r="D574" t="s">
        <v>21</v>
      </c>
      <c r="E574" s="6">
        <v>0.80917874396135259</v>
      </c>
      <c r="F574" t="s">
        <v>38</v>
      </c>
      <c r="G574"/>
      <c r="H574" s="33">
        <v>0.76507933333333344</v>
      </c>
      <c r="I574" s="31">
        <v>0.84639014285714287</v>
      </c>
      <c r="J574" s="31">
        <v>0.83862433333333342</v>
      </c>
      <c r="K574" s="32">
        <v>0.82176413029827311</v>
      </c>
      <c r="M574" s="36">
        <v>6649</v>
      </c>
      <c r="O574" s="29">
        <v>-2.5000000000000001E-2</v>
      </c>
      <c r="P574" s="37">
        <v>6482.7749999999996</v>
      </c>
    </row>
    <row r="575" spans="2:16" x14ac:dyDescent="0.25">
      <c r="B575" t="s">
        <v>32</v>
      </c>
      <c r="C575" t="s">
        <v>90</v>
      </c>
      <c r="D575" t="s">
        <v>21</v>
      </c>
      <c r="E575" s="6">
        <v>0.80917874396135259</v>
      </c>
      <c r="F575" t="s">
        <v>91</v>
      </c>
      <c r="G575"/>
      <c r="H575" s="33">
        <v>0.5</v>
      </c>
      <c r="I575" s="31">
        <v>0.5</v>
      </c>
      <c r="J575" s="31">
        <v>0.5</v>
      </c>
      <c r="K575" s="32">
        <v>0.5</v>
      </c>
      <c r="M575" s="36">
        <v>9639</v>
      </c>
      <c r="O575" s="30"/>
      <c r="P575" s="37" t="s">
        <v>10</v>
      </c>
    </row>
    <row r="576" spans="2:16" x14ac:dyDescent="0.25">
      <c r="B576" t="s">
        <v>32</v>
      </c>
      <c r="C576" t="s">
        <v>133</v>
      </c>
      <c r="D576" t="s">
        <v>19</v>
      </c>
      <c r="E576" s="6">
        <v>0.9285714285714286</v>
      </c>
      <c r="F576" t="s">
        <v>20</v>
      </c>
      <c r="G576"/>
      <c r="H576" s="33">
        <v>0.98333325000000005</v>
      </c>
      <c r="I576" s="31">
        <v>0.93548374999999984</v>
      </c>
      <c r="J576" s="31">
        <v>0.9</v>
      </c>
      <c r="K576" s="32">
        <v>0.93956035439560459</v>
      </c>
      <c r="M576" s="36">
        <v>5359</v>
      </c>
      <c r="O576" s="29">
        <v>0.01</v>
      </c>
      <c r="P576" s="37">
        <v>5412.59</v>
      </c>
    </row>
    <row r="577" spans="2:16" x14ac:dyDescent="0.25">
      <c r="B577" t="s">
        <v>32</v>
      </c>
      <c r="C577" t="s">
        <v>133</v>
      </c>
      <c r="D577" t="s">
        <v>19</v>
      </c>
      <c r="E577" s="6">
        <v>0.9285714285714286</v>
      </c>
      <c r="F577" t="s">
        <v>49</v>
      </c>
      <c r="G577"/>
      <c r="H577" s="33">
        <v>0.97916662499999996</v>
      </c>
      <c r="I577" s="31">
        <v>0.96370962500000001</v>
      </c>
      <c r="J577" s="31">
        <v>1</v>
      </c>
      <c r="K577" s="32">
        <v>0.98076919917582428</v>
      </c>
      <c r="M577" s="36">
        <v>5999</v>
      </c>
      <c r="O577" s="30"/>
      <c r="P577" s="37" t="s">
        <v>10</v>
      </c>
    </row>
    <row r="578" spans="2:16" x14ac:dyDescent="0.25">
      <c r="B578" t="s">
        <v>32</v>
      </c>
      <c r="C578" t="s">
        <v>133</v>
      </c>
      <c r="D578" t="s">
        <v>13</v>
      </c>
      <c r="E578" s="6">
        <v>0.96790123456790123</v>
      </c>
      <c r="F578" t="s">
        <v>20</v>
      </c>
      <c r="G578"/>
      <c r="H578" s="33">
        <v>0.90399995999999982</v>
      </c>
      <c r="I578" s="31">
        <v>0.94322572000000005</v>
      </c>
      <c r="J578" s="31">
        <v>0.94222211999999983</v>
      </c>
      <c r="K578" s="32">
        <v>0.930664054065934</v>
      </c>
      <c r="M578" s="36">
        <v>369</v>
      </c>
      <c r="O578" s="29">
        <v>2.5000000000000001E-2</v>
      </c>
      <c r="P578" s="37">
        <v>378.22499999999997</v>
      </c>
    </row>
    <row r="579" spans="2:16" x14ac:dyDescent="0.25">
      <c r="B579" t="s">
        <v>32</v>
      </c>
      <c r="C579" t="s">
        <v>133</v>
      </c>
      <c r="D579" t="s">
        <v>13</v>
      </c>
      <c r="E579" s="6">
        <v>0.96790123456790123</v>
      </c>
      <c r="F579" t="s">
        <v>49</v>
      </c>
      <c r="G579"/>
      <c r="H579" s="33">
        <v>1</v>
      </c>
      <c r="I579" s="31">
        <v>1</v>
      </c>
      <c r="J579" s="31">
        <v>1</v>
      </c>
      <c r="K579" s="32">
        <v>1</v>
      </c>
      <c r="M579" s="36">
        <v>349</v>
      </c>
      <c r="O579" s="29">
        <v>2.5000000000000001E-2</v>
      </c>
      <c r="P579" s="37">
        <v>357.72499999999997</v>
      </c>
    </row>
    <row r="580" spans="2:16" x14ac:dyDescent="0.25">
      <c r="B580" t="s">
        <v>32</v>
      </c>
      <c r="C580" t="s">
        <v>133</v>
      </c>
      <c r="D580" t="s">
        <v>51</v>
      </c>
      <c r="E580" s="6">
        <v>1</v>
      </c>
      <c r="F580" t="s">
        <v>20</v>
      </c>
      <c r="G580"/>
      <c r="H580" s="33">
        <v>1</v>
      </c>
      <c r="I580" s="31">
        <v>1</v>
      </c>
      <c r="J580" s="31">
        <v>1</v>
      </c>
      <c r="K580" s="32">
        <v>1</v>
      </c>
      <c r="M580" s="36">
        <v>4159</v>
      </c>
      <c r="O580" s="29">
        <v>2.5000000000000001E-2</v>
      </c>
      <c r="P580" s="37">
        <v>4262.9749999999995</v>
      </c>
    </row>
    <row r="581" spans="2:16" x14ac:dyDescent="0.25">
      <c r="B581" t="s">
        <v>32</v>
      </c>
      <c r="C581" s="35" t="s">
        <v>133</v>
      </c>
      <c r="D581" t="s">
        <v>24</v>
      </c>
      <c r="E581" s="6">
        <v>0.52951388888888884</v>
      </c>
      <c r="F581" t="s">
        <v>134</v>
      </c>
      <c r="G581"/>
      <c r="H581" s="33">
        <v>0.79054059395544551</v>
      </c>
      <c r="I581" s="31">
        <v>0.26209674999999999</v>
      </c>
      <c r="J581" s="31">
        <v>0.375</v>
      </c>
      <c r="K581" s="32">
        <v>0.37989323113784013</v>
      </c>
      <c r="M581" s="36">
        <v>3149</v>
      </c>
      <c r="O581" s="30"/>
      <c r="P581" s="37" t="s">
        <v>10</v>
      </c>
    </row>
    <row r="582" spans="2:16" x14ac:dyDescent="0.25">
      <c r="B582" t="s">
        <v>32</v>
      </c>
      <c r="C582" s="35" t="s">
        <v>133</v>
      </c>
      <c r="D582" t="s">
        <v>24</v>
      </c>
      <c r="E582" s="6">
        <v>0.52951388888888884</v>
      </c>
      <c r="F582" t="s">
        <v>75</v>
      </c>
      <c r="G582"/>
      <c r="H582" s="33">
        <v>0.85820891261973564</v>
      </c>
      <c r="I582" s="31">
        <v>0.61895156250000005</v>
      </c>
      <c r="J582" s="31">
        <v>0.68402775000000005</v>
      </c>
      <c r="K582" s="32">
        <v>0.70218785532305339</v>
      </c>
      <c r="M582" s="36">
        <v>3499</v>
      </c>
      <c r="O582" s="30"/>
      <c r="P582" s="37" t="s">
        <v>10</v>
      </c>
    </row>
    <row r="583" spans="2:16" x14ac:dyDescent="0.25">
      <c r="B583" t="s">
        <v>32</v>
      </c>
      <c r="C583" t="s">
        <v>147</v>
      </c>
      <c r="D583" t="s">
        <v>19</v>
      </c>
      <c r="E583" s="6">
        <v>0.91520467836257313</v>
      </c>
      <c r="F583" t="s">
        <v>20</v>
      </c>
      <c r="G583"/>
      <c r="H583" s="33">
        <v>0.97777773333333329</v>
      </c>
      <c r="I583" s="31">
        <v>0.98494619999999999</v>
      </c>
      <c r="J583" s="31">
        <v>0.89259253333333333</v>
      </c>
      <c r="K583" s="32">
        <v>0.95027866153846152</v>
      </c>
      <c r="M583" s="36">
        <v>6571.666666666667</v>
      </c>
      <c r="O583" s="30"/>
      <c r="P583" s="37" t="s">
        <v>10</v>
      </c>
    </row>
    <row r="584" spans="2:16" x14ac:dyDescent="0.25">
      <c r="B584" t="s">
        <v>32</v>
      </c>
      <c r="C584" t="s">
        <v>147</v>
      </c>
      <c r="D584" t="s">
        <v>19</v>
      </c>
      <c r="E584" s="6">
        <v>0.91520467836257313</v>
      </c>
      <c r="F584" t="s">
        <v>49</v>
      </c>
      <c r="G584"/>
      <c r="H584" s="33">
        <v>0.94166649999999996</v>
      </c>
      <c r="I584" s="31">
        <v>0.97580624999999999</v>
      </c>
      <c r="J584" s="31">
        <v>1</v>
      </c>
      <c r="K584" s="32">
        <v>0.95819377747252743</v>
      </c>
      <c r="M584" s="36">
        <v>7099</v>
      </c>
      <c r="O584" s="30"/>
      <c r="P584" s="37" t="s">
        <v>10</v>
      </c>
    </row>
    <row r="585" spans="2:16" x14ac:dyDescent="0.25">
      <c r="B585" t="s">
        <v>32</v>
      </c>
      <c r="C585" t="s">
        <v>147</v>
      </c>
      <c r="D585" t="s">
        <v>21</v>
      </c>
      <c r="E585" s="6">
        <v>0.91481481481481475</v>
      </c>
      <c r="F585" t="s">
        <v>37</v>
      </c>
      <c r="G585"/>
      <c r="H585" s="33">
        <v>0.99722216666666663</v>
      </c>
      <c r="I585" s="31">
        <v>0.92473116666666666</v>
      </c>
      <c r="J585" s="31">
        <v>0.97685183333333336</v>
      </c>
      <c r="K585" s="32">
        <v>0.96747089194139191</v>
      </c>
      <c r="M585" s="36">
        <v>7719</v>
      </c>
      <c r="O585" s="30"/>
      <c r="P585" s="37" t="s">
        <v>10</v>
      </c>
    </row>
    <row r="586" spans="2:16" x14ac:dyDescent="0.25">
      <c r="B586" t="s">
        <v>32</v>
      </c>
      <c r="C586" t="s">
        <v>147</v>
      </c>
      <c r="D586" t="s">
        <v>21</v>
      </c>
      <c r="E586" s="6">
        <v>0.91481481481481475</v>
      </c>
      <c r="F586" t="s">
        <v>50</v>
      </c>
      <c r="G586"/>
      <c r="H586" s="33">
        <v>0.85555533333333333</v>
      </c>
      <c r="I586" s="31">
        <v>0.58064499999999997</v>
      </c>
      <c r="J586" s="31">
        <v>0.66666666666666663</v>
      </c>
      <c r="K586" s="32">
        <v>0.69963357142857141</v>
      </c>
      <c r="M586" s="36">
        <v>8262.3333333333339</v>
      </c>
      <c r="O586" s="30"/>
      <c r="P586" s="37" t="s">
        <v>10</v>
      </c>
    </row>
    <row r="587" spans="2:16" x14ac:dyDescent="0.25">
      <c r="B587" t="s">
        <v>32</v>
      </c>
      <c r="C587" t="s">
        <v>147</v>
      </c>
      <c r="D587" t="s">
        <v>13</v>
      </c>
      <c r="E587" s="6">
        <v>0.85964912280701744</v>
      </c>
      <c r="F587" t="s">
        <v>35</v>
      </c>
      <c r="G587"/>
      <c r="H587" s="33">
        <v>0.4</v>
      </c>
      <c r="I587" s="31">
        <v>0.90322499999999994</v>
      </c>
      <c r="J587" s="31">
        <v>1</v>
      </c>
      <c r="K587" s="32">
        <v>0.76923049450549452</v>
      </c>
      <c r="M587" s="36">
        <v>419</v>
      </c>
      <c r="O587" s="30"/>
      <c r="P587" s="37" t="s">
        <v>10</v>
      </c>
    </row>
    <row r="588" spans="2:16" x14ac:dyDescent="0.25">
      <c r="B588" t="s">
        <v>32</v>
      </c>
      <c r="C588" t="s">
        <v>147</v>
      </c>
      <c r="D588" t="s">
        <v>13</v>
      </c>
      <c r="E588" s="6">
        <v>0.85964912280701744</v>
      </c>
      <c r="F588" t="s">
        <v>20</v>
      </c>
      <c r="G588"/>
      <c r="H588" s="33">
        <v>0.89189183783783799</v>
      </c>
      <c r="I588" s="31">
        <v>0.89014816216216219</v>
      </c>
      <c r="J588" s="31">
        <v>0.85585578378378369</v>
      </c>
      <c r="K588" s="32">
        <v>0.88936088268488256</v>
      </c>
      <c r="M588" s="36">
        <v>409</v>
      </c>
      <c r="O588" s="30"/>
      <c r="P588" s="37" t="s">
        <v>10</v>
      </c>
    </row>
    <row r="589" spans="2:16" x14ac:dyDescent="0.25">
      <c r="B589" t="s">
        <v>32</v>
      </c>
      <c r="C589" t="s">
        <v>147</v>
      </c>
      <c r="D589" t="s">
        <v>16</v>
      </c>
      <c r="E589" s="6">
        <v>0.88425925925925919</v>
      </c>
      <c r="F589" t="s">
        <v>37</v>
      </c>
      <c r="G589"/>
      <c r="H589" s="33">
        <v>0.79999987499999992</v>
      </c>
      <c r="I589" s="31">
        <v>0.83064512499999998</v>
      </c>
      <c r="J589" s="31">
        <v>0.93055537499999996</v>
      </c>
      <c r="K589" s="32">
        <v>0.84949822939560449</v>
      </c>
      <c r="M589" s="36">
        <v>439</v>
      </c>
      <c r="O589" s="30"/>
      <c r="P589" s="37" t="s">
        <v>10</v>
      </c>
    </row>
    <row r="590" spans="2:16" x14ac:dyDescent="0.25">
      <c r="B590" t="s">
        <v>32</v>
      </c>
      <c r="C590" t="s">
        <v>147</v>
      </c>
      <c r="D590" t="s">
        <v>16</v>
      </c>
      <c r="E590" s="6">
        <v>0.88425925925925919</v>
      </c>
      <c r="F590" t="s">
        <v>50</v>
      </c>
      <c r="G590"/>
      <c r="H590" s="33">
        <v>0.83333325000000003</v>
      </c>
      <c r="I590" s="31">
        <v>1</v>
      </c>
      <c r="J590" s="31">
        <v>0.79166650000000005</v>
      </c>
      <c r="K590" s="32">
        <v>0.85989010989010994</v>
      </c>
      <c r="M590" s="36">
        <v>429</v>
      </c>
      <c r="O590" s="30"/>
      <c r="P590" s="37" t="s">
        <v>10</v>
      </c>
    </row>
    <row r="591" spans="2:16" x14ac:dyDescent="0.25">
      <c r="B591" t="s">
        <v>32</v>
      </c>
      <c r="C591" t="s">
        <v>147</v>
      </c>
      <c r="D591" t="s">
        <v>51</v>
      </c>
      <c r="E591" s="6">
        <v>1</v>
      </c>
      <c r="F591" t="s">
        <v>34</v>
      </c>
      <c r="G591"/>
      <c r="H591" s="33">
        <v>1</v>
      </c>
      <c r="I591" s="31">
        <v>0.98548384999999994</v>
      </c>
      <c r="J591" s="31">
        <v>1</v>
      </c>
      <c r="K591" s="32">
        <v>0.99505493791208788</v>
      </c>
      <c r="M591" s="36">
        <v>4081</v>
      </c>
      <c r="O591" s="29">
        <v>0.05</v>
      </c>
      <c r="P591" s="37">
        <v>4285.05</v>
      </c>
    </row>
    <row r="592" spans="2:16" x14ac:dyDescent="0.25">
      <c r="B592" t="s">
        <v>32</v>
      </c>
      <c r="C592" t="s">
        <v>147</v>
      </c>
      <c r="D592" t="s">
        <v>51</v>
      </c>
      <c r="E592" s="6">
        <v>1</v>
      </c>
      <c r="F592" t="s">
        <v>20</v>
      </c>
      <c r="G592"/>
      <c r="H592" s="33">
        <v>1</v>
      </c>
      <c r="I592" s="31">
        <v>1</v>
      </c>
      <c r="J592" s="31">
        <v>1</v>
      </c>
      <c r="K592" s="32">
        <v>1</v>
      </c>
      <c r="M592" s="36">
        <v>3145</v>
      </c>
      <c r="O592" s="29">
        <v>2.5000000000000001E-2</v>
      </c>
      <c r="P592" s="37">
        <v>3223.6249999999995</v>
      </c>
    </row>
    <row r="593" spans="2:16" x14ac:dyDescent="0.25">
      <c r="B593" t="s">
        <v>32</v>
      </c>
      <c r="C593" t="s">
        <v>161</v>
      </c>
      <c r="D593" t="s">
        <v>19</v>
      </c>
      <c r="E593" s="6">
        <v>0.88304093567251463</v>
      </c>
      <c r="F593" t="s">
        <v>20</v>
      </c>
      <c r="G593"/>
      <c r="H593" s="33">
        <v>0.99375000000000002</v>
      </c>
      <c r="I593" s="31">
        <v>0.91532256249999999</v>
      </c>
      <c r="J593" s="31">
        <v>0.91666662499999996</v>
      </c>
      <c r="K593" s="32">
        <v>0.94311393612637362</v>
      </c>
      <c r="M593" s="36">
        <v>5919</v>
      </c>
      <c r="O593" s="30"/>
      <c r="P593" s="37" t="s">
        <v>10</v>
      </c>
    </row>
    <row r="594" spans="2:16" x14ac:dyDescent="0.25">
      <c r="B594" t="s">
        <v>32</v>
      </c>
      <c r="C594" t="s">
        <v>161</v>
      </c>
      <c r="D594" t="s">
        <v>19</v>
      </c>
      <c r="E594" s="6">
        <v>0.88304093567251463</v>
      </c>
      <c r="F594" t="s">
        <v>15</v>
      </c>
      <c r="G594"/>
      <c r="H594" s="33">
        <v>1</v>
      </c>
      <c r="I594" s="31">
        <v>0.83870966666666658</v>
      </c>
      <c r="J594" s="31">
        <v>0.70370366666666673</v>
      </c>
      <c r="K594" s="32">
        <v>0.86860955677655671</v>
      </c>
      <c r="M594" s="36">
        <v>6299</v>
      </c>
      <c r="O594" s="30"/>
      <c r="P594" s="37" t="s">
        <v>10</v>
      </c>
    </row>
    <row r="595" spans="2:16" x14ac:dyDescent="0.25">
      <c r="B595" t="s">
        <v>32</v>
      </c>
      <c r="C595" t="s">
        <v>161</v>
      </c>
      <c r="D595" t="s">
        <v>21</v>
      </c>
      <c r="E595" s="6">
        <v>0.9135802469135802</v>
      </c>
      <c r="F595" t="s">
        <v>124</v>
      </c>
      <c r="G595"/>
      <c r="H595" s="33">
        <v>1</v>
      </c>
      <c r="I595" s="31">
        <v>1</v>
      </c>
      <c r="J595" s="31">
        <v>1</v>
      </c>
      <c r="K595" s="32">
        <v>1</v>
      </c>
      <c r="M595" s="36">
        <v>7479</v>
      </c>
      <c r="O595" s="30"/>
      <c r="P595" s="37" t="s">
        <v>10</v>
      </c>
    </row>
    <row r="596" spans="2:16" x14ac:dyDescent="0.25">
      <c r="B596" t="s">
        <v>32</v>
      </c>
      <c r="C596" t="s">
        <v>161</v>
      </c>
      <c r="D596" t="s">
        <v>21</v>
      </c>
      <c r="E596" s="6">
        <v>0.9135802469135802</v>
      </c>
      <c r="F596" t="s">
        <v>18</v>
      </c>
      <c r="G596"/>
      <c r="H596" s="33">
        <v>1</v>
      </c>
      <c r="I596" s="31">
        <v>1</v>
      </c>
      <c r="J596" s="31">
        <v>0.7407406666666666</v>
      </c>
      <c r="K596" s="32">
        <v>0.90922120879120882</v>
      </c>
      <c r="M596" s="36">
        <v>8249</v>
      </c>
      <c r="O596" s="30"/>
      <c r="P596" s="37" t="s">
        <v>10</v>
      </c>
    </row>
    <row r="597" spans="2:16" x14ac:dyDescent="0.25">
      <c r="B597" t="s">
        <v>32</v>
      </c>
      <c r="C597" t="s">
        <v>161</v>
      </c>
      <c r="D597" t="s">
        <v>13</v>
      </c>
      <c r="E597" s="6">
        <v>0.96604938271604934</v>
      </c>
      <c r="F597" t="s">
        <v>14</v>
      </c>
      <c r="G597"/>
      <c r="H597" s="33">
        <v>0.94095237142857135</v>
      </c>
      <c r="I597" s="31">
        <v>0.94930874285714284</v>
      </c>
      <c r="J597" s="31">
        <v>0.96984125714285707</v>
      </c>
      <c r="K597" s="32">
        <v>0.95384614631083198</v>
      </c>
      <c r="M597" s="36">
        <v>449</v>
      </c>
      <c r="O597" s="29">
        <v>2.5000000000000001E-2</v>
      </c>
      <c r="P597" s="37">
        <v>460.22499999999997</v>
      </c>
    </row>
    <row r="598" spans="2:16" x14ac:dyDescent="0.25">
      <c r="B598" t="s">
        <v>32</v>
      </c>
      <c r="C598" t="s">
        <v>161</v>
      </c>
      <c r="D598" t="s">
        <v>13</v>
      </c>
      <c r="E598" s="6">
        <v>0.96604938271604934</v>
      </c>
      <c r="F598" t="s">
        <v>15</v>
      </c>
      <c r="G598"/>
      <c r="H598" s="33">
        <v>0.8222222222222223</v>
      </c>
      <c r="I598" s="31">
        <v>0.91577055555555553</v>
      </c>
      <c r="J598" s="31">
        <v>0.95679011111111101</v>
      </c>
      <c r="K598" s="32">
        <v>0.89597597680097685</v>
      </c>
      <c r="M598" s="36">
        <v>409</v>
      </c>
      <c r="O598" s="30"/>
      <c r="P598" s="37" t="s">
        <v>10</v>
      </c>
    </row>
    <row r="599" spans="2:16" x14ac:dyDescent="0.25">
      <c r="B599" t="s">
        <v>32</v>
      </c>
      <c r="C599" t="s">
        <v>161</v>
      </c>
      <c r="D599" t="s">
        <v>13</v>
      </c>
      <c r="E599" s="6">
        <v>0.96604938271604934</v>
      </c>
      <c r="F599" t="s">
        <v>79</v>
      </c>
      <c r="G599"/>
      <c r="H599" s="33">
        <v>0.96666600000000003</v>
      </c>
      <c r="I599" s="31">
        <v>1</v>
      </c>
      <c r="J599" s="31">
        <v>1</v>
      </c>
      <c r="K599" s="32">
        <v>0.98901076923076914</v>
      </c>
      <c r="M599" s="36">
        <v>459</v>
      </c>
      <c r="O599" s="29">
        <v>2.5000000000000001E-2</v>
      </c>
      <c r="P599" s="37">
        <v>470.47499999999997</v>
      </c>
    </row>
    <row r="600" spans="2:16" x14ac:dyDescent="0.25">
      <c r="B600" t="s">
        <v>32</v>
      </c>
      <c r="C600" t="s">
        <v>161</v>
      </c>
      <c r="D600" t="s">
        <v>51</v>
      </c>
      <c r="E600" s="6">
        <v>1</v>
      </c>
      <c r="F600" t="s">
        <v>20</v>
      </c>
      <c r="G600"/>
      <c r="H600" s="33">
        <v>1</v>
      </c>
      <c r="I600" s="31">
        <v>1</v>
      </c>
      <c r="J600" s="31">
        <v>1</v>
      </c>
      <c r="K600" s="32">
        <v>1</v>
      </c>
      <c r="M600" s="36">
        <v>3679</v>
      </c>
      <c r="O600" s="29">
        <v>2.5000000000000001E-2</v>
      </c>
      <c r="P600" s="37">
        <v>3770.9749999999995</v>
      </c>
    </row>
    <row r="601" spans="2:16" x14ac:dyDescent="0.25">
      <c r="B601" t="s">
        <v>32</v>
      </c>
      <c r="C601" t="s">
        <v>162</v>
      </c>
      <c r="D601" t="s">
        <v>19</v>
      </c>
      <c r="E601" s="6">
        <v>0.94927536231884058</v>
      </c>
      <c r="F601" t="s">
        <v>20</v>
      </c>
      <c r="G601"/>
      <c r="H601" s="33">
        <v>1</v>
      </c>
      <c r="I601" s="31">
        <v>0.99751853846153848</v>
      </c>
      <c r="J601" s="31">
        <v>0.92307692307692313</v>
      </c>
      <c r="K601" s="32">
        <v>0.97379541081994936</v>
      </c>
      <c r="M601" s="36">
        <v>6119</v>
      </c>
      <c r="O601" s="29">
        <v>2.5000000000000001E-2</v>
      </c>
      <c r="P601" s="37">
        <v>6271.9749999999995</v>
      </c>
    </row>
    <row r="602" spans="2:16" x14ac:dyDescent="0.25">
      <c r="B602" t="s">
        <v>32</v>
      </c>
      <c r="C602" t="s">
        <v>162</v>
      </c>
      <c r="D602" t="s">
        <v>19</v>
      </c>
      <c r="E602" s="6">
        <v>0.94927536231884058</v>
      </c>
      <c r="F602" t="s">
        <v>15</v>
      </c>
      <c r="G602"/>
      <c r="H602" s="33">
        <v>1</v>
      </c>
      <c r="I602" s="31">
        <v>1</v>
      </c>
      <c r="J602" s="31">
        <v>1</v>
      </c>
      <c r="K602" s="32">
        <v>1</v>
      </c>
      <c r="M602" s="36">
        <v>6749</v>
      </c>
      <c r="O602" s="29">
        <v>2.5000000000000001E-2</v>
      </c>
      <c r="P602" s="37">
        <v>6917.7249999999995</v>
      </c>
    </row>
    <row r="603" spans="2:16" x14ac:dyDescent="0.25">
      <c r="B603" t="s">
        <v>32</v>
      </c>
      <c r="C603" t="s">
        <v>162</v>
      </c>
      <c r="D603" t="s">
        <v>19</v>
      </c>
      <c r="E603" s="6">
        <v>0.94927536231884058</v>
      </c>
      <c r="F603" t="s">
        <v>163</v>
      </c>
      <c r="G603"/>
      <c r="H603" s="33">
        <v>1</v>
      </c>
      <c r="I603" s="31">
        <v>1</v>
      </c>
      <c r="J603" s="31">
        <v>0.91666650000000005</v>
      </c>
      <c r="K603" s="32">
        <v>0.94266587912087918</v>
      </c>
      <c r="M603" s="36">
        <v>6629</v>
      </c>
      <c r="O603" s="30"/>
      <c r="P603" s="37" t="s">
        <v>10</v>
      </c>
    </row>
    <row r="604" spans="2:16" x14ac:dyDescent="0.25">
      <c r="B604" t="s">
        <v>32</v>
      </c>
      <c r="C604" t="s">
        <v>162</v>
      </c>
      <c r="D604" t="s">
        <v>13</v>
      </c>
      <c r="E604" s="6">
        <v>0.95679012345679004</v>
      </c>
      <c r="F604" t="s">
        <v>14</v>
      </c>
      <c r="G604"/>
      <c r="H604" s="33">
        <v>0.96274508823529414</v>
      </c>
      <c r="I604" s="31">
        <v>0.94592029411764711</v>
      </c>
      <c r="J604" s="31">
        <v>0.96241829411764712</v>
      </c>
      <c r="K604" s="32">
        <v>0.95791291531997402</v>
      </c>
      <c r="M604" s="36">
        <v>449</v>
      </c>
      <c r="O604" s="29">
        <v>0.05</v>
      </c>
      <c r="P604" s="37">
        <v>471.45000000000005</v>
      </c>
    </row>
    <row r="605" spans="2:16" x14ac:dyDescent="0.25">
      <c r="B605" t="s">
        <v>32</v>
      </c>
      <c r="C605" t="s">
        <v>162</v>
      </c>
      <c r="D605" t="s">
        <v>13</v>
      </c>
      <c r="E605" s="6">
        <v>0.95679012345679004</v>
      </c>
      <c r="F605" t="s">
        <v>79</v>
      </c>
      <c r="G605"/>
      <c r="H605" s="33">
        <v>0.98333325000000005</v>
      </c>
      <c r="I605" s="31">
        <v>0.95161275000000001</v>
      </c>
      <c r="J605" s="31">
        <v>1</v>
      </c>
      <c r="K605" s="32">
        <v>0.97802189835164843</v>
      </c>
      <c r="M605" s="36">
        <v>479</v>
      </c>
      <c r="O605" s="29">
        <v>2.5000000000000001E-2</v>
      </c>
      <c r="P605" s="37">
        <v>490.97499999999997</v>
      </c>
    </row>
    <row r="606" spans="2:16" x14ac:dyDescent="0.25">
      <c r="B606" t="s">
        <v>32</v>
      </c>
      <c r="C606" t="s">
        <v>162</v>
      </c>
      <c r="D606" t="s">
        <v>13</v>
      </c>
      <c r="E606" s="6">
        <v>0.95679012345679004</v>
      </c>
      <c r="F606" t="s">
        <v>15</v>
      </c>
      <c r="G606"/>
      <c r="H606" s="33">
        <v>0.87916662499999998</v>
      </c>
      <c r="I606" s="31">
        <v>0.85685481249999995</v>
      </c>
      <c r="J606" s="31">
        <v>0.93402775000000005</v>
      </c>
      <c r="K606" s="32">
        <v>0.8827340776098902</v>
      </c>
      <c r="M606" s="36">
        <v>409</v>
      </c>
      <c r="O606" s="30"/>
      <c r="P606" s="37" t="s">
        <v>10</v>
      </c>
    </row>
    <row r="607" spans="2:16" x14ac:dyDescent="0.25">
      <c r="B607" t="s">
        <v>32</v>
      </c>
      <c r="C607" s="35" t="s">
        <v>164</v>
      </c>
      <c r="D607" t="s">
        <v>19</v>
      </c>
      <c r="E607" s="6">
        <v>0.87326388888888884</v>
      </c>
      <c r="F607" t="s">
        <v>20</v>
      </c>
      <c r="G607"/>
      <c r="H607" s="33">
        <v>1</v>
      </c>
      <c r="I607" s="31">
        <v>0.87517530434782598</v>
      </c>
      <c r="J607" s="31">
        <v>0.8671497391304348</v>
      </c>
      <c r="K607" s="32">
        <v>0.91385361777353058</v>
      </c>
      <c r="M607" s="36">
        <v>5259</v>
      </c>
      <c r="O607" s="30"/>
      <c r="P607" s="37" t="s">
        <v>10</v>
      </c>
    </row>
    <row r="608" spans="2:16" x14ac:dyDescent="0.25">
      <c r="B608" t="s">
        <v>32</v>
      </c>
      <c r="C608" t="s">
        <v>164</v>
      </c>
      <c r="D608" t="s">
        <v>19</v>
      </c>
      <c r="E608" s="6">
        <v>0.87326388888888884</v>
      </c>
      <c r="F608" t="s">
        <v>15</v>
      </c>
      <c r="G608"/>
      <c r="H608" s="33">
        <v>0.84761900000000001</v>
      </c>
      <c r="I608" s="31">
        <v>0.76958514285714286</v>
      </c>
      <c r="J608" s="31">
        <v>0.8571428571428571</v>
      </c>
      <c r="K608" s="32">
        <v>0.82417577080062787</v>
      </c>
      <c r="M608" s="36">
        <v>5749</v>
      </c>
      <c r="O608" s="30"/>
      <c r="P608" s="37" t="s">
        <v>10</v>
      </c>
    </row>
    <row r="609" spans="2:16" x14ac:dyDescent="0.25">
      <c r="B609" t="s">
        <v>32</v>
      </c>
      <c r="C609" t="s">
        <v>164</v>
      </c>
      <c r="D609" t="s">
        <v>19</v>
      </c>
      <c r="E609" s="6">
        <v>0.87326388888888884</v>
      </c>
      <c r="F609" t="s">
        <v>111</v>
      </c>
      <c r="G609"/>
      <c r="H609" s="33">
        <v>0.6</v>
      </c>
      <c r="I609" s="31">
        <v>1</v>
      </c>
      <c r="J609" s="31">
        <v>1</v>
      </c>
      <c r="K609" s="32">
        <v>0.86813186813186816</v>
      </c>
      <c r="M609" s="36">
        <v>3699</v>
      </c>
      <c r="O609" s="30"/>
      <c r="P609" s="37" t="s">
        <v>10</v>
      </c>
    </row>
    <row r="610" spans="2:16" x14ac:dyDescent="0.25">
      <c r="B610" t="s">
        <v>32</v>
      </c>
      <c r="C610" t="s">
        <v>164</v>
      </c>
      <c r="D610" t="s">
        <v>21</v>
      </c>
      <c r="E610" s="6">
        <v>1</v>
      </c>
      <c r="F610" t="s">
        <v>165</v>
      </c>
      <c r="G610"/>
      <c r="H610" s="33">
        <v>0.90392152941176473</v>
      </c>
      <c r="I610" s="31">
        <v>0.94307399999999997</v>
      </c>
      <c r="J610" s="31">
        <v>1</v>
      </c>
      <c r="K610" s="32">
        <v>0.94893340530058179</v>
      </c>
      <c r="M610" s="36">
        <v>7459</v>
      </c>
      <c r="O610" s="29">
        <v>0.01</v>
      </c>
      <c r="P610" s="37">
        <v>7533.59</v>
      </c>
    </row>
    <row r="611" spans="2:16" x14ac:dyDescent="0.25">
      <c r="B611" t="s">
        <v>32</v>
      </c>
      <c r="C611" t="s">
        <v>164</v>
      </c>
      <c r="D611" t="s">
        <v>21</v>
      </c>
      <c r="E611" s="6">
        <v>1</v>
      </c>
      <c r="F611" t="s">
        <v>23</v>
      </c>
      <c r="G611"/>
      <c r="H611" s="33">
        <v>0.82499999999999996</v>
      </c>
      <c r="I611" s="31">
        <v>1</v>
      </c>
      <c r="J611" s="31">
        <v>1</v>
      </c>
      <c r="K611" s="32">
        <v>0.94230769230769229</v>
      </c>
      <c r="M611" s="36">
        <v>7739</v>
      </c>
      <c r="O611" s="30"/>
      <c r="P611" s="37" t="s">
        <v>10</v>
      </c>
    </row>
    <row r="612" spans="2:16" x14ac:dyDescent="0.25">
      <c r="B612" t="s">
        <v>32</v>
      </c>
      <c r="C612" t="s">
        <v>164</v>
      </c>
      <c r="D612" t="s">
        <v>13</v>
      </c>
      <c r="E612" s="6">
        <v>0.88888888888888895</v>
      </c>
      <c r="F612" t="s">
        <v>14</v>
      </c>
      <c r="G612"/>
      <c r="H612" s="33">
        <v>0.94166664285714285</v>
      </c>
      <c r="I612" s="31">
        <v>0.9158986071428572</v>
      </c>
      <c r="J612" s="31">
        <v>0.87698410714285713</v>
      </c>
      <c r="K612" s="32">
        <v>0.91577365031397162</v>
      </c>
      <c r="M612" s="36">
        <v>449</v>
      </c>
      <c r="O612" s="30"/>
      <c r="P612" s="37" t="s">
        <v>10</v>
      </c>
    </row>
    <row r="613" spans="2:16" x14ac:dyDescent="0.25">
      <c r="B613" t="s">
        <v>32</v>
      </c>
      <c r="C613" t="s">
        <v>164</v>
      </c>
      <c r="D613" t="s">
        <v>13</v>
      </c>
      <c r="E613" s="6">
        <v>0.88888888888888895</v>
      </c>
      <c r="F613" t="s">
        <v>79</v>
      </c>
      <c r="G613"/>
      <c r="H613" s="33">
        <v>0.90606054545454551</v>
      </c>
      <c r="I613" s="31">
        <v>0.81524918181818185</v>
      </c>
      <c r="J613" s="31">
        <v>0.94444436363636364</v>
      </c>
      <c r="K613" s="32">
        <v>0.8839420789210789</v>
      </c>
      <c r="M613" s="36">
        <v>459</v>
      </c>
      <c r="O613" s="30"/>
      <c r="P613" s="37" t="s">
        <v>10</v>
      </c>
    </row>
    <row r="614" spans="2:16" x14ac:dyDescent="0.25">
      <c r="B614" t="s">
        <v>32</v>
      </c>
      <c r="C614" t="s">
        <v>164</v>
      </c>
      <c r="D614" t="s">
        <v>13</v>
      </c>
      <c r="E614" s="6">
        <v>0.88888888888888895</v>
      </c>
      <c r="F614" t="s">
        <v>15</v>
      </c>
      <c r="G614"/>
      <c r="H614" s="33">
        <v>0.78095235714285705</v>
      </c>
      <c r="I614" s="31">
        <v>0.7211981428571429</v>
      </c>
      <c r="J614" s="31">
        <v>0.86904757142857136</v>
      </c>
      <c r="K614" s="32">
        <v>0.78776190266875989</v>
      </c>
      <c r="M614" s="36">
        <v>409</v>
      </c>
      <c r="O614" s="30"/>
      <c r="P614" s="37" t="s">
        <v>10</v>
      </c>
    </row>
    <row r="615" spans="2:16" x14ac:dyDescent="0.25">
      <c r="B615" t="s">
        <v>32</v>
      </c>
      <c r="C615" t="s">
        <v>164</v>
      </c>
      <c r="D615" t="s">
        <v>16</v>
      </c>
      <c r="E615" s="6">
        <v>1</v>
      </c>
      <c r="F615" t="s">
        <v>17</v>
      </c>
      <c r="G615"/>
      <c r="H615" s="33">
        <v>1</v>
      </c>
      <c r="I615" s="31">
        <v>1</v>
      </c>
      <c r="J615" s="31">
        <v>1</v>
      </c>
      <c r="K615" s="32">
        <v>1</v>
      </c>
      <c r="M615" s="36">
        <v>449</v>
      </c>
      <c r="O615" s="30"/>
      <c r="P615" s="37" t="s">
        <v>10</v>
      </c>
    </row>
    <row r="616" spans="2:16" x14ac:dyDescent="0.25">
      <c r="B616" t="s">
        <v>32</v>
      </c>
      <c r="C616" t="s">
        <v>164</v>
      </c>
      <c r="D616" t="s">
        <v>16</v>
      </c>
      <c r="E616" s="6">
        <v>1</v>
      </c>
      <c r="F616" t="s">
        <v>18</v>
      </c>
      <c r="G616"/>
      <c r="H616" s="33">
        <v>1</v>
      </c>
      <c r="I616" s="31">
        <v>1</v>
      </c>
      <c r="J616" s="31">
        <v>1</v>
      </c>
      <c r="K616" s="32">
        <v>1</v>
      </c>
      <c r="M616" s="36">
        <v>409</v>
      </c>
      <c r="O616" s="30"/>
      <c r="P616" s="37" t="s">
        <v>10</v>
      </c>
    </row>
    <row r="617" spans="2:16" x14ac:dyDescent="0.25">
      <c r="B617" t="s">
        <v>32</v>
      </c>
      <c r="C617" t="s">
        <v>194</v>
      </c>
      <c r="D617" t="s">
        <v>19</v>
      </c>
      <c r="E617" s="6">
        <v>0.95321637426900585</v>
      </c>
      <c r="F617" t="s">
        <v>20</v>
      </c>
      <c r="G617"/>
      <c r="H617" s="33">
        <v>0.87999993333333337</v>
      </c>
      <c r="I617" s="31">
        <v>0.8666666666666667</v>
      </c>
      <c r="J617" s="31">
        <v>0.94074066666666667</v>
      </c>
      <c r="K617" s="32">
        <v>0.89972921611721612</v>
      </c>
      <c r="M617" s="36">
        <v>5397</v>
      </c>
      <c r="O617" s="30"/>
      <c r="P617" s="37" t="s">
        <v>10</v>
      </c>
    </row>
    <row r="618" spans="2:16" x14ac:dyDescent="0.25">
      <c r="B618" t="s">
        <v>32</v>
      </c>
      <c r="C618" t="s">
        <v>194</v>
      </c>
      <c r="D618" t="s">
        <v>19</v>
      </c>
      <c r="E618" s="6">
        <v>0.95321637426900585</v>
      </c>
      <c r="F618" t="s">
        <v>49</v>
      </c>
      <c r="G618"/>
      <c r="H618" s="33">
        <v>1</v>
      </c>
      <c r="I618" s="31">
        <v>1</v>
      </c>
      <c r="J618" s="31">
        <v>1</v>
      </c>
      <c r="K618" s="32">
        <v>1</v>
      </c>
      <c r="M618" s="36">
        <v>6284</v>
      </c>
      <c r="O618" s="29">
        <v>2.5000000000000001E-2</v>
      </c>
      <c r="P618" s="37">
        <v>6441.0999999999995</v>
      </c>
    </row>
    <row r="619" spans="2:16" x14ac:dyDescent="0.25">
      <c r="B619" t="s">
        <v>32</v>
      </c>
      <c r="C619" t="s">
        <v>194</v>
      </c>
      <c r="D619" t="s">
        <v>21</v>
      </c>
      <c r="E619" s="6">
        <v>0.98518518518518527</v>
      </c>
      <c r="F619" t="s">
        <v>37</v>
      </c>
      <c r="G619"/>
      <c r="H619" s="33">
        <v>0.96666666666666667</v>
      </c>
      <c r="I619" s="31">
        <v>0.9166665833333334</v>
      </c>
      <c r="J619" s="31">
        <v>0.9907406666666666</v>
      </c>
      <c r="K619" s="32">
        <v>0.95823375366300356</v>
      </c>
      <c r="M619" s="36">
        <v>6953.166666666667</v>
      </c>
      <c r="O619" s="29">
        <v>2.5000000000000001E-2</v>
      </c>
      <c r="P619" s="37">
        <v>7126.9958333333334</v>
      </c>
    </row>
    <row r="620" spans="2:16" x14ac:dyDescent="0.25">
      <c r="B620" t="s">
        <v>32</v>
      </c>
      <c r="C620" t="s">
        <v>194</v>
      </c>
      <c r="D620" t="s">
        <v>21</v>
      </c>
      <c r="E620" s="6">
        <v>0.98518518518518527</v>
      </c>
      <c r="F620" t="s">
        <v>50</v>
      </c>
      <c r="G620"/>
      <c r="H620" s="33">
        <v>0.66666666666666663</v>
      </c>
      <c r="I620" s="31">
        <v>0.80645133333333341</v>
      </c>
      <c r="J620" s="31">
        <v>0.96296266666666652</v>
      </c>
      <c r="K620" s="32">
        <v>0.81461990476190482</v>
      </c>
      <c r="M620" s="36">
        <v>7945.666666666667</v>
      </c>
      <c r="O620" s="30"/>
      <c r="P620" s="37" t="s">
        <v>10</v>
      </c>
    </row>
    <row r="621" spans="2:16" x14ac:dyDescent="0.25">
      <c r="B621" t="s">
        <v>32</v>
      </c>
      <c r="C621" t="s">
        <v>194</v>
      </c>
      <c r="D621" t="s">
        <v>13</v>
      </c>
      <c r="E621" s="6">
        <v>0.93253968253968245</v>
      </c>
      <c r="F621" t="s">
        <v>20</v>
      </c>
      <c r="G621"/>
      <c r="H621" s="33">
        <v>0.93974353846153846</v>
      </c>
      <c r="I621" s="31">
        <v>0.94789073076923092</v>
      </c>
      <c r="J621" s="31">
        <v>0.9209401153846154</v>
      </c>
      <c r="K621" s="32">
        <v>0.94253734108199483</v>
      </c>
      <c r="M621" s="36">
        <v>473.23076923076923</v>
      </c>
      <c r="O621" s="29">
        <v>2.5000000000000001E-2</v>
      </c>
      <c r="P621" s="37">
        <v>485.06153846153842</v>
      </c>
    </row>
    <row r="622" spans="2:16" x14ac:dyDescent="0.25">
      <c r="B622" t="s">
        <v>32</v>
      </c>
      <c r="C622" t="s">
        <v>194</v>
      </c>
      <c r="D622" t="s">
        <v>13</v>
      </c>
      <c r="E622" s="6">
        <v>0.93253968253968245</v>
      </c>
      <c r="F622" t="s">
        <v>49</v>
      </c>
      <c r="G622"/>
      <c r="H622" s="33">
        <v>0.79166662500000007</v>
      </c>
      <c r="I622" s="31">
        <v>0.81854831249999993</v>
      </c>
      <c r="J622" s="31">
        <v>0.95138881249999996</v>
      </c>
      <c r="K622" s="32">
        <v>0.84800516002747262</v>
      </c>
      <c r="M622" s="36">
        <v>405.25</v>
      </c>
      <c r="O622" s="30"/>
      <c r="P622" s="37" t="s">
        <v>10</v>
      </c>
    </row>
    <row r="623" spans="2:16" x14ac:dyDescent="0.25">
      <c r="B623" t="s">
        <v>32</v>
      </c>
      <c r="C623" t="s">
        <v>194</v>
      </c>
      <c r="D623" t="s">
        <v>16</v>
      </c>
      <c r="E623" s="6">
        <v>1</v>
      </c>
      <c r="F623" t="s">
        <v>37</v>
      </c>
      <c r="G623"/>
      <c r="H623" s="33">
        <v>1</v>
      </c>
      <c r="I623" s="31">
        <v>1</v>
      </c>
      <c r="J623" s="31">
        <v>1</v>
      </c>
      <c r="K623" s="32">
        <v>1</v>
      </c>
      <c r="M623" s="36">
        <v>520.42857142857144</v>
      </c>
      <c r="O623" s="30"/>
      <c r="P623" s="37" t="s">
        <v>10</v>
      </c>
    </row>
    <row r="624" spans="2:16" x14ac:dyDescent="0.25">
      <c r="B624" t="s">
        <v>32</v>
      </c>
      <c r="C624" t="s">
        <v>194</v>
      </c>
      <c r="D624" t="s">
        <v>16</v>
      </c>
      <c r="E624" s="6">
        <v>1</v>
      </c>
      <c r="F624" t="s">
        <v>50</v>
      </c>
      <c r="G624"/>
      <c r="H624" s="33">
        <v>0.87777766666666668</v>
      </c>
      <c r="I624" s="31">
        <v>0.91935466666666665</v>
      </c>
      <c r="J624" s="31">
        <v>1</v>
      </c>
      <c r="K624" s="32">
        <v>0.93223433699633695</v>
      </c>
      <c r="M624" s="36">
        <v>455.66666666666669</v>
      </c>
      <c r="O624" s="30"/>
      <c r="P624" s="37" t="s">
        <v>10</v>
      </c>
    </row>
    <row r="625" spans="2:16" x14ac:dyDescent="0.25">
      <c r="B625" t="s">
        <v>32</v>
      </c>
      <c r="C625" t="s">
        <v>225</v>
      </c>
      <c r="D625" t="s">
        <v>19</v>
      </c>
      <c r="E625" s="6">
        <v>0.98313492063492069</v>
      </c>
      <c r="F625" t="s">
        <v>20</v>
      </c>
      <c r="G625"/>
      <c r="H625" s="33">
        <v>0.96666662068965525</v>
      </c>
      <c r="I625" s="31">
        <v>0.99777527586206904</v>
      </c>
      <c r="J625" s="31">
        <v>0.97318006896551734</v>
      </c>
      <c r="K625" s="32">
        <v>0.97589663622584311</v>
      </c>
      <c r="M625" s="36">
        <v>4842.4482758620688</v>
      </c>
      <c r="O625" s="29">
        <v>2.5000000000000001E-2</v>
      </c>
      <c r="P625" s="37">
        <v>4963.5094827586199</v>
      </c>
    </row>
    <row r="626" spans="2:16" s="10" customFormat="1" x14ac:dyDescent="0.25">
      <c r="B626" t="s">
        <v>32</v>
      </c>
      <c r="C626" t="s">
        <v>225</v>
      </c>
      <c r="D626" t="s">
        <v>19</v>
      </c>
      <c r="E626" s="6">
        <v>0.98313492063492069</v>
      </c>
      <c r="F626" t="s">
        <v>34</v>
      </c>
      <c r="G626"/>
      <c r="H626" s="33">
        <v>0.99230769230769234</v>
      </c>
      <c r="I626" s="31">
        <v>0.99007438461538466</v>
      </c>
      <c r="J626" s="31">
        <v>1</v>
      </c>
      <c r="K626" s="32">
        <v>0.99408282079458998</v>
      </c>
      <c r="L626"/>
      <c r="M626" s="36">
        <v>6019</v>
      </c>
      <c r="N626"/>
      <c r="O626" s="29">
        <v>2.5000000000000001E-2</v>
      </c>
      <c r="P626" s="37">
        <v>6169.4749999999995</v>
      </c>
    </row>
    <row r="627" spans="2:16" x14ac:dyDescent="0.25">
      <c r="B627" t="s">
        <v>32</v>
      </c>
      <c r="C627" t="s">
        <v>225</v>
      </c>
      <c r="D627" t="s">
        <v>19</v>
      </c>
      <c r="E627" s="6">
        <v>0.98313492063492069</v>
      </c>
      <c r="F627" t="s">
        <v>35</v>
      </c>
      <c r="G627"/>
      <c r="H627" s="33">
        <v>1</v>
      </c>
      <c r="I627" s="31">
        <v>1</v>
      </c>
      <c r="J627" s="31">
        <v>1</v>
      </c>
      <c r="K627" s="32">
        <v>1</v>
      </c>
      <c r="M627" s="36">
        <v>5370.666666666667</v>
      </c>
      <c r="O627" s="29">
        <v>2.5000000000000001E-2</v>
      </c>
      <c r="P627" s="37">
        <v>5504.9333333333334</v>
      </c>
    </row>
    <row r="628" spans="2:16" x14ac:dyDescent="0.25">
      <c r="B628" t="s">
        <v>32</v>
      </c>
      <c r="C628" t="s">
        <v>225</v>
      </c>
      <c r="D628" t="s">
        <v>19</v>
      </c>
      <c r="E628" s="6">
        <v>0.98313492063492069</v>
      </c>
      <c r="F628" t="s">
        <v>36</v>
      </c>
      <c r="G628"/>
      <c r="H628" s="33">
        <v>0.83333299999999999</v>
      </c>
      <c r="I628" s="31">
        <v>0.95161249999999997</v>
      </c>
      <c r="J628" s="31">
        <v>0.91666650000000005</v>
      </c>
      <c r="K628" s="32">
        <v>0.87410393956043952</v>
      </c>
      <c r="M628" s="36">
        <v>8199</v>
      </c>
      <c r="O628" s="30"/>
      <c r="P628" s="37" t="s">
        <v>10</v>
      </c>
    </row>
    <row r="629" spans="2:16" x14ac:dyDescent="0.25">
      <c r="B629" t="s">
        <v>32</v>
      </c>
      <c r="C629" t="s">
        <v>225</v>
      </c>
      <c r="D629" t="s">
        <v>21</v>
      </c>
      <c r="E629" s="6">
        <v>1</v>
      </c>
      <c r="F629" t="s">
        <v>37</v>
      </c>
      <c r="G629"/>
      <c r="H629" s="33">
        <v>0.98888885714285713</v>
      </c>
      <c r="I629" s="31">
        <v>0.9738862857142857</v>
      </c>
      <c r="J629" s="31">
        <v>1</v>
      </c>
      <c r="K629" s="32">
        <v>0.98539345996860295</v>
      </c>
      <c r="M629" s="36">
        <v>7385.1904761904761</v>
      </c>
      <c r="O629" s="29">
        <v>2.5000000000000001E-2</v>
      </c>
      <c r="P629" s="37">
        <v>7569.8202380952371</v>
      </c>
    </row>
    <row r="630" spans="2:16" x14ac:dyDescent="0.25">
      <c r="B630" t="s">
        <v>32</v>
      </c>
      <c r="C630" t="s">
        <v>225</v>
      </c>
      <c r="D630" t="s">
        <v>21</v>
      </c>
      <c r="E630" s="6">
        <v>1</v>
      </c>
      <c r="F630" t="s">
        <v>39</v>
      </c>
      <c r="G630"/>
      <c r="H630" s="33">
        <v>1</v>
      </c>
      <c r="I630" s="31">
        <v>1</v>
      </c>
      <c r="J630" s="31">
        <v>1</v>
      </c>
      <c r="K630" s="32">
        <v>0.96416615384615389</v>
      </c>
      <c r="M630" s="36">
        <v>9769</v>
      </c>
      <c r="O630" s="29">
        <v>2.5000000000000001E-2</v>
      </c>
      <c r="P630" s="37">
        <v>10013.224999999999</v>
      </c>
    </row>
    <row r="631" spans="2:16" x14ac:dyDescent="0.25">
      <c r="B631" t="s">
        <v>32</v>
      </c>
      <c r="C631" t="s">
        <v>254</v>
      </c>
      <c r="D631" t="s">
        <v>19</v>
      </c>
      <c r="E631" s="6">
        <v>0.99503968253968256</v>
      </c>
      <c r="F631" t="s">
        <v>20</v>
      </c>
      <c r="G631"/>
      <c r="H631" s="33">
        <v>0.88850572413793105</v>
      </c>
      <c r="I631" s="31">
        <v>0.95105668965517243</v>
      </c>
      <c r="J631" s="31">
        <v>0.99042144827586209</v>
      </c>
      <c r="K631" s="32">
        <v>0.94409934975369458</v>
      </c>
      <c r="M631" s="36">
        <v>4656.2413793103451</v>
      </c>
      <c r="O631" s="30"/>
      <c r="P631" s="37" t="s">
        <v>10</v>
      </c>
    </row>
    <row r="632" spans="2:16" x14ac:dyDescent="0.25">
      <c r="B632" t="s">
        <v>32</v>
      </c>
      <c r="C632" t="s">
        <v>254</v>
      </c>
      <c r="D632" t="s">
        <v>19</v>
      </c>
      <c r="E632" s="6">
        <v>0.99503968253968256</v>
      </c>
      <c r="F632" t="s">
        <v>34</v>
      </c>
      <c r="G632"/>
      <c r="H632" s="33">
        <v>0.84615384615384615</v>
      </c>
      <c r="I632" s="31">
        <v>0.95533492307692314</v>
      </c>
      <c r="J632" s="31">
        <v>1</v>
      </c>
      <c r="K632" s="32">
        <v>0.9340659120879119</v>
      </c>
      <c r="M632" s="36">
        <v>5651.3076923076924</v>
      </c>
      <c r="O632" s="30"/>
      <c r="P632" s="37" t="s">
        <v>10</v>
      </c>
    </row>
    <row r="633" spans="2:16" x14ac:dyDescent="0.25">
      <c r="B633" t="s">
        <v>32</v>
      </c>
      <c r="C633" t="s">
        <v>254</v>
      </c>
      <c r="D633" t="s">
        <v>19</v>
      </c>
      <c r="E633" s="6">
        <v>0.99503968253968256</v>
      </c>
      <c r="F633" t="s">
        <v>35</v>
      </c>
      <c r="G633"/>
      <c r="H633" s="33">
        <v>1</v>
      </c>
      <c r="I633" s="31">
        <v>1</v>
      </c>
      <c r="J633" s="31">
        <v>1</v>
      </c>
      <c r="K633" s="32">
        <v>1</v>
      </c>
      <c r="M633" s="36">
        <v>5065.666666666667</v>
      </c>
      <c r="O633" s="29">
        <v>2.5000000000000001E-2</v>
      </c>
      <c r="P633" s="37">
        <v>5192.3083333333334</v>
      </c>
    </row>
    <row r="634" spans="2:16" x14ac:dyDescent="0.25">
      <c r="B634" t="s">
        <v>32</v>
      </c>
      <c r="C634" t="s">
        <v>254</v>
      </c>
      <c r="D634" t="s">
        <v>19</v>
      </c>
      <c r="E634" s="6">
        <v>0.99503968253968256</v>
      </c>
      <c r="F634" t="s">
        <v>36</v>
      </c>
      <c r="G634"/>
      <c r="H634" s="33">
        <v>1</v>
      </c>
      <c r="I634" s="31">
        <v>1</v>
      </c>
      <c r="J634" s="31">
        <v>1</v>
      </c>
      <c r="K634" s="32">
        <v>1</v>
      </c>
      <c r="M634" s="36">
        <v>6579</v>
      </c>
      <c r="O634" s="29">
        <v>0.05</v>
      </c>
      <c r="P634" s="37">
        <v>6907.9500000000007</v>
      </c>
    </row>
    <row r="635" spans="2:16" s="10" customFormat="1" x14ac:dyDescent="0.25">
      <c r="B635" t="s">
        <v>32</v>
      </c>
      <c r="C635" t="s">
        <v>254</v>
      </c>
      <c r="D635" t="s">
        <v>21</v>
      </c>
      <c r="E635" s="6">
        <v>1</v>
      </c>
      <c r="F635" t="s">
        <v>37</v>
      </c>
      <c r="G635"/>
      <c r="H635" s="33">
        <v>0.9460317142857142</v>
      </c>
      <c r="I635" s="31">
        <v>0.96159752380952379</v>
      </c>
      <c r="J635" s="31">
        <v>1</v>
      </c>
      <c r="K635" s="32">
        <v>0.96912609523809523</v>
      </c>
      <c r="L635"/>
      <c r="M635" s="36">
        <v>7439</v>
      </c>
      <c r="N635"/>
      <c r="O635" s="29">
        <v>2.5000000000000001E-2</v>
      </c>
      <c r="P635" s="37">
        <v>7624.9749999999995</v>
      </c>
    </row>
    <row r="636" spans="2:16" x14ac:dyDescent="0.25">
      <c r="B636" t="s">
        <v>32</v>
      </c>
      <c r="C636" t="s">
        <v>254</v>
      </c>
      <c r="D636" t="s">
        <v>21</v>
      </c>
      <c r="E636" s="6">
        <v>1</v>
      </c>
      <c r="F636" t="s">
        <v>39</v>
      </c>
      <c r="G636"/>
      <c r="H636" s="33">
        <v>1</v>
      </c>
      <c r="I636" s="31">
        <v>1</v>
      </c>
      <c r="J636" s="31">
        <v>1</v>
      </c>
      <c r="K636" s="32">
        <v>1</v>
      </c>
      <c r="M636" s="36">
        <v>9699</v>
      </c>
      <c r="O636" s="29">
        <v>2.5000000000000001E-2</v>
      </c>
      <c r="P636" s="37">
        <v>9941.4749999999985</v>
      </c>
    </row>
    <row r="637" spans="2:16" x14ac:dyDescent="0.25">
      <c r="B637" t="s">
        <v>40</v>
      </c>
      <c r="C637" t="s">
        <v>41</v>
      </c>
      <c r="D637" t="s">
        <v>19</v>
      </c>
      <c r="E637" s="6">
        <v>1</v>
      </c>
      <c r="F637" t="s">
        <v>20</v>
      </c>
      <c r="G637"/>
      <c r="H637" s="33">
        <v>0.98888888888888893</v>
      </c>
      <c r="I637" s="31">
        <v>1</v>
      </c>
      <c r="J637" s="31">
        <v>1</v>
      </c>
      <c r="K637" s="32">
        <v>0.99235545787545787</v>
      </c>
      <c r="M637" s="36">
        <v>6499</v>
      </c>
      <c r="O637" s="29">
        <v>2.5000000000000001E-2</v>
      </c>
      <c r="P637" s="37">
        <v>6661.4749999999995</v>
      </c>
    </row>
    <row r="638" spans="2:16" x14ac:dyDescent="0.25">
      <c r="B638" t="s">
        <v>40</v>
      </c>
      <c r="C638" t="s">
        <v>41</v>
      </c>
      <c r="D638" t="s">
        <v>19</v>
      </c>
      <c r="E638" s="6">
        <v>1</v>
      </c>
      <c r="F638" t="s">
        <v>15</v>
      </c>
      <c r="G638"/>
      <c r="H638" s="33">
        <v>1</v>
      </c>
      <c r="I638" s="31">
        <v>1</v>
      </c>
      <c r="J638" s="31">
        <v>1</v>
      </c>
      <c r="K638" s="32">
        <v>0.99641656593406591</v>
      </c>
      <c r="M638" s="36">
        <v>7929</v>
      </c>
      <c r="O638" s="29">
        <v>2.5000000000000001E-2</v>
      </c>
      <c r="P638" s="37">
        <v>8127.2249999999995</v>
      </c>
    </row>
    <row r="639" spans="2:16" x14ac:dyDescent="0.25">
      <c r="B639" t="s">
        <v>40</v>
      </c>
      <c r="C639" t="s">
        <v>41</v>
      </c>
      <c r="D639" t="s">
        <v>21</v>
      </c>
      <c r="E639" s="6">
        <v>0.96969696969696961</v>
      </c>
      <c r="F639" t="s">
        <v>17</v>
      </c>
      <c r="G639"/>
      <c r="H639" s="33">
        <v>1</v>
      </c>
      <c r="I639" s="31">
        <v>1</v>
      </c>
      <c r="J639" s="31">
        <v>0.96296288888888881</v>
      </c>
      <c r="K639" s="32">
        <v>0.98248128205128227</v>
      </c>
      <c r="M639" s="36">
        <v>8919</v>
      </c>
      <c r="O639" s="29">
        <v>2.5000000000000001E-2</v>
      </c>
      <c r="P639" s="37">
        <v>9141.9749999999985</v>
      </c>
    </row>
    <row r="640" spans="2:16" x14ac:dyDescent="0.25">
      <c r="B640" t="s">
        <v>40</v>
      </c>
      <c r="C640" t="s">
        <v>41</v>
      </c>
      <c r="D640" t="s">
        <v>21</v>
      </c>
      <c r="E640" s="6">
        <v>0.96969696969696961</v>
      </c>
      <c r="F640" t="s">
        <v>18</v>
      </c>
      <c r="G640"/>
      <c r="H640" s="33">
        <v>1</v>
      </c>
      <c r="I640" s="31">
        <v>1</v>
      </c>
      <c r="J640" s="31">
        <v>1</v>
      </c>
      <c r="K640" s="32">
        <v>1</v>
      </c>
      <c r="M640" s="36">
        <v>11779</v>
      </c>
      <c r="O640" s="29">
        <v>2.5000000000000001E-2</v>
      </c>
      <c r="P640" s="37">
        <v>12073.474999999999</v>
      </c>
    </row>
    <row r="641" spans="2:16" x14ac:dyDescent="0.25">
      <c r="B641" t="s">
        <v>40</v>
      </c>
      <c r="C641" t="s">
        <v>41</v>
      </c>
      <c r="D641" t="s">
        <v>13</v>
      </c>
      <c r="E641" s="6">
        <v>0.92167577413479052</v>
      </c>
      <c r="F641" t="s">
        <v>14</v>
      </c>
      <c r="G641"/>
      <c r="H641" s="33">
        <v>0.92424236363636358</v>
      </c>
      <c r="I641" s="31">
        <v>0.94428145454545453</v>
      </c>
      <c r="J641" s="31">
        <v>0.8888888181818182</v>
      </c>
      <c r="K641" s="32">
        <v>0.91955863736263732</v>
      </c>
      <c r="M641" s="36">
        <v>349</v>
      </c>
      <c r="O641" s="29">
        <v>2.5000000000000001E-2</v>
      </c>
      <c r="P641" s="37">
        <v>357.72499999999997</v>
      </c>
    </row>
    <row r="642" spans="2:16" x14ac:dyDescent="0.25">
      <c r="B642" t="s">
        <v>40</v>
      </c>
      <c r="C642" t="s">
        <v>41</v>
      </c>
      <c r="D642" t="s">
        <v>13</v>
      </c>
      <c r="E642" s="6">
        <v>0.92167577413479052</v>
      </c>
      <c r="F642" t="s">
        <v>15</v>
      </c>
      <c r="G642"/>
      <c r="H642" s="33">
        <v>0.97666666000000002</v>
      </c>
      <c r="I642" s="31">
        <v>0.97290322000000007</v>
      </c>
      <c r="J642" s="31">
        <v>0.92888887999999992</v>
      </c>
      <c r="K642" s="32">
        <v>0.95899665076923091</v>
      </c>
      <c r="M642" s="36">
        <v>299</v>
      </c>
      <c r="O642" s="29">
        <v>2.5000000000000001E-2</v>
      </c>
      <c r="P642" s="37">
        <v>306.47499999999997</v>
      </c>
    </row>
    <row r="643" spans="2:16" x14ac:dyDescent="0.25">
      <c r="B643" t="s">
        <v>40</v>
      </c>
      <c r="C643" t="s">
        <v>44</v>
      </c>
      <c r="D643" t="s">
        <v>19</v>
      </c>
      <c r="E643" s="6">
        <v>0.95454545454545459</v>
      </c>
      <c r="F643" t="s">
        <v>20</v>
      </c>
      <c r="G643"/>
      <c r="H643" s="33">
        <v>0.97222222222222221</v>
      </c>
      <c r="I643" s="31">
        <v>1</v>
      </c>
      <c r="J643" s="31">
        <v>0.94444444444444442</v>
      </c>
      <c r="K643" s="32">
        <v>0.97252747252747263</v>
      </c>
      <c r="M643" s="36">
        <v>5759</v>
      </c>
      <c r="O643" s="29">
        <v>0.01</v>
      </c>
      <c r="P643" s="37">
        <v>5816.59</v>
      </c>
    </row>
    <row r="644" spans="2:16" x14ac:dyDescent="0.25">
      <c r="B644" t="s">
        <v>40</v>
      </c>
      <c r="C644" t="s">
        <v>44</v>
      </c>
      <c r="D644" t="s">
        <v>19</v>
      </c>
      <c r="E644" s="6">
        <v>0.95454545454545459</v>
      </c>
      <c r="F644" t="s">
        <v>15</v>
      </c>
      <c r="G644"/>
      <c r="H644" s="33">
        <v>1</v>
      </c>
      <c r="I644" s="31">
        <v>1</v>
      </c>
      <c r="J644" s="31">
        <v>1</v>
      </c>
      <c r="K644" s="32">
        <v>1</v>
      </c>
      <c r="M644" s="36">
        <v>5899</v>
      </c>
      <c r="O644" s="29">
        <v>2.5000000000000001E-2</v>
      </c>
      <c r="P644" s="37">
        <v>6046.4749999999995</v>
      </c>
    </row>
    <row r="645" spans="2:16" x14ac:dyDescent="0.25">
      <c r="B645" t="s">
        <v>40</v>
      </c>
      <c r="C645" t="s">
        <v>44</v>
      </c>
      <c r="D645" t="s">
        <v>21</v>
      </c>
      <c r="E645" s="6">
        <v>1</v>
      </c>
      <c r="F645" t="s">
        <v>17</v>
      </c>
      <c r="G645"/>
      <c r="H645" s="33">
        <v>1</v>
      </c>
      <c r="I645" s="31">
        <v>0.99193537499999995</v>
      </c>
      <c r="J645" s="31">
        <v>1</v>
      </c>
      <c r="K645" s="32">
        <v>0.99008592445054944</v>
      </c>
      <c r="M645" s="36">
        <v>6619</v>
      </c>
      <c r="O645" s="29">
        <v>2.5000000000000001E-2</v>
      </c>
      <c r="P645" s="37">
        <v>6784.4749999999995</v>
      </c>
    </row>
    <row r="646" spans="2:16" x14ac:dyDescent="0.25">
      <c r="B646" t="s">
        <v>40</v>
      </c>
      <c r="C646" t="s">
        <v>44</v>
      </c>
      <c r="D646" t="s">
        <v>21</v>
      </c>
      <c r="E646" s="6">
        <v>1</v>
      </c>
      <c r="F646" t="s">
        <v>18</v>
      </c>
      <c r="G646"/>
      <c r="H646" s="33">
        <v>1</v>
      </c>
      <c r="I646" s="31">
        <v>1</v>
      </c>
      <c r="J646" s="31">
        <v>1</v>
      </c>
      <c r="K646" s="32">
        <v>1</v>
      </c>
      <c r="M646" s="36">
        <v>7169</v>
      </c>
      <c r="O646" s="29">
        <v>2.5000000000000001E-2</v>
      </c>
      <c r="P646" s="37">
        <v>7348.2249999999995</v>
      </c>
    </row>
    <row r="647" spans="2:16" x14ac:dyDescent="0.25">
      <c r="B647" t="s">
        <v>40</v>
      </c>
      <c r="C647" t="s">
        <v>44</v>
      </c>
      <c r="D647" t="s">
        <v>13</v>
      </c>
      <c r="E647" s="6">
        <v>0.8586601307189542</v>
      </c>
      <c r="F647" t="s">
        <v>14</v>
      </c>
      <c r="G647"/>
      <c r="H647" s="33">
        <v>0.76363631818181821</v>
      </c>
      <c r="I647" s="31">
        <v>0.7170087727272727</v>
      </c>
      <c r="J647" s="31">
        <v>0.70202018181818182</v>
      </c>
      <c r="K647" s="32">
        <v>0.71882461188811198</v>
      </c>
      <c r="M647" s="36">
        <v>389.45454545454544</v>
      </c>
      <c r="O647" s="30"/>
      <c r="P647" s="37" t="s">
        <v>10</v>
      </c>
    </row>
    <row r="648" spans="2:16" x14ac:dyDescent="0.25">
      <c r="B648" t="s">
        <v>40</v>
      </c>
      <c r="C648" t="s">
        <v>44</v>
      </c>
      <c r="D648" t="s">
        <v>13</v>
      </c>
      <c r="E648" s="6">
        <v>0.8586601307189542</v>
      </c>
      <c r="F648" t="s">
        <v>45</v>
      </c>
      <c r="G648"/>
      <c r="H648" s="33">
        <v>0.75</v>
      </c>
      <c r="I648" s="31">
        <v>0.87096750000000001</v>
      </c>
      <c r="J648" s="31">
        <v>0.55555549999999998</v>
      </c>
      <c r="K648" s="32">
        <v>0.7410414560439561</v>
      </c>
      <c r="M648" s="36">
        <v>569</v>
      </c>
      <c r="O648" s="30"/>
      <c r="P648" s="37" t="s">
        <v>10</v>
      </c>
    </row>
    <row r="649" spans="2:16" x14ac:dyDescent="0.25">
      <c r="B649" t="s">
        <v>40</v>
      </c>
      <c r="C649" t="s">
        <v>44</v>
      </c>
      <c r="D649" t="s">
        <v>13</v>
      </c>
      <c r="E649" s="6">
        <v>0.8586601307189542</v>
      </c>
      <c r="F649" t="s">
        <v>15</v>
      </c>
      <c r="G649"/>
      <c r="H649" s="33">
        <v>0.97619047619047616</v>
      </c>
      <c r="I649" s="31">
        <v>0.97772657142857133</v>
      </c>
      <c r="J649" s="31">
        <v>0.96957671428571435</v>
      </c>
      <c r="K649" s="32">
        <v>0.97295975039246463</v>
      </c>
      <c r="M649" s="36">
        <v>289</v>
      </c>
      <c r="O649" s="30"/>
      <c r="P649" s="37" t="s">
        <v>10</v>
      </c>
    </row>
    <row r="650" spans="2:16" x14ac:dyDescent="0.25">
      <c r="B650" t="s">
        <v>40</v>
      </c>
      <c r="C650" t="s">
        <v>52</v>
      </c>
      <c r="D650" t="s">
        <v>19</v>
      </c>
      <c r="E650" s="6">
        <v>0.88235294117647056</v>
      </c>
      <c r="F650" t="s">
        <v>20</v>
      </c>
      <c r="G650"/>
      <c r="H650" s="33">
        <v>0.84933331999999995</v>
      </c>
      <c r="I650" s="31">
        <v>0.84774192000000004</v>
      </c>
      <c r="J650" s="31">
        <v>0.84</v>
      </c>
      <c r="K650" s="32">
        <v>0.84858097054945048</v>
      </c>
      <c r="M650" s="36">
        <v>5208.6000000000004</v>
      </c>
      <c r="O650" s="29">
        <v>0.01</v>
      </c>
      <c r="P650" s="37">
        <v>5260.6860000000006</v>
      </c>
    </row>
    <row r="651" spans="2:16" x14ac:dyDescent="0.25">
      <c r="B651" t="s">
        <v>40</v>
      </c>
      <c r="C651" t="s">
        <v>52</v>
      </c>
      <c r="D651" t="s">
        <v>19</v>
      </c>
      <c r="E651" s="6">
        <v>0.88235294117647056</v>
      </c>
      <c r="F651" t="s">
        <v>15</v>
      </c>
      <c r="G651"/>
      <c r="H651" s="33">
        <v>1</v>
      </c>
      <c r="I651" s="31">
        <v>1</v>
      </c>
      <c r="J651" s="31">
        <v>1</v>
      </c>
      <c r="K651" s="32">
        <v>1</v>
      </c>
      <c r="M651" s="36">
        <v>6029</v>
      </c>
      <c r="O651" s="30"/>
      <c r="P651" s="37" t="s">
        <v>10</v>
      </c>
    </row>
    <row r="652" spans="2:16" x14ac:dyDescent="0.25">
      <c r="B652" t="s">
        <v>40</v>
      </c>
      <c r="C652" t="s">
        <v>52</v>
      </c>
      <c r="D652" t="s">
        <v>21</v>
      </c>
      <c r="E652" s="6">
        <v>0.94636015325670497</v>
      </c>
      <c r="F652" t="s">
        <v>22</v>
      </c>
      <c r="G652"/>
      <c r="H652" s="33">
        <v>0.8716666500000001</v>
      </c>
      <c r="I652" s="31">
        <v>0.97741935000000013</v>
      </c>
      <c r="J652" s="31">
        <v>0.92222219999999999</v>
      </c>
      <c r="K652" s="32">
        <v>0.92276635549450547</v>
      </c>
      <c r="M652" s="36">
        <v>7139</v>
      </c>
      <c r="O652" s="29">
        <v>0.01</v>
      </c>
      <c r="P652" s="37">
        <v>7210.39</v>
      </c>
    </row>
    <row r="653" spans="2:16" x14ac:dyDescent="0.25">
      <c r="B653" t="s">
        <v>40</v>
      </c>
      <c r="C653" t="s">
        <v>52</v>
      </c>
      <c r="D653" t="s">
        <v>21</v>
      </c>
      <c r="E653" s="6">
        <v>0.94636015325670497</v>
      </c>
      <c r="F653" t="s">
        <v>23</v>
      </c>
      <c r="G653"/>
      <c r="H653" s="33">
        <v>1</v>
      </c>
      <c r="I653" s="31">
        <v>1</v>
      </c>
      <c r="J653" s="31">
        <v>1</v>
      </c>
      <c r="K653" s="32">
        <v>1</v>
      </c>
      <c r="M653" s="36">
        <v>7319</v>
      </c>
      <c r="O653" s="29">
        <v>2.5000000000000001E-2</v>
      </c>
      <c r="P653" s="37">
        <v>7501.9749999999995</v>
      </c>
    </row>
    <row r="654" spans="2:16" x14ac:dyDescent="0.25">
      <c r="B654" t="s">
        <v>40</v>
      </c>
      <c r="C654" t="s">
        <v>52</v>
      </c>
      <c r="D654" t="s">
        <v>13</v>
      </c>
      <c r="E654" s="6">
        <v>0.96006944444444442</v>
      </c>
      <c r="F654" t="s">
        <v>14</v>
      </c>
      <c r="G654"/>
      <c r="H654" s="33">
        <v>0.89333333333333331</v>
      </c>
      <c r="I654" s="31">
        <v>0.92473116666666677</v>
      </c>
      <c r="J654" s="31">
        <v>0.94814813333333336</v>
      </c>
      <c r="K654" s="32">
        <v>0.92438284798534798</v>
      </c>
      <c r="M654" s="36">
        <v>359</v>
      </c>
      <c r="O654" s="29">
        <v>2.5000000000000001E-2</v>
      </c>
      <c r="P654" s="37">
        <v>367.97499999999997</v>
      </c>
    </row>
    <row r="655" spans="2:16" x14ac:dyDescent="0.25">
      <c r="B655" t="s">
        <v>40</v>
      </c>
      <c r="C655" t="s">
        <v>52</v>
      </c>
      <c r="D655" t="s">
        <v>13</v>
      </c>
      <c r="E655" s="6">
        <v>0.96006944444444442</v>
      </c>
      <c r="F655" t="s">
        <v>53</v>
      </c>
      <c r="G655"/>
      <c r="H655" s="33">
        <v>0.8</v>
      </c>
      <c r="I655" s="31">
        <v>0.91129024999999997</v>
      </c>
      <c r="J655" s="31">
        <v>0.88888875000000001</v>
      </c>
      <c r="K655" s="32">
        <v>0.85726222802197805</v>
      </c>
      <c r="M655" s="36">
        <v>319</v>
      </c>
      <c r="O655" s="30"/>
      <c r="P655" s="37" t="s">
        <v>10</v>
      </c>
    </row>
    <row r="656" spans="2:16" x14ac:dyDescent="0.25">
      <c r="B656" t="s">
        <v>40</v>
      </c>
      <c r="C656" t="s">
        <v>52</v>
      </c>
      <c r="D656" t="s">
        <v>13</v>
      </c>
      <c r="E656" s="6">
        <v>0.96006944444444442</v>
      </c>
      <c r="F656" t="s">
        <v>15</v>
      </c>
      <c r="G656"/>
      <c r="H656" s="33">
        <v>0.93555553333333341</v>
      </c>
      <c r="I656" s="31">
        <v>0.89032256666666665</v>
      </c>
      <c r="J656" s="31">
        <v>0.98148146666666669</v>
      </c>
      <c r="K656" s="32">
        <v>0.93613631391941399</v>
      </c>
      <c r="M656" s="36">
        <v>299</v>
      </c>
      <c r="O656" s="29">
        <v>0.05</v>
      </c>
      <c r="P656" s="37">
        <v>313.95</v>
      </c>
    </row>
    <row r="657" spans="2:16" x14ac:dyDescent="0.25">
      <c r="B657" t="s">
        <v>40</v>
      </c>
      <c r="C657" t="s">
        <v>54</v>
      </c>
      <c r="D657" t="s">
        <v>19</v>
      </c>
      <c r="E657" s="6">
        <v>0.98550724637681164</v>
      </c>
      <c r="F657" t="s">
        <v>30</v>
      </c>
      <c r="G657"/>
      <c r="H657" s="33">
        <v>1</v>
      </c>
      <c r="I657" s="31">
        <v>1</v>
      </c>
      <c r="J657" s="31">
        <v>0.95833325000000003</v>
      </c>
      <c r="K657" s="32">
        <v>0.98924986263736259</v>
      </c>
      <c r="M657" s="36">
        <v>7299</v>
      </c>
      <c r="O657" s="29">
        <v>2.5000000000000001E-2</v>
      </c>
      <c r="P657" s="37">
        <v>7481.4749999999995</v>
      </c>
    </row>
    <row r="658" spans="2:16" x14ac:dyDescent="0.25">
      <c r="B658" t="s">
        <v>40</v>
      </c>
      <c r="C658" t="s">
        <v>54</v>
      </c>
      <c r="D658" t="s">
        <v>19</v>
      </c>
      <c r="E658" s="6">
        <v>0.98550724637681164</v>
      </c>
      <c r="F658" t="s">
        <v>57</v>
      </c>
      <c r="G658"/>
      <c r="H658" s="33">
        <v>1</v>
      </c>
      <c r="I658" s="31">
        <v>1</v>
      </c>
      <c r="J658" s="31">
        <v>1</v>
      </c>
      <c r="K658" s="32">
        <v>1</v>
      </c>
      <c r="M658" s="36">
        <v>7879</v>
      </c>
      <c r="O658" s="29">
        <v>2.5000000000000001E-2</v>
      </c>
      <c r="P658" s="37">
        <v>8075.9749999999995</v>
      </c>
    </row>
    <row r="659" spans="2:16" x14ac:dyDescent="0.25">
      <c r="B659" t="s">
        <v>40</v>
      </c>
      <c r="C659" t="s">
        <v>54</v>
      </c>
      <c r="D659" t="s">
        <v>19</v>
      </c>
      <c r="E659" s="6">
        <v>0.98550724637681164</v>
      </c>
      <c r="F659" t="s">
        <v>20</v>
      </c>
      <c r="G659"/>
      <c r="H659" s="33">
        <v>1</v>
      </c>
      <c r="I659" s="31">
        <v>1</v>
      </c>
      <c r="J659" s="31">
        <v>1</v>
      </c>
      <c r="K659" s="32">
        <v>1</v>
      </c>
      <c r="M659" s="36">
        <v>5759</v>
      </c>
      <c r="O659" s="29">
        <v>2.5000000000000001E-2</v>
      </c>
      <c r="P659" s="37">
        <v>5902.9749999999995</v>
      </c>
    </row>
    <row r="660" spans="2:16" x14ac:dyDescent="0.25">
      <c r="B660" t="s">
        <v>40</v>
      </c>
      <c r="C660" t="s">
        <v>54</v>
      </c>
      <c r="D660" t="s">
        <v>19</v>
      </c>
      <c r="E660" s="6">
        <v>0.98550724637681164</v>
      </c>
      <c r="F660" t="s">
        <v>31</v>
      </c>
      <c r="G660"/>
      <c r="H660" s="33">
        <v>1</v>
      </c>
      <c r="I660" s="31">
        <v>1</v>
      </c>
      <c r="J660" s="31">
        <v>1</v>
      </c>
      <c r="K660" s="32">
        <v>1</v>
      </c>
      <c r="M660" s="36">
        <v>6499</v>
      </c>
      <c r="O660" s="29">
        <v>3.6828454983327159E-2</v>
      </c>
      <c r="P660" s="37">
        <v>6738.3481289366428</v>
      </c>
    </row>
    <row r="661" spans="2:16" x14ac:dyDescent="0.25">
      <c r="B661" t="s">
        <v>40</v>
      </c>
      <c r="C661" t="s">
        <v>54</v>
      </c>
      <c r="D661" t="s">
        <v>21</v>
      </c>
      <c r="E661" s="6">
        <v>1</v>
      </c>
      <c r="F661" t="s">
        <v>58</v>
      </c>
      <c r="G661"/>
      <c r="H661" s="33">
        <v>0.98333333333333339</v>
      </c>
      <c r="I661" s="31">
        <v>0.98118274999999999</v>
      </c>
      <c r="J661" s="31">
        <v>1</v>
      </c>
      <c r="K661" s="32">
        <v>0.98809522252747273</v>
      </c>
      <c r="M661" s="36">
        <v>7434.833333333333</v>
      </c>
      <c r="O661" s="29">
        <v>2.5000000000000001E-2</v>
      </c>
      <c r="P661" s="37">
        <v>7620.7041666666655</v>
      </c>
    </row>
    <row r="662" spans="2:16" x14ac:dyDescent="0.25">
      <c r="B662" t="s">
        <v>40</v>
      </c>
      <c r="C662" t="s">
        <v>54</v>
      </c>
      <c r="D662" t="s">
        <v>21</v>
      </c>
      <c r="E662" s="6">
        <v>1</v>
      </c>
      <c r="F662" t="s">
        <v>59</v>
      </c>
      <c r="G662"/>
      <c r="H662" s="33">
        <v>1</v>
      </c>
      <c r="I662" s="31">
        <v>1</v>
      </c>
      <c r="J662" s="31">
        <v>1</v>
      </c>
      <c r="K662" s="32">
        <v>1</v>
      </c>
      <c r="M662" s="36">
        <v>8989</v>
      </c>
      <c r="O662" s="29">
        <v>2.5000000000000001E-2</v>
      </c>
      <c r="P662" s="37">
        <v>9213.7249999999985</v>
      </c>
    </row>
    <row r="663" spans="2:16" x14ac:dyDescent="0.25">
      <c r="B663" t="s">
        <v>40</v>
      </c>
      <c r="C663" t="s">
        <v>54</v>
      </c>
      <c r="D663" t="s">
        <v>13</v>
      </c>
      <c r="E663" s="6">
        <v>0.95061728395061729</v>
      </c>
      <c r="F663" t="s">
        <v>14</v>
      </c>
      <c r="G663"/>
      <c r="H663" s="33">
        <v>0.95724636956521736</v>
      </c>
      <c r="I663" s="31">
        <v>0.97265076086956515</v>
      </c>
      <c r="J663" s="31">
        <v>0.94444443478260864</v>
      </c>
      <c r="K663" s="32">
        <v>0.96007394529383649</v>
      </c>
      <c r="M663" s="36">
        <v>359</v>
      </c>
      <c r="O663" s="29">
        <v>0.05</v>
      </c>
      <c r="P663" s="37">
        <v>376.95</v>
      </c>
    </row>
    <row r="664" spans="2:16" x14ac:dyDescent="0.25">
      <c r="B664" t="s">
        <v>40</v>
      </c>
      <c r="C664" t="s">
        <v>54</v>
      </c>
      <c r="D664" t="s">
        <v>13</v>
      </c>
      <c r="E664" s="6">
        <v>0.95061728395061729</v>
      </c>
      <c r="F664" t="s">
        <v>15</v>
      </c>
      <c r="G664"/>
      <c r="H664" s="33">
        <v>1</v>
      </c>
      <c r="I664" s="31">
        <v>1</v>
      </c>
      <c r="J664" s="31">
        <v>1</v>
      </c>
      <c r="K664" s="32">
        <v>1</v>
      </c>
      <c r="M664" s="36">
        <v>329</v>
      </c>
      <c r="O664" s="29">
        <v>0.05</v>
      </c>
      <c r="P664" s="37">
        <v>345.45</v>
      </c>
    </row>
    <row r="665" spans="2:16" x14ac:dyDescent="0.25">
      <c r="B665" t="s">
        <v>40</v>
      </c>
      <c r="C665" t="s">
        <v>54</v>
      </c>
      <c r="D665" t="s">
        <v>13</v>
      </c>
      <c r="E665" s="6">
        <v>0.95061728395061729</v>
      </c>
      <c r="F665" t="s">
        <v>55</v>
      </c>
      <c r="G665"/>
      <c r="H665" s="33">
        <v>1</v>
      </c>
      <c r="I665" s="31">
        <v>0.69354800000000005</v>
      </c>
      <c r="J665" s="31">
        <v>0.94444399999999995</v>
      </c>
      <c r="K665" s="32">
        <v>0.88127069230769228</v>
      </c>
      <c r="M665" s="36">
        <v>329</v>
      </c>
      <c r="O665" s="30"/>
      <c r="P665" s="37" t="s">
        <v>10</v>
      </c>
    </row>
    <row r="666" spans="2:16" x14ac:dyDescent="0.25">
      <c r="B666" t="s">
        <v>40</v>
      </c>
      <c r="C666" t="s">
        <v>54</v>
      </c>
      <c r="D666" t="s">
        <v>13</v>
      </c>
      <c r="E666" s="6">
        <v>0.95061728395061729</v>
      </c>
      <c r="F666" t="s">
        <v>56</v>
      </c>
      <c r="G666"/>
      <c r="H666" s="33">
        <v>1</v>
      </c>
      <c r="I666" s="31">
        <v>1</v>
      </c>
      <c r="J666" s="31">
        <v>1</v>
      </c>
      <c r="K666" s="32">
        <v>1</v>
      </c>
      <c r="M666" s="36">
        <v>599</v>
      </c>
      <c r="O666" s="29">
        <v>2.5000000000000001E-2</v>
      </c>
      <c r="P666" s="37">
        <v>613.97499999999991</v>
      </c>
    </row>
    <row r="667" spans="2:16" x14ac:dyDescent="0.25">
      <c r="B667" t="s">
        <v>40</v>
      </c>
      <c r="C667" t="s">
        <v>76</v>
      </c>
      <c r="D667" t="s">
        <v>19</v>
      </c>
      <c r="E667" s="6">
        <v>0.96212121212121215</v>
      </c>
      <c r="F667" t="s">
        <v>20</v>
      </c>
      <c r="G667"/>
      <c r="H667" s="33">
        <v>0.77222222222222214</v>
      </c>
      <c r="I667" s="31">
        <v>0.83154116666666666</v>
      </c>
      <c r="J667" s="31">
        <v>0.95370361111111124</v>
      </c>
      <c r="K667" s="32">
        <v>0.84841001282051276</v>
      </c>
      <c r="M667" s="36">
        <v>5999</v>
      </c>
      <c r="O667" s="30"/>
      <c r="P667" s="37" t="s">
        <v>10</v>
      </c>
    </row>
    <row r="668" spans="2:16" x14ac:dyDescent="0.25">
      <c r="B668" t="s">
        <v>40</v>
      </c>
      <c r="C668" t="s">
        <v>76</v>
      </c>
      <c r="D668" t="s">
        <v>19</v>
      </c>
      <c r="E668" s="6">
        <v>0.96212121212121215</v>
      </c>
      <c r="F668" t="s">
        <v>15</v>
      </c>
      <c r="G668"/>
      <c r="H668" s="33">
        <v>0.95</v>
      </c>
      <c r="I668" s="31">
        <v>0.94354824999999998</v>
      </c>
      <c r="J668" s="31">
        <v>1</v>
      </c>
      <c r="K668" s="32">
        <v>0.96428566758241752</v>
      </c>
      <c r="M668" s="36">
        <v>8759</v>
      </c>
      <c r="O668" s="29">
        <v>2.5000000000000001E-2</v>
      </c>
      <c r="P668" s="37">
        <v>8977.9749999999985</v>
      </c>
    </row>
    <row r="669" spans="2:16" x14ac:dyDescent="0.25">
      <c r="B669" t="s">
        <v>40</v>
      </c>
      <c r="C669" t="s">
        <v>76</v>
      </c>
      <c r="D669" t="s">
        <v>21</v>
      </c>
      <c r="E669" s="6">
        <v>0.84848484848484851</v>
      </c>
      <c r="F669" t="s">
        <v>17</v>
      </c>
      <c r="G669"/>
      <c r="H669" s="33">
        <v>0.87666660000000007</v>
      </c>
      <c r="I669" s="31">
        <v>0.8225806</v>
      </c>
      <c r="J669" s="31">
        <v>0.83333329999999994</v>
      </c>
      <c r="K669" s="32">
        <v>0.84586712747252746</v>
      </c>
      <c r="M669" s="36">
        <v>9179</v>
      </c>
      <c r="O669" s="30"/>
      <c r="P669" s="37" t="s">
        <v>10</v>
      </c>
    </row>
    <row r="670" spans="2:16" x14ac:dyDescent="0.25">
      <c r="B670" t="s">
        <v>40</v>
      </c>
      <c r="C670" t="s">
        <v>76</v>
      </c>
      <c r="D670" t="s">
        <v>21</v>
      </c>
      <c r="E670" s="6">
        <v>0.84848484848484851</v>
      </c>
      <c r="F670" t="s">
        <v>18</v>
      </c>
      <c r="G670"/>
      <c r="H670" s="33">
        <v>1</v>
      </c>
      <c r="I670" s="31">
        <v>1</v>
      </c>
      <c r="J670" s="31">
        <v>1</v>
      </c>
      <c r="K670" s="32">
        <v>1</v>
      </c>
      <c r="M670" s="36">
        <v>9409</v>
      </c>
      <c r="O670" s="30"/>
      <c r="P670" s="37" t="s">
        <v>10</v>
      </c>
    </row>
    <row r="671" spans="2:16" x14ac:dyDescent="0.25">
      <c r="B671" t="s">
        <v>40</v>
      </c>
      <c r="C671" t="s">
        <v>76</v>
      </c>
      <c r="D671" t="s">
        <v>13</v>
      </c>
      <c r="E671" s="6">
        <v>0.84395424836601307</v>
      </c>
      <c r="F671" t="s">
        <v>14</v>
      </c>
      <c r="G671"/>
      <c r="H671" s="33">
        <v>0.85104165624999994</v>
      </c>
      <c r="I671" s="31">
        <v>0.89012093749999999</v>
      </c>
      <c r="J671" s="31">
        <v>0.82465275000000005</v>
      </c>
      <c r="K671" s="32">
        <v>0.8314918612637362</v>
      </c>
      <c r="M671" s="36">
        <v>419</v>
      </c>
      <c r="O671" s="30"/>
      <c r="P671" s="37" t="s">
        <v>10</v>
      </c>
    </row>
    <row r="672" spans="2:16" x14ac:dyDescent="0.25">
      <c r="B672" t="s">
        <v>40</v>
      </c>
      <c r="C672" t="s">
        <v>76</v>
      </c>
      <c r="D672" t="s">
        <v>13</v>
      </c>
      <c r="E672" s="6">
        <v>0.84395424836601307</v>
      </c>
      <c r="F672" t="s">
        <v>15</v>
      </c>
      <c r="G672"/>
      <c r="H672" s="33">
        <v>0.85277777777777775</v>
      </c>
      <c r="I672" s="31">
        <v>0.8736558888888889</v>
      </c>
      <c r="J672" s="31">
        <v>0.86111111111111116</v>
      </c>
      <c r="K672" s="32">
        <v>0.85865582478632474</v>
      </c>
      <c r="M672" s="36">
        <v>339</v>
      </c>
      <c r="O672" s="30"/>
      <c r="P672" s="37" t="s">
        <v>10</v>
      </c>
    </row>
    <row r="673" spans="2:16" x14ac:dyDescent="0.25">
      <c r="B673" t="s">
        <v>40</v>
      </c>
      <c r="C673" t="s">
        <v>129</v>
      </c>
      <c r="D673" t="s">
        <v>19</v>
      </c>
      <c r="E673" s="6">
        <v>1</v>
      </c>
      <c r="F673" t="s">
        <v>20</v>
      </c>
      <c r="G673"/>
      <c r="H673" s="33">
        <v>0.91666666666666663</v>
      </c>
      <c r="I673" s="31">
        <v>0.96774188888888879</v>
      </c>
      <c r="J673" s="31">
        <v>1</v>
      </c>
      <c r="K673" s="32">
        <v>0.95676060683760689</v>
      </c>
      <c r="M673" s="36">
        <v>5339</v>
      </c>
      <c r="O673" s="29">
        <v>2.5000000000000001E-2</v>
      </c>
      <c r="P673" s="37">
        <v>5472.4749999999995</v>
      </c>
    </row>
    <row r="674" spans="2:16" x14ac:dyDescent="0.25">
      <c r="B674" t="s">
        <v>40</v>
      </c>
      <c r="C674" t="s">
        <v>129</v>
      </c>
      <c r="D674" t="s">
        <v>19</v>
      </c>
      <c r="E674" s="6">
        <v>1</v>
      </c>
      <c r="F674" t="s">
        <v>15</v>
      </c>
      <c r="G674"/>
      <c r="H674" s="33">
        <v>1</v>
      </c>
      <c r="I674" s="31">
        <v>1</v>
      </c>
      <c r="J674" s="31">
        <v>1</v>
      </c>
      <c r="K674" s="32">
        <v>1</v>
      </c>
      <c r="M674" s="36">
        <v>6489</v>
      </c>
      <c r="O674" s="29">
        <v>2.5000000000000001E-2</v>
      </c>
      <c r="P674" s="37">
        <v>6651.2249999999995</v>
      </c>
    </row>
    <row r="675" spans="2:16" x14ac:dyDescent="0.25">
      <c r="B675" t="s">
        <v>40</v>
      </c>
      <c r="C675" t="s">
        <v>129</v>
      </c>
      <c r="D675" t="s">
        <v>21</v>
      </c>
      <c r="E675" s="6">
        <v>0.63636363636363635</v>
      </c>
      <c r="F675" t="s">
        <v>17</v>
      </c>
      <c r="G675"/>
      <c r="H675" s="33">
        <v>0.77407400000000004</v>
      </c>
      <c r="I675" s="31">
        <v>0.55555555555555558</v>
      </c>
      <c r="J675" s="31">
        <v>0.55555555555555558</v>
      </c>
      <c r="K675" s="32">
        <v>0.62759460317460325</v>
      </c>
      <c r="M675" s="36">
        <v>8079</v>
      </c>
      <c r="O675" s="29"/>
      <c r="P675" s="37" t="s">
        <v>10</v>
      </c>
    </row>
    <row r="676" spans="2:16" x14ac:dyDescent="0.25">
      <c r="B676" t="s">
        <v>40</v>
      </c>
      <c r="C676" t="s">
        <v>129</v>
      </c>
      <c r="D676" t="s">
        <v>21</v>
      </c>
      <c r="E676" s="6">
        <v>0.63636363636363635</v>
      </c>
      <c r="F676" t="s">
        <v>18</v>
      </c>
      <c r="G676"/>
      <c r="H676" s="33">
        <v>1</v>
      </c>
      <c r="I676" s="31">
        <v>1</v>
      </c>
      <c r="J676" s="31">
        <v>1</v>
      </c>
      <c r="K676" s="32">
        <v>1</v>
      </c>
      <c r="M676" s="36">
        <v>9669</v>
      </c>
      <c r="O676" s="30"/>
      <c r="P676" s="37" t="s">
        <v>10</v>
      </c>
    </row>
    <row r="677" spans="2:16" x14ac:dyDescent="0.25">
      <c r="B677" t="s">
        <v>40</v>
      </c>
      <c r="C677" t="s">
        <v>129</v>
      </c>
      <c r="D677" t="s">
        <v>13</v>
      </c>
      <c r="E677" s="6">
        <v>0.73958333333333337</v>
      </c>
      <c r="F677" t="s">
        <v>14</v>
      </c>
      <c r="G677"/>
      <c r="H677" s="33">
        <v>0.59111109999999989</v>
      </c>
      <c r="I677" s="31">
        <v>0.61827956666666672</v>
      </c>
      <c r="J677" s="31">
        <v>0.56481480000000006</v>
      </c>
      <c r="K677" s="32">
        <v>0.5851409402930402</v>
      </c>
      <c r="M677" s="36">
        <v>319</v>
      </c>
      <c r="O677" s="30"/>
      <c r="P677" s="37" t="s">
        <v>10</v>
      </c>
    </row>
    <row r="678" spans="2:16" x14ac:dyDescent="0.25">
      <c r="B678" t="s">
        <v>40</v>
      </c>
      <c r="C678" t="s">
        <v>129</v>
      </c>
      <c r="D678" t="s">
        <v>13</v>
      </c>
      <c r="E678" s="6">
        <v>0.73958333333333337</v>
      </c>
      <c r="F678" t="s">
        <v>15</v>
      </c>
      <c r="G678"/>
      <c r="H678" s="33">
        <v>0.98529411764705888</v>
      </c>
      <c r="I678" s="31">
        <v>0.93358632352941184</v>
      </c>
      <c r="J678" s="31">
        <v>0.89379082352941186</v>
      </c>
      <c r="K678" s="32">
        <v>0.94175260665804783</v>
      </c>
      <c r="M678" s="36">
        <v>309</v>
      </c>
      <c r="O678" s="30"/>
      <c r="P678" s="37" t="s">
        <v>10</v>
      </c>
    </row>
    <row r="679" spans="2:16" x14ac:dyDescent="0.25">
      <c r="B679" t="s">
        <v>40</v>
      </c>
      <c r="C679" t="s">
        <v>131</v>
      </c>
      <c r="D679" t="s">
        <v>19</v>
      </c>
      <c r="E679" s="6">
        <v>1</v>
      </c>
      <c r="F679" t="s">
        <v>20</v>
      </c>
      <c r="G679"/>
      <c r="H679" s="33">
        <v>0.99166664999999998</v>
      </c>
      <c r="I679" s="31">
        <v>1</v>
      </c>
      <c r="J679" s="31">
        <v>1</v>
      </c>
      <c r="K679" s="32">
        <v>0.99725274175824175</v>
      </c>
      <c r="M679" s="36">
        <v>4347</v>
      </c>
      <c r="O679" s="29">
        <v>2.5000000000000001E-2</v>
      </c>
      <c r="P679" s="37">
        <v>4455.6749999999993</v>
      </c>
    </row>
    <row r="680" spans="2:16" x14ac:dyDescent="0.25">
      <c r="B680" t="s">
        <v>40</v>
      </c>
      <c r="C680" t="s">
        <v>131</v>
      </c>
      <c r="D680" t="s">
        <v>19</v>
      </c>
      <c r="E680" s="6">
        <v>1</v>
      </c>
      <c r="F680" t="s">
        <v>30</v>
      </c>
      <c r="G680"/>
      <c r="H680" s="33">
        <v>1</v>
      </c>
      <c r="I680" s="31">
        <v>1</v>
      </c>
      <c r="J680" s="31">
        <v>1</v>
      </c>
      <c r="K680" s="32">
        <v>1</v>
      </c>
      <c r="M680" s="36">
        <v>5959</v>
      </c>
      <c r="O680" s="29">
        <v>7.2962041070317368E-2</v>
      </c>
      <c r="P680" s="37">
        <v>6393.7808027380206</v>
      </c>
    </row>
    <row r="681" spans="2:16" x14ac:dyDescent="0.25">
      <c r="B681" t="s">
        <v>40</v>
      </c>
      <c r="C681" t="s">
        <v>131</v>
      </c>
      <c r="D681" t="s">
        <v>13</v>
      </c>
      <c r="E681" s="6">
        <v>0.96759259259259267</v>
      </c>
      <c r="F681" t="s">
        <v>15</v>
      </c>
      <c r="G681"/>
      <c r="H681" s="33">
        <v>0.9</v>
      </c>
      <c r="I681" s="31">
        <v>0.93044353125000001</v>
      </c>
      <c r="J681" s="31">
        <v>0.96527775000000005</v>
      </c>
      <c r="K681" s="32">
        <v>0.93169194127747257</v>
      </c>
      <c r="M681" s="36">
        <v>339</v>
      </c>
      <c r="O681" s="29">
        <v>2.5000000000000001E-2</v>
      </c>
      <c r="P681" s="37">
        <v>347.47499999999997</v>
      </c>
    </row>
    <row r="682" spans="2:16" x14ac:dyDescent="0.25">
      <c r="B682" t="s">
        <v>40</v>
      </c>
      <c r="C682" t="s">
        <v>131</v>
      </c>
      <c r="D682" t="s">
        <v>13</v>
      </c>
      <c r="E682" s="6">
        <v>0.96759259259259267</v>
      </c>
      <c r="F682" t="s">
        <v>14</v>
      </c>
      <c r="G682"/>
      <c r="H682" s="33">
        <v>0.89166650000000003</v>
      </c>
      <c r="I682" s="31">
        <v>0.89516125000000002</v>
      </c>
      <c r="J682" s="31">
        <v>0.98611099999999996</v>
      </c>
      <c r="K682" s="32">
        <v>0.92498792582417577</v>
      </c>
      <c r="M682" s="36">
        <v>399</v>
      </c>
      <c r="O682" s="29">
        <v>2.5000000000000001E-2</v>
      </c>
      <c r="P682" s="37">
        <v>408.97499999999997</v>
      </c>
    </row>
    <row r="683" spans="2:16" x14ac:dyDescent="0.25">
      <c r="B683" t="s">
        <v>40</v>
      </c>
      <c r="C683" t="s">
        <v>131</v>
      </c>
      <c r="D683" t="s">
        <v>16</v>
      </c>
      <c r="E683" s="6">
        <v>1</v>
      </c>
      <c r="F683" t="s">
        <v>18</v>
      </c>
      <c r="G683"/>
      <c r="H683" s="33">
        <v>0.99259255555555548</v>
      </c>
      <c r="I683" s="31">
        <v>1</v>
      </c>
      <c r="J683" s="31">
        <v>1</v>
      </c>
      <c r="K683" s="32">
        <v>0.99755798534798545</v>
      </c>
      <c r="M683" s="36">
        <v>349</v>
      </c>
      <c r="O683" s="29">
        <v>2.5000000000000001E-2</v>
      </c>
      <c r="P683" s="37">
        <v>357.72499999999997</v>
      </c>
    </row>
    <row r="684" spans="2:16" x14ac:dyDescent="0.25">
      <c r="B684" t="s">
        <v>40</v>
      </c>
      <c r="C684" t="s">
        <v>131</v>
      </c>
      <c r="D684" t="s">
        <v>16</v>
      </c>
      <c r="E684" s="6">
        <v>1</v>
      </c>
      <c r="F684" t="s">
        <v>17</v>
      </c>
      <c r="G684"/>
      <c r="H684" s="33">
        <v>1</v>
      </c>
      <c r="I684" s="31">
        <v>1</v>
      </c>
      <c r="J684" s="31">
        <v>1</v>
      </c>
      <c r="K684" s="32">
        <v>1</v>
      </c>
      <c r="M684" s="36">
        <v>409</v>
      </c>
      <c r="O684" s="29">
        <v>2.5000000000000001E-2</v>
      </c>
      <c r="P684" s="37">
        <v>419.22499999999997</v>
      </c>
    </row>
    <row r="685" spans="2:16" x14ac:dyDescent="0.25">
      <c r="B685" t="s">
        <v>40</v>
      </c>
      <c r="C685" t="s">
        <v>155</v>
      </c>
      <c r="D685" t="s">
        <v>19</v>
      </c>
      <c r="E685" s="6">
        <v>1</v>
      </c>
      <c r="F685" t="s">
        <v>20</v>
      </c>
      <c r="G685"/>
      <c r="H685" s="33">
        <v>1</v>
      </c>
      <c r="I685" s="31">
        <v>1</v>
      </c>
      <c r="J685" s="31">
        <v>1</v>
      </c>
      <c r="K685" s="32">
        <v>1</v>
      </c>
      <c r="M685" s="36">
        <v>6109</v>
      </c>
      <c r="O685" s="29">
        <v>2.5000000000000001E-2</v>
      </c>
      <c r="P685" s="37">
        <v>6261.7249999999995</v>
      </c>
    </row>
    <row r="686" spans="2:16" x14ac:dyDescent="0.25">
      <c r="B686" t="s">
        <v>40</v>
      </c>
      <c r="C686" t="s">
        <v>155</v>
      </c>
      <c r="D686" t="s">
        <v>19</v>
      </c>
      <c r="E686" s="6">
        <v>1</v>
      </c>
      <c r="F686" t="s">
        <v>15</v>
      </c>
      <c r="G686"/>
      <c r="H686" s="33">
        <v>1</v>
      </c>
      <c r="I686" s="31">
        <v>1</v>
      </c>
      <c r="J686" s="31">
        <v>1</v>
      </c>
      <c r="K686" s="32">
        <v>1</v>
      </c>
      <c r="M686" s="36">
        <v>7639</v>
      </c>
      <c r="O686" s="29">
        <v>2.5000000000000001E-2</v>
      </c>
      <c r="P686" s="37">
        <v>7829.9749999999995</v>
      </c>
    </row>
    <row r="687" spans="2:16" x14ac:dyDescent="0.25">
      <c r="B687" t="s">
        <v>40</v>
      </c>
      <c r="C687" t="s">
        <v>155</v>
      </c>
      <c r="D687" t="s">
        <v>21</v>
      </c>
      <c r="E687" s="6">
        <v>1</v>
      </c>
      <c r="F687" t="s">
        <v>22</v>
      </c>
      <c r="G687"/>
      <c r="H687" s="33">
        <v>0.97666664999999997</v>
      </c>
      <c r="I687" s="31">
        <v>0.97096769999999988</v>
      </c>
      <c r="J687" s="31">
        <v>1</v>
      </c>
      <c r="K687" s="32">
        <v>0.98241756263736257</v>
      </c>
      <c r="M687" s="36">
        <v>8289</v>
      </c>
      <c r="O687" s="29">
        <v>2.5000000000000001E-2</v>
      </c>
      <c r="P687" s="37">
        <v>8496.2249999999985</v>
      </c>
    </row>
    <row r="688" spans="2:16" x14ac:dyDescent="0.25">
      <c r="B688" t="s">
        <v>40</v>
      </c>
      <c r="C688" t="s">
        <v>155</v>
      </c>
      <c r="D688" t="s">
        <v>21</v>
      </c>
      <c r="E688" s="6">
        <v>1</v>
      </c>
      <c r="F688" t="s">
        <v>23</v>
      </c>
      <c r="G688"/>
      <c r="H688" s="33">
        <v>1</v>
      </c>
      <c r="I688" s="31">
        <v>1</v>
      </c>
      <c r="J688" s="31">
        <v>1</v>
      </c>
      <c r="K688" s="32">
        <v>1</v>
      </c>
      <c r="M688" s="36">
        <v>10019</v>
      </c>
      <c r="O688" s="29">
        <v>2.5000000000000001E-2</v>
      </c>
      <c r="P688" s="37">
        <v>10269.474999999999</v>
      </c>
    </row>
    <row r="689" spans="2:16" x14ac:dyDescent="0.25">
      <c r="B689" t="s">
        <v>40</v>
      </c>
      <c r="C689" t="s">
        <v>155</v>
      </c>
      <c r="D689" t="s">
        <v>13</v>
      </c>
      <c r="E689" s="6">
        <v>0.96083788706739537</v>
      </c>
      <c r="F689" t="s">
        <v>14</v>
      </c>
      <c r="G689"/>
      <c r="H689" s="33">
        <v>0.97027027027027024</v>
      </c>
      <c r="I689" s="31">
        <v>0.96599824324324324</v>
      </c>
      <c r="J689" s="31">
        <v>0.98798797297297292</v>
      </c>
      <c r="K689" s="32">
        <v>0.97551683249183252</v>
      </c>
      <c r="M689" s="36">
        <v>349</v>
      </c>
      <c r="O689" s="30"/>
      <c r="P689" s="37" t="s">
        <v>10</v>
      </c>
    </row>
    <row r="690" spans="2:16" x14ac:dyDescent="0.25">
      <c r="B690" t="s">
        <v>40</v>
      </c>
      <c r="C690" t="s">
        <v>155</v>
      </c>
      <c r="D690" t="s">
        <v>13</v>
      </c>
      <c r="E690" s="6">
        <v>0.96083788706739537</v>
      </c>
      <c r="F690" t="s">
        <v>15</v>
      </c>
      <c r="G690"/>
      <c r="H690" s="33">
        <v>0.94305554166666672</v>
      </c>
      <c r="I690" s="31">
        <v>0.90725804166666668</v>
      </c>
      <c r="J690" s="31">
        <v>0.91898145833333322</v>
      </c>
      <c r="K690" s="32">
        <v>0.92156392078754568</v>
      </c>
      <c r="M690" s="36">
        <v>319</v>
      </c>
      <c r="O690" s="29">
        <v>5.8997050147492625E-2</v>
      </c>
      <c r="P690" s="37">
        <v>337.82005899705013</v>
      </c>
    </row>
    <row r="691" spans="2:16" x14ac:dyDescent="0.25">
      <c r="B691" t="s">
        <v>40</v>
      </c>
      <c r="C691" t="s">
        <v>155</v>
      </c>
      <c r="D691" t="s">
        <v>16</v>
      </c>
      <c r="E691" s="6">
        <v>1</v>
      </c>
      <c r="F691" t="s">
        <v>17</v>
      </c>
      <c r="G691"/>
      <c r="H691" s="33">
        <v>0.99444433333333337</v>
      </c>
      <c r="I691" s="31">
        <v>1</v>
      </c>
      <c r="J691" s="31">
        <v>1</v>
      </c>
      <c r="K691" s="32">
        <v>0.99816846153846173</v>
      </c>
      <c r="M691" s="36">
        <v>449</v>
      </c>
      <c r="O691" s="30"/>
      <c r="P691" s="37" t="s">
        <v>10</v>
      </c>
    </row>
    <row r="692" spans="2:16" x14ac:dyDescent="0.25">
      <c r="B692" t="s">
        <v>40</v>
      </c>
      <c r="C692" t="s">
        <v>155</v>
      </c>
      <c r="D692" t="s">
        <v>16</v>
      </c>
      <c r="E692" s="6">
        <v>1</v>
      </c>
      <c r="F692" t="s">
        <v>18</v>
      </c>
      <c r="G692"/>
      <c r="H692" s="33">
        <v>1</v>
      </c>
      <c r="I692" s="31">
        <v>1</v>
      </c>
      <c r="J692" s="31">
        <v>1</v>
      </c>
      <c r="K692" s="32">
        <v>1</v>
      </c>
      <c r="M692" s="36">
        <v>379</v>
      </c>
      <c r="O692" s="30"/>
      <c r="P692" s="37" t="s">
        <v>10</v>
      </c>
    </row>
    <row r="693" spans="2:16" x14ac:dyDescent="0.25">
      <c r="B693" t="s">
        <v>40</v>
      </c>
      <c r="C693" t="s">
        <v>188</v>
      </c>
      <c r="D693" t="s">
        <v>19</v>
      </c>
      <c r="E693" s="6">
        <v>0.9821428571428571</v>
      </c>
      <c r="F693" t="s">
        <v>20</v>
      </c>
      <c r="G693"/>
      <c r="H693" s="33">
        <v>0.91527775</v>
      </c>
      <c r="I693" s="31">
        <v>0.98924729166666669</v>
      </c>
      <c r="J693" s="31">
        <v>0.97916666666666663</v>
      </c>
      <c r="K693" s="32">
        <v>0.96004536858974365</v>
      </c>
      <c r="M693" s="36">
        <v>5679</v>
      </c>
      <c r="O693" s="29">
        <v>2.5000000000000001E-2</v>
      </c>
      <c r="P693" s="37">
        <v>5820.9749999999995</v>
      </c>
    </row>
    <row r="694" spans="2:16" x14ac:dyDescent="0.25">
      <c r="B694" t="s">
        <v>40</v>
      </c>
      <c r="C694" t="s">
        <v>188</v>
      </c>
      <c r="D694" t="s">
        <v>19</v>
      </c>
      <c r="E694" s="6">
        <v>0.9821428571428571</v>
      </c>
      <c r="F694" t="s">
        <v>15</v>
      </c>
      <c r="G694"/>
      <c r="H694" s="33">
        <v>1</v>
      </c>
      <c r="I694" s="31">
        <v>1</v>
      </c>
      <c r="J694" s="31">
        <v>1</v>
      </c>
      <c r="K694" s="32">
        <v>1</v>
      </c>
      <c r="M694" s="36">
        <v>7639</v>
      </c>
      <c r="O694" s="29">
        <v>2.5000000000000001E-2</v>
      </c>
      <c r="P694" s="37">
        <v>7829.9749999999995</v>
      </c>
    </row>
    <row r="695" spans="2:16" s="10" customFormat="1" x14ac:dyDescent="0.25">
      <c r="B695" t="s">
        <v>40</v>
      </c>
      <c r="C695" t="s">
        <v>188</v>
      </c>
      <c r="D695" t="s">
        <v>13</v>
      </c>
      <c r="E695" s="6">
        <v>0.94777777777777772</v>
      </c>
      <c r="F695" t="s">
        <v>56</v>
      </c>
      <c r="G695"/>
      <c r="H695" s="33">
        <v>0.79090909090909089</v>
      </c>
      <c r="I695" s="31">
        <v>0.90322572727272721</v>
      </c>
      <c r="J695" s="31">
        <v>0.9646464545454545</v>
      </c>
      <c r="K695" s="32">
        <v>0.88767748551448555</v>
      </c>
      <c r="L695"/>
      <c r="M695" s="36">
        <v>749</v>
      </c>
      <c r="N695"/>
      <c r="O695" s="30"/>
      <c r="P695" s="37" t="s">
        <v>10</v>
      </c>
    </row>
    <row r="696" spans="2:16" x14ac:dyDescent="0.25">
      <c r="B696" t="s">
        <v>40</v>
      </c>
      <c r="C696" t="s">
        <v>188</v>
      </c>
      <c r="D696" t="s">
        <v>13</v>
      </c>
      <c r="E696" s="6">
        <v>0.94777777777777772</v>
      </c>
      <c r="F696" t="s">
        <v>15</v>
      </c>
      <c r="G696"/>
      <c r="H696" s="33">
        <v>0.95925922222222226</v>
      </c>
      <c r="I696" s="31">
        <v>0.8422938888888889</v>
      </c>
      <c r="J696" s="31">
        <v>0.94753083333333321</v>
      </c>
      <c r="K696" s="32">
        <v>0.91214097680097694</v>
      </c>
      <c r="M696" s="36">
        <v>329</v>
      </c>
      <c r="O696" s="29">
        <v>2.5000000000000001E-2</v>
      </c>
      <c r="P696" s="37">
        <v>337.22499999999997</v>
      </c>
    </row>
    <row r="697" spans="2:16" x14ac:dyDescent="0.25">
      <c r="B697" t="s">
        <v>40</v>
      </c>
      <c r="C697" t="s">
        <v>188</v>
      </c>
      <c r="D697" t="s">
        <v>13</v>
      </c>
      <c r="E697" s="6">
        <v>0.94777777777777772</v>
      </c>
      <c r="F697" t="s">
        <v>14</v>
      </c>
      <c r="G697"/>
      <c r="H697" s="33">
        <v>0.76507933333333344</v>
      </c>
      <c r="I697" s="31">
        <v>0.80952380952380953</v>
      </c>
      <c r="J697" s="31">
        <v>0.93915342857142847</v>
      </c>
      <c r="K697" s="32">
        <v>0.83718971219256944</v>
      </c>
      <c r="M697" s="36">
        <v>369</v>
      </c>
      <c r="O697" s="30"/>
      <c r="P697" s="37" t="s">
        <v>10</v>
      </c>
    </row>
    <row r="698" spans="2:16" x14ac:dyDescent="0.25">
      <c r="B698" t="s">
        <v>40</v>
      </c>
      <c r="C698" t="s">
        <v>188</v>
      </c>
      <c r="D698" t="s">
        <v>51</v>
      </c>
      <c r="E698" s="6">
        <v>0.89814814814814825</v>
      </c>
      <c r="F698" t="s">
        <v>36</v>
      </c>
      <c r="G698"/>
      <c r="H698" s="33">
        <v>0.875</v>
      </c>
      <c r="I698" s="31">
        <v>0.875</v>
      </c>
      <c r="J698" s="31">
        <v>0.875</v>
      </c>
      <c r="K698" s="32">
        <v>0.875</v>
      </c>
      <c r="M698" s="36">
        <v>4124</v>
      </c>
      <c r="O698" s="30"/>
      <c r="P698" s="37" t="s">
        <v>10</v>
      </c>
    </row>
    <row r="699" spans="2:16" x14ac:dyDescent="0.25">
      <c r="B699" t="s">
        <v>40</v>
      </c>
      <c r="C699" t="s">
        <v>188</v>
      </c>
      <c r="D699" t="s">
        <v>51</v>
      </c>
      <c r="E699" s="6">
        <v>0.89814814814814825</v>
      </c>
      <c r="F699" t="s">
        <v>34</v>
      </c>
      <c r="G699"/>
      <c r="H699" s="33">
        <v>0.85714278571428582</v>
      </c>
      <c r="I699" s="31">
        <v>0.8571428571428571</v>
      </c>
      <c r="J699" s="31">
        <v>0.89682535714285716</v>
      </c>
      <c r="K699" s="32">
        <v>0.86738102825745689</v>
      </c>
      <c r="M699" s="36">
        <v>3395.4285714285716</v>
      </c>
      <c r="O699" s="30"/>
      <c r="P699" s="37" t="s">
        <v>10</v>
      </c>
    </row>
    <row r="700" spans="2:16" x14ac:dyDescent="0.25">
      <c r="B700" t="s">
        <v>40</v>
      </c>
      <c r="C700" t="s">
        <v>188</v>
      </c>
      <c r="D700" t="s">
        <v>51</v>
      </c>
      <c r="E700" s="6">
        <v>0.89814814814814825</v>
      </c>
      <c r="F700" t="s">
        <v>20</v>
      </c>
      <c r="G700"/>
      <c r="H700" s="33">
        <v>0.98333300000000001</v>
      </c>
      <c r="I700" s="31">
        <v>1</v>
      </c>
      <c r="J700" s="31">
        <v>1</v>
      </c>
      <c r="K700" s="32">
        <v>0.99450538461538462</v>
      </c>
      <c r="M700" s="36">
        <v>2819</v>
      </c>
      <c r="O700" s="30"/>
      <c r="P700" s="37" t="s">
        <v>10</v>
      </c>
    </row>
    <row r="701" spans="2:16" x14ac:dyDescent="0.25">
      <c r="B701" t="s">
        <v>40</v>
      </c>
      <c r="C701" t="s">
        <v>222</v>
      </c>
      <c r="D701" t="s">
        <v>19</v>
      </c>
      <c r="E701" s="6">
        <v>0.85353535353535359</v>
      </c>
      <c r="F701" t="s">
        <v>20</v>
      </c>
      <c r="G701"/>
      <c r="H701" s="33">
        <v>0.9185184999999999</v>
      </c>
      <c r="I701" s="31">
        <v>0.89784944444444448</v>
      </c>
      <c r="J701" s="31">
        <v>0.87654316666666665</v>
      </c>
      <c r="K701" s="32">
        <v>0.89852415140415154</v>
      </c>
      <c r="M701" s="36">
        <v>5499</v>
      </c>
      <c r="O701" s="30"/>
      <c r="P701" s="37" t="s">
        <v>10</v>
      </c>
    </row>
    <row r="702" spans="2:16" x14ac:dyDescent="0.25">
      <c r="B702" t="s">
        <v>40</v>
      </c>
      <c r="C702" t="s">
        <v>222</v>
      </c>
      <c r="D702" t="s">
        <v>19</v>
      </c>
      <c r="E702" s="6">
        <v>0.85353535353535359</v>
      </c>
      <c r="F702" t="s">
        <v>31</v>
      </c>
      <c r="G702"/>
      <c r="H702" s="33">
        <v>0.93333325</v>
      </c>
      <c r="I702" s="31">
        <v>0.75</v>
      </c>
      <c r="J702" s="31">
        <v>0.75</v>
      </c>
      <c r="K702" s="32">
        <v>0.81043953296703308</v>
      </c>
      <c r="M702" s="36">
        <v>7579</v>
      </c>
      <c r="O702" s="30"/>
      <c r="P702" s="37" t="s">
        <v>10</v>
      </c>
    </row>
    <row r="703" spans="2:16" x14ac:dyDescent="0.25">
      <c r="B703" t="s">
        <v>40</v>
      </c>
      <c r="C703" t="s">
        <v>222</v>
      </c>
      <c r="D703" t="s">
        <v>19</v>
      </c>
      <c r="E703" s="6">
        <v>0.85353535353535359</v>
      </c>
      <c r="F703" t="s">
        <v>15</v>
      </c>
      <c r="G703"/>
      <c r="H703" s="33" t="s">
        <v>10</v>
      </c>
      <c r="I703" s="31" t="s">
        <v>10</v>
      </c>
      <c r="J703" s="31" t="s">
        <v>10</v>
      </c>
      <c r="K703" s="32" t="s">
        <v>10</v>
      </c>
      <c r="M703" s="36" t="s">
        <v>10</v>
      </c>
      <c r="O703" s="30"/>
      <c r="P703" s="37" t="s">
        <v>10</v>
      </c>
    </row>
    <row r="704" spans="2:16" x14ac:dyDescent="0.25">
      <c r="B704" t="s">
        <v>40</v>
      </c>
      <c r="C704" t="s">
        <v>222</v>
      </c>
      <c r="D704" t="s">
        <v>13</v>
      </c>
      <c r="E704" s="6">
        <v>0.93661971830985913</v>
      </c>
      <c r="F704" t="s">
        <v>14</v>
      </c>
      <c r="G704"/>
      <c r="H704" s="33">
        <v>0.72345677777777773</v>
      </c>
      <c r="I704" s="31">
        <v>0.78853044444444442</v>
      </c>
      <c r="J704" s="31">
        <v>0.89300411111111111</v>
      </c>
      <c r="K704" s="32">
        <v>0.78901451037851034</v>
      </c>
      <c r="M704" s="36">
        <v>349</v>
      </c>
      <c r="O704" s="30"/>
      <c r="P704" s="37" t="s">
        <v>10</v>
      </c>
    </row>
    <row r="705" spans="2:16" x14ac:dyDescent="0.25">
      <c r="B705" t="s">
        <v>40</v>
      </c>
      <c r="C705" t="s">
        <v>222</v>
      </c>
      <c r="D705" t="s">
        <v>13</v>
      </c>
      <c r="E705" s="6">
        <v>0.93661971830985913</v>
      </c>
      <c r="F705" t="s">
        <v>15</v>
      </c>
      <c r="G705"/>
      <c r="H705" s="33">
        <v>0.95757575000000006</v>
      </c>
      <c r="I705" s="31">
        <v>0.95234602272727276</v>
      </c>
      <c r="J705" s="31">
        <v>0.96338381818181817</v>
      </c>
      <c r="K705" s="32">
        <v>0.95870432942057948</v>
      </c>
      <c r="M705" s="36">
        <v>339</v>
      </c>
      <c r="O705" s="30"/>
      <c r="P705" s="37" t="s">
        <v>10</v>
      </c>
    </row>
    <row r="706" spans="2:16" x14ac:dyDescent="0.25">
      <c r="B706" t="s">
        <v>40</v>
      </c>
      <c r="C706" t="s">
        <v>223</v>
      </c>
      <c r="D706" t="s">
        <v>19</v>
      </c>
      <c r="E706" s="6">
        <v>1</v>
      </c>
      <c r="F706" t="s">
        <v>20</v>
      </c>
      <c r="G706"/>
      <c r="H706" s="33">
        <v>0.97592588888888898</v>
      </c>
      <c r="I706" s="31">
        <v>1</v>
      </c>
      <c r="J706" s="31">
        <v>1</v>
      </c>
      <c r="K706" s="32">
        <v>0.99206347985347998</v>
      </c>
      <c r="M706" s="36">
        <v>4119</v>
      </c>
      <c r="O706" s="29">
        <v>2.5000000000000001E-2</v>
      </c>
      <c r="P706" s="37">
        <v>4221.9749999999995</v>
      </c>
    </row>
    <row r="707" spans="2:16" x14ac:dyDescent="0.25">
      <c r="B707" t="s">
        <v>40</v>
      </c>
      <c r="C707" t="s">
        <v>223</v>
      </c>
      <c r="D707" t="s">
        <v>19</v>
      </c>
      <c r="E707" s="6">
        <v>1</v>
      </c>
      <c r="F707" t="s">
        <v>15</v>
      </c>
      <c r="G707"/>
      <c r="H707" s="33">
        <v>1</v>
      </c>
      <c r="I707" s="31">
        <v>1</v>
      </c>
      <c r="J707" s="31">
        <v>1</v>
      </c>
      <c r="K707" s="32">
        <v>1</v>
      </c>
      <c r="M707" s="36">
        <v>4839</v>
      </c>
      <c r="O707" s="29">
        <v>2.5000000000000001E-2</v>
      </c>
      <c r="P707" s="37">
        <v>4959.9749999999995</v>
      </c>
    </row>
    <row r="708" spans="2:16" x14ac:dyDescent="0.25">
      <c r="B708" t="s">
        <v>40</v>
      </c>
      <c r="C708" t="s">
        <v>223</v>
      </c>
      <c r="D708" t="s">
        <v>21</v>
      </c>
      <c r="E708" s="6">
        <v>1</v>
      </c>
      <c r="F708" t="s">
        <v>17</v>
      </c>
      <c r="G708"/>
      <c r="H708" s="33">
        <v>1</v>
      </c>
      <c r="I708" s="31">
        <v>1</v>
      </c>
      <c r="J708" s="31">
        <v>1</v>
      </c>
      <c r="K708" s="32">
        <v>1</v>
      </c>
      <c r="M708" s="36">
        <v>8499</v>
      </c>
      <c r="O708" s="29">
        <v>2.5000000000000001E-2</v>
      </c>
      <c r="P708" s="37">
        <v>8711.4749999999985</v>
      </c>
    </row>
    <row r="709" spans="2:16" x14ac:dyDescent="0.25">
      <c r="B709" t="s">
        <v>40</v>
      </c>
      <c r="C709" t="s">
        <v>223</v>
      </c>
      <c r="D709" t="s">
        <v>13</v>
      </c>
      <c r="E709" s="6">
        <v>0.82854406130268199</v>
      </c>
      <c r="F709" t="s">
        <v>14</v>
      </c>
      <c r="G709"/>
      <c r="H709" s="33">
        <v>1</v>
      </c>
      <c r="I709" s="31">
        <v>1</v>
      </c>
      <c r="J709" s="31">
        <v>1</v>
      </c>
      <c r="K709" s="32">
        <v>1</v>
      </c>
      <c r="M709" s="36">
        <v>329</v>
      </c>
      <c r="O709" s="30"/>
      <c r="P709" s="37" t="s">
        <v>10</v>
      </c>
    </row>
    <row r="710" spans="2:16" x14ac:dyDescent="0.25">
      <c r="B710" t="s">
        <v>40</v>
      </c>
      <c r="C710" t="s">
        <v>223</v>
      </c>
      <c r="D710" t="s">
        <v>13</v>
      </c>
      <c r="E710" s="6">
        <v>0.82854406130268199</v>
      </c>
      <c r="F710" t="s">
        <v>15</v>
      </c>
      <c r="G710"/>
      <c r="H710" s="33">
        <v>0.79393938636363626</v>
      </c>
      <c r="I710" s="31">
        <v>0.76759529545454541</v>
      </c>
      <c r="J710" s="31">
        <v>0.81691918181818179</v>
      </c>
      <c r="K710" s="32">
        <v>0.79719192882117873</v>
      </c>
      <c r="M710" s="36">
        <v>299</v>
      </c>
      <c r="O710" s="30"/>
      <c r="P710" s="37" t="s">
        <v>10</v>
      </c>
    </row>
    <row r="711" spans="2:16" x14ac:dyDescent="0.25">
      <c r="B711" t="s">
        <v>40</v>
      </c>
      <c r="C711" t="s">
        <v>223</v>
      </c>
      <c r="D711" t="s">
        <v>13</v>
      </c>
      <c r="E711" s="6">
        <v>0.82854406130268199</v>
      </c>
      <c r="F711" t="s">
        <v>56</v>
      </c>
      <c r="G711"/>
      <c r="H711" s="33">
        <v>0.8611110833333333</v>
      </c>
      <c r="I711" s="31">
        <v>0.80107524999999991</v>
      </c>
      <c r="J711" s="31">
        <v>0.84259258333333331</v>
      </c>
      <c r="K711" s="32">
        <v>0.83150181593406591</v>
      </c>
      <c r="M711" s="36">
        <v>559</v>
      </c>
      <c r="O711" s="30"/>
      <c r="P711" s="37" t="s">
        <v>10</v>
      </c>
    </row>
    <row r="712" spans="2:16" x14ac:dyDescent="0.25">
      <c r="B712" t="s">
        <v>40</v>
      </c>
      <c r="C712" t="s">
        <v>223</v>
      </c>
      <c r="D712" t="s">
        <v>16</v>
      </c>
      <c r="E712" s="6">
        <v>1</v>
      </c>
      <c r="F712" t="s">
        <v>17</v>
      </c>
      <c r="G712"/>
      <c r="H712" s="33">
        <v>1</v>
      </c>
      <c r="I712" s="31">
        <v>1</v>
      </c>
      <c r="J712" s="31">
        <v>1</v>
      </c>
      <c r="K712" s="32">
        <v>1</v>
      </c>
      <c r="M712" s="36">
        <v>329</v>
      </c>
      <c r="O712" s="30"/>
      <c r="P712" s="37" t="s">
        <v>10</v>
      </c>
    </row>
    <row r="713" spans="2:16" x14ac:dyDescent="0.25">
      <c r="B713" t="s">
        <v>40</v>
      </c>
      <c r="C713" t="s">
        <v>223</v>
      </c>
      <c r="D713" t="s">
        <v>16</v>
      </c>
      <c r="E713" s="6">
        <v>1</v>
      </c>
      <c r="F713" t="s">
        <v>18</v>
      </c>
      <c r="G713"/>
      <c r="H713" s="33">
        <v>1</v>
      </c>
      <c r="I713" s="31">
        <v>1</v>
      </c>
      <c r="J713" s="31">
        <v>1</v>
      </c>
      <c r="K713" s="32">
        <v>1</v>
      </c>
      <c r="M713" s="36">
        <v>319</v>
      </c>
      <c r="O713" s="30"/>
      <c r="P713" s="37" t="s">
        <v>10</v>
      </c>
    </row>
    <row r="714" spans="2:16" x14ac:dyDescent="0.25">
      <c r="B714" t="s">
        <v>40</v>
      </c>
      <c r="C714" t="s">
        <v>224</v>
      </c>
      <c r="D714" t="s">
        <v>19</v>
      </c>
      <c r="E714" s="6">
        <v>1</v>
      </c>
      <c r="F714" t="s">
        <v>20</v>
      </c>
      <c r="G714"/>
      <c r="H714" s="33">
        <v>1</v>
      </c>
      <c r="I714" s="31">
        <v>1</v>
      </c>
      <c r="J714" s="31">
        <v>1</v>
      </c>
      <c r="K714" s="32">
        <v>1</v>
      </c>
      <c r="M714" s="36">
        <v>6189</v>
      </c>
      <c r="O714" s="29">
        <v>2.5000000000000001E-2</v>
      </c>
      <c r="P714" s="37">
        <v>6343.7249999999995</v>
      </c>
    </row>
    <row r="715" spans="2:16" x14ac:dyDescent="0.25">
      <c r="B715" t="s">
        <v>40</v>
      </c>
      <c r="C715" t="s">
        <v>224</v>
      </c>
      <c r="D715" t="s">
        <v>19</v>
      </c>
      <c r="E715" s="6">
        <v>1</v>
      </c>
      <c r="F715" t="s">
        <v>15</v>
      </c>
      <c r="G715"/>
      <c r="H715" s="33">
        <v>1</v>
      </c>
      <c r="I715" s="31">
        <v>1</v>
      </c>
      <c r="J715" s="31">
        <v>1</v>
      </c>
      <c r="K715" s="32">
        <v>1</v>
      </c>
      <c r="M715" s="36">
        <v>7159</v>
      </c>
      <c r="O715" s="29">
        <v>2.5000000000000001E-2</v>
      </c>
      <c r="P715" s="37">
        <v>7337.9749999999995</v>
      </c>
    </row>
    <row r="716" spans="2:16" x14ac:dyDescent="0.25">
      <c r="B716" t="s">
        <v>40</v>
      </c>
      <c r="C716" t="s">
        <v>224</v>
      </c>
      <c r="D716" t="s">
        <v>21</v>
      </c>
      <c r="E716" s="6">
        <v>1</v>
      </c>
      <c r="F716" t="s">
        <v>17</v>
      </c>
      <c r="G716"/>
      <c r="H716" s="33">
        <v>1</v>
      </c>
      <c r="I716" s="31">
        <v>1</v>
      </c>
      <c r="J716" s="31">
        <v>1</v>
      </c>
      <c r="K716" s="32">
        <v>1</v>
      </c>
      <c r="M716" s="36">
        <v>7629</v>
      </c>
      <c r="O716" s="29">
        <v>2.5000000000000001E-2</v>
      </c>
      <c r="P716" s="37">
        <v>7819.7249999999995</v>
      </c>
    </row>
    <row r="717" spans="2:16" x14ac:dyDescent="0.25">
      <c r="B717" t="s">
        <v>40</v>
      </c>
      <c r="C717" t="s">
        <v>224</v>
      </c>
      <c r="D717" t="s">
        <v>21</v>
      </c>
      <c r="E717" s="6">
        <v>1</v>
      </c>
      <c r="F717" t="s">
        <v>18</v>
      </c>
      <c r="G717"/>
      <c r="H717" s="33">
        <v>1</v>
      </c>
      <c r="I717" s="31">
        <v>1</v>
      </c>
      <c r="J717" s="31">
        <v>1</v>
      </c>
      <c r="K717" s="32">
        <v>1</v>
      </c>
      <c r="M717" s="36">
        <v>8329</v>
      </c>
      <c r="O717" s="29">
        <v>2.5000000000000001E-2</v>
      </c>
      <c r="P717" s="37">
        <v>8537.2249999999985</v>
      </c>
    </row>
    <row r="718" spans="2:16" x14ac:dyDescent="0.25">
      <c r="B718" t="s">
        <v>40</v>
      </c>
      <c r="C718" t="s">
        <v>224</v>
      </c>
      <c r="D718" t="s">
        <v>13</v>
      </c>
      <c r="E718" s="6">
        <v>0.88796296296296295</v>
      </c>
      <c r="F718" t="s">
        <v>14</v>
      </c>
      <c r="G718"/>
      <c r="H718" s="33">
        <v>0.89333320000000005</v>
      </c>
      <c r="I718" s="31">
        <v>0.93548380000000009</v>
      </c>
      <c r="J718" s="31">
        <v>0.87777759999999994</v>
      </c>
      <c r="K718" s="32">
        <v>0.90558995384615382</v>
      </c>
      <c r="M718" s="36">
        <v>359</v>
      </c>
      <c r="O718" s="30"/>
      <c r="P718" s="37" t="s">
        <v>10</v>
      </c>
    </row>
    <row r="719" spans="2:16" x14ac:dyDescent="0.25">
      <c r="B719" t="s">
        <v>40</v>
      </c>
      <c r="C719" t="s">
        <v>224</v>
      </c>
      <c r="D719" t="s">
        <v>13</v>
      </c>
      <c r="E719" s="6">
        <v>0.88796296296296295</v>
      </c>
      <c r="F719" t="s">
        <v>15</v>
      </c>
      <c r="G719"/>
      <c r="H719" s="33">
        <v>0.93757574545454536</v>
      </c>
      <c r="I719" s="31">
        <v>0.91612901818181813</v>
      </c>
      <c r="J719" s="31">
        <v>0.88888887272727279</v>
      </c>
      <c r="K719" s="32">
        <v>0.91488510609390605</v>
      </c>
      <c r="M719" s="36">
        <v>329</v>
      </c>
      <c r="O719" s="30"/>
      <c r="P719" s="37" t="s">
        <v>10</v>
      </c>
    </row>
    <row r="720" spans="2:16" x14ac:dyDescent="0.25">
      <c r="B720" t="s">
        <v>40</v>
      </c>
      <c r="C720" t="s">
        <v>224</v>
      </c>
      <c r="D720" t="s">
        <v>24</v>
      </c>
      <c r="E720" s="6">
        <v>0.84210526315789469</v>
      </c>
      <c r="F720" t="s">
        <v>25</v>
      </c>
      <c r="G720"/>
      <c r="H720" s="33">
        <v>0.84210526315789469</v>
      </c>
      <c r="I720" s="31">
        <v>0.84210526315789469</v>
      </c>
      <c r="J720" s="31">
        <v>0.84210526315789469</v>
      </c>
      <c r="K720" s="32">
        <v>0.84210526315789469</v>
      </c>
      <c r="M720" s="36">
        <v>3289</v>
      </c>
      <c r="O720" s="30"/>
      <c r="P720" s="37" t="s">
        <v>10</v>
      </c>
    </row>
    <row r="721" spans="2:16" x14ac:dyDescent="0.25">
      <c r="B721" t="s">
        <v>93</v>
      </c>
      <c r="C721" t="s">
        <v>94</v>
      </c>
      <c r="D721" t="s">
        <v>19</v>
      </c>
      <c r="E721" s="6">
        <v>0.90522875816993464</v>
      </c>
      <c r="F721" t="s">
        <v>20</v>
      </c>
      <c r="G721"/>
      <c r="H721" s="33">
        <v>0.9753085925925925</v>
      </c>
      <c r="I721" s="31">
        <v>0.90561525925925934</v>
      </c>
      <c r="J721" s="31">
        <v>0.88065840740740742</v>
      </c>
      <c r="K721" s="32">
        <v>0.91829905657305677</v>
      </c>
      <c r="M721" s="36">
        <v>4413.347826086957</v>
      </c>
      <c r="O721" s="29">
        <v>8.9636210013546991E-2</v>
      </c>
      <c r="P721" s="37">
        <v>4808.9435986889184</v>
      </c>
    </row>
    <row r="722" spans="2:16" x14ac:dyDescent="0.25">
      <c r="B722" t="s">
        <v>93</v>
      </c>
      <c r="C722" t="s">
        <v>94</v>
      </c>
      <c r="D722" t="s">
        <v>19</v>
      </c>
      <c r="E722" s="6">
        <v>0.90522875816993464</v>
      </c>
      <c r="F722" t="s">
        <v>49</v>
      </c>
      <c r="G722"/>
      <c r="H722" s="33">
        <v>1</v>
      </c>
      <c r="I722" s="31">
        <v>0.93087557142857147</v>
      </c>
      <c r="J722" s="31">
        <v>1</v>
      </c>
      <c r="K722" s="32">
        <v>0.97645211773940344</v>
      </c>
      <c r="M722" s="36">
        <v>4691.8571428571431</v>
      </c>
      <c r="O722" s="29">
        <v>9.5757275405412734E-2</v>
      </c>
      <c r="P722" s="37">
        <v>5141.1365994485677</v>
      </c>
    </row>
    <row r="723" spans="2:16" x14ac:dyDescent="0.25">
      <c r="B723" t="s">
        <v>93</v>
      </c>
      <c r="C723" t="s">
        <v>94</v>
      </c>
      <c r="D723" t="s">
        <v>64</v>
      </c>
      <c r="E723" s="6">
        <v>0.90522875816993464</v>
      </c>
      <c r="F723" t="s">
        <v>20</v>
      </c>
      <c r="G723"/>
      <c r="H723" s="33">
        <v>0.9753085925925925</v>
      </c>
      <c r="I723" s="31">
        <v>0.90561525925925934</v>
      </c>
      <c r="J723" s="31">
        <v>0.88065840740740742</v>
      </c>
      <c r="K723" s="32">
        <v>0.91829905657305677</v>
      </c>
      <c r="M723" s="36">
        <v>3036.5</v>
      </c>
      <c r="O723" s="29">
        <v>0.01</v>
      </c>
      <c r="P723" s="37">
        <v>3066.8650000000002</v>
      </c>
    </row>
    <row r="724" spans="2:16" x14ac:dyDescent="0.25">
      <c r="B724" t="s">
        <v>93</v>
      </c>
      <c r="C724" t="s">
        <v>94</v>
      </c>
      <c r="D724" t="s">
        <v>13</v>
      </c>
      <c r="E724" s="6">
        <v>0.98765432098765438</v>
      </c>
      <c r="F724" t="s">
        <v>20</v>
      </c>
      <c r="G724"/>
      <c r="H724" s="33">
        <v>0.86078426470588243</v>
      </c>
      <c r="I724" s="31">
        <v>0.90796961764705886</v>
      </c>
      <c r="J724" s="31">
        <v>0.98366011764705896</v>
      </c>
      <c r="K724" s="32">
        <v>0.90926333128636061</v>
      </c>
      <c r="M724" s="36">
        <v>332.52941176470586</v>
      </c>
      <c r="O724" s="29">
        <v>2.5000000000000001E-2</v>
      </c>
      <c r="P724" s="37">
        <v>340.84264705882345</v>
      </c>
    </row>
    <row r="725" spans="2:16" x14ac:dyDescent="0.25">
      <c r="B725" t="s">
        <v>93</v>
      </c>
      <c r="C725" t="s">
        <v>94</v>
      </c>
      <c r="D725" t="s">
        <v>13</v>
      </c>
      <c r="E725" s="6">
        <v>0.98765432098765438</v>
      </c>
      <c r="F725" t="s">
        <v>49</v>
      </c>
      <c r="G725"/>
      <c r="H725" s="33">
        <v>0.86458325000000003</v>
      </c>
      <c r="I725" s="31">
        <v>0.99798381250000001</v>
      </c>
      <c r="J725" s="31">
        <v>1</v>
      </c>
      <c r="K725" s="32">
        <v>0.95467028228021977</v>
      </c>
      <c r="M725" s="36">
        <v>309</v>
      </c>
      <c r="O725" s="29">
        <v>2.5000000000000001E-2</v>
      </c>
      <c r="P725" s="37">
        <v>316.72499999999997</v>
      </c>
    </row>
    <row r="726" spans="2:16" x14ac:dyDescent="0.25">
      <c r="B726" t="s">
        <v>93</v>
      </c>
      <c r="C726" t="s">
        <v>94</v>
      </c>
      <c r="D726" t="s">
        <v>13</v>
      </c>
      <c r="E726" s="6">
        <v>0.98765432098765438</v>
      </c>
      <c r="F726" t="s">
        <v>95</v>
      </c>
      <c r="G726"/>
      <c r="H726" s="33">
        <v>0.61666650000000001</v>
      </c>
      <c r="I726" s="31">
        <v>0.89516099999999998</v>
      </c>
      <c r="J726" s="31">
        <v>0.97222200000000003</v>
      </c>
      <c r="K726" s="32">
        <v>0.83074514835164837</v>
      </c>
      <c r="M726" s="36">
        <v>366.5</v>
      </c>
      <c r="O726" s="30"/>
      <c r="P726" s="37" t="s">
        <v>10</v>
      </c>
    </row>
    <row r="727" spans="2:16" x14ac:dyDescent="0.25">
      <c r="B727" t="s">
        <v>93</v>
      </c>
      <c r="C727" t="s">
        <v>118</v>
      </c>
      <c r="D727" t="s">
        <v>19</v>
      </c>
      <c r="E727" s="6">
        <v>0.90350877192982459</v>
      </c>
      <c r="F727" t="s">
        <v>20</v>
      </c>
      <c r="G727"/>
      <c r="H727" s="33">
        <v>0.84444426666666672</v>
      </c>
      <c r="I727" s="31">
        <v>0.83870959999999994</v>
      </c>
      <c r="J727" s="31">
        <v>0.87777773333333331</v>
      </c>
      <c r="K727" s="32">
        <v>0.8565057098901101</v>
      </c>
      <c r="M727" s="36">
        <v>5452.333333333333</v>
      </c>
      <c r="O727" s="30"/>
      <c r="P727" s="37" t="s">
        <v>10</v>
      </c>
    </row>
    <row r="728" spans="2:16" x14ac:dyDescent="0.25">
      <c r="B728" t="s">
        <v>93</v>
      </c>
      <c r="C728" t="s">
        <v>118</v>
      </c>
      <c r="D728" t="s">
        <v>19</v>
      </c>
      <c r="E728" s="6">
        <v>0.90350877192982459</v>
      </c>
      <c r="F728" t="s">
        <v>49</v>
      </c>
      <c r="G728"/>
      <c r="H728" s="33">
        <v>1</v>
      </c>
      <c r="I728" s="31">
        <v>1</v>
      </c>
      <c r="J728" s="31">
        <v>1</v>
      </c>
      <c r="K728" s="32">
        <v>1</v>
      </c>
      <c r="M728" s="36">
        <v>5854</v>
      </c>
      <c r="O728" s="30"/>
      <c r="P728" s="37" t="s">
        <v>10</v>
      </c>
    </row>
    <row r="729" spans="2:16" x14ac:dyDescent="0.25">
      <c r="B729" t="s">
        <v>93</v>
      </c>
      <c r="C729" t="s">
        <v>118</v>
      </c>
      <c r="D729" t="s">
        <v>21</v>
      </c>
      <c r="E729" s="6">
        <v>0.8</v>
      </c>
      <c r="F729" t="s">
        <v>37</v>
      </c>
      <c r="G729"/>
      <c r="H729" s="33">
        <v>0.5944444166666667</v>
      </c>
      <c r="I729" s="31">
        <v>0.59677416666666672</v>
      </c>
      <c r="J729" s="31">
        <v>0.75</v>
      </c>
      <c r="K729" s="32">
        <v>0.65129795787545797</v>
      </c>
      <c r="M729" s="36">
        <v>7190.666666666667</v>
      </c>
      <c r="O729" s="29">
        <v>-0.05</v>
      </c>
      <c r="P729" s="37">
        <v>6831.1333333333332</v>
      </c>
    </row>
    <row r="730" spans="2:16" x14ac:dyDescent="0.25">
      <c r="B730" t="s">
        <v>93</v>
      </c>
      <c r="C730" t="s">
        <v>118</v>
      </c>
      <c r="D730" t="s">
        <v>21</v>
      </c>
      <c r="E730" s="6">
        <v>0.8</v>
      </c>
      <c r="F730" t="s">
        <v>50</v>
      </c>
      <c r="G730"/>
      <c r="H730" s="33">
        <v>1</v>
      </c>
      <c r="I730" s="31">
        <v>1</v>
      </c>
      <c r="J730" s="31">
        <v>1</v>
      </c>
      <c r="K730" s="32">
        <v>1</v>
      </c>
      <c r="M730" s="36">
        <v>8155.666666666667</v>
      </c>
      <c r="O730" s="30"/>
      <c r="P730" s="37" t="s">
        <v>10</v>
      </c>
    </row>
    <row r="731" spans="2:16" x14ac:dyDescent="0.25">
      <c r="B731" t="s">
        <v>93</v>
      </c>
      <c r="C731" t="s">
        <v>118</v>
      </c>
      <c r="D731" t="s">
        <v>13</v>
      </c>
      <c r="E731" s="6">
        <v>0.92528735632183901</v>
      </c>
      <c r="F731" t="s">
        <v>20</v>
      </c>
      <c r="G731"/>
      <c r="H731" s="33">
        <v>0.92254900000000006</v>
      </c>
      <c r="I731" s="31">
        <v>0.97438320588235305</v>
      </c>
      <c r="J731" s="31">
        <v>0.96568620588235299</v>
      </c>
      <c r="K731" s="32">
        <v>0.95435759502262441</v>
      </c>
      <c r="M731" s="36">
        <v>376.05882352941177</v>
      </c>
      <c r="O731" s="29">
        <v>2.5000000000000001E-2</v>
      </c>
      <c r="P731" s="37">
        <v>385.46029411764704</v>
      </c>
    </row>
    <row r="732" spans="2:16" x14ac:dyDescent="0.25">
      <c r="B732" t="s">
        <v>93</v>
      </c>
      <c r="C732" t="s">
        <v>118</v>
      </c>
      <c r="D732" t="s">
        <v>13</v>
      </c>
      <c r="E732" s="6">
        <v>0.92528735632183901</v>
      </c>
      <c r="F732" t="s">
        <v>49</v>
      </c>
      <c r="G732"/>
      <c r="H732" s="33">
        <v>0.85555550000000002</v>
      </c>
      <c r="I732" s="31">
        <v>0.88709670833333332</v>
      </c>
      <c r="J732" s="31">
        <v>0.86805549999999998</v>
      </c>
      <c r="K732" s="32">
        <v>0.86733549954212441</v>
      </c>
      <c r="M732" s="36">
        <v>309</v>
      </c>
      <c r="O732" s="30"/>
      <c r="P732" s="37" t="s">
        <v>10</v>
      </c>
    </row>
    <row r="733" spans="2:16" x14ac:dyDescent="0.25">
      <c r="B733" t="s">
        <v>93</v>
      </c>
      <c r="C733" t="s">
        <v>118</v>
      </c>
      <c r="D733" t="s">
        <v>51</v>
      </c>
      <c r="E733" s="6">
        <v>0.68181818181818177</v>
      </c>
      <c r="F733" t="s">
        <v>34</v>
      </c>
      <c r="G733"/>
      <c r="H733" s="33">
        <v>0.5629629444444445</v>
      </c>
      <c r="I733" s="31">
        <v>0.64874549999999997</v>
      </c>
      <c r="J733" s="31">
        <v>0.66666666666666663</v>
      </c>
      <c r="K733" s="32">
        <v>0.6263736135531135</v>
      </c>
      <c r="M733" s="36">
        <v>3295.6666666666665</v>
      </c>
      <c r="O733" s="30"/>
      <c r="P733" s="37" t="s">
        <v>10</v>
      </c>
    </row>
    <row r="734" spans="2:16" x14ac:dyDescent="0.25">
      <c r="B734" t="s">
        <v>93</v>
      </c>
      <c r="C734" t="s">
        <v>118</v>
      </c>
      <c r="D734" t="s">
        <v>51</v>
      </c>
      <c r="E734" s="6">
        <v>0.68181818181818177</v>
      </c>
      <c r="F734" t="s">
        <v>20</v>
      </c>
      <c r="G734"/>
      <c r="H734" s="33">
        <v>0.66666650000000005</v>
      </c>
      <c r="I734" s="31">
        <v>0.75</v>
      </c>
      <c r="J734" s="31">
        <v>0.75</v>
      </c>
      <c r="K734" s="32">
        <v>0.72252741758241756</v>
      </c>
      <c r="M734" s="36">
        <v>2819</v>
      </c>
      <c r="O734" s="30"/>
      <c r="P734" s="37" t="s">
        <v>10</v>
      </c>
    </row>
    <row r="735" spans="2:16" x14ac:dyDescent="0.25">
      <c r="B735" t="s">
        <v>93</v>
      </c>
      <c r="C735" t="s">
        <v>135</v>
      </c>
      <c r="D735" t="s">
        <v>19</v>
      </c>
      <c r="E735" s="6">
        <v>0.99122807017543857</v>
      </c>
      <c r="F735" t="s">
        <v>20</v>
      </c>
      <c r="G735"/>
      <c r="H735" s="33">
        <v>1</v>
      </c>
      <c r="I735" s="31">
        <v>0.95483866666666672</v>
      </c>
      <c r="J735" s="31">
        <v>1</v>
      </c>
      <c r="K735" s="32">
        <v>0.98461536996336996</v>
      </c>
      <c r="M735" s="36">
        <v>5910.333333333333</v>
      </c>
      <c r="O735" s="29">
        <v>0.05</v>
      </c>
      <c r="P735" s="37">
        <v>6205.85</v>
      </c>
    </row>
    <row r="736" spans="2:16" x14ac:dyDescent="0.25">
      <c r="B736" t="s">
        <v>93</v>
      </c>
      <c r="C736" t="s">
        <v>135</v>
      </c>
      <c r="D736" t="s">
        <v>19</v>
      </c>
      <c r="E736" s="6">
        <v>0.99122807017543857</v>
      </c>
      <c r="F736" t="s">
        <v>49</v>
      </c>
      <c r="G736"/>
      <c r="H736" s="33">
        <v>0.81666649999999996</v>
      </c>
      <c r="I736" s="31">
        <v>0.75</v>
      </c>
      <c r="J736" s="31">
        <v>0.95833325000000003</v>
      </c>
      <c r="K736" s="32">
        <v>0.84364541208791211</v>
      </c>
      <c r="M736" s="36">
        <v>6251.5</v>
      </c>
      <c r="O736" s="30"/>
      <c r="P736" s="37" t="s">
        <v>10</v>
      </c>
    </row>
    <row r="737" spans="2:16" x14ac:dyDescent="0.25">
      <c r="B737" t="s">
        <v>93</v>
      </c>
      <c r="C737" t="s">
        <v>135</v>
      </c>
      <c r="D737" t="s">
        <v>21</v>
      </c>
      <c r="E737" s="6">
        <v>1</v>
      </c>
      <c r="F737" t="s">
        <v>37</v>
      </c>
      <c r="G737"/>
      <c r="H737" s="33">
        <v>0.9694444166666667</v>
      </c>
      <c r="I737" s="31">
        <v>1</v>
      </c>
      <c r="J737" s="31">
        <v>1</v>
      </c>
      <c r="K737" s="32">
        <v>0.98992673076923088</v>
      </c>
      <c r="M737" s="36">
        <v>7455.666666666667</v>
      </c>
      <c r="O737" s="29">
        <v>2.5000000000000001E-2</v>
      </c>
      <c r="P737" s="37">
        <v>7642.0583333333334</v>
      </c>
    </row>
    <row r="738" spans="2:16" x14ac:dyDescent="0.25">
      <c r="B738" t="s">
        <v>93</v>
      </c>
      <c r="C738" t="s">
        <v>135</v>
      </c>
      <c r="D738" t="s">
        <v>21</v>
      </c>
      <c r="E738" s="6">
        <v>1</v>
      </c>
      <c r="F738" t="s">
        <v>50</v>
      </c>
      <c r="G738"/>
      <c r="H738" s="33">
        <v>0.67777766666666661</v>
      </c>
      <c r="I738" s="31">
        <v>1</v>
      </c>
      <c r="J738" s="31">
        <v>1</v>
      </c>
      <c r="K738" s="32">
        <v>0.89377285714285704</v>
      </c>
      <c r="M738" s="36">
        <v>8205.6666666666661</v>
      </c>
      <c r="O738" s="30"/>
      <c r="P738" s="37" t="s">
        <v>10</v>
      </c>
    </row>
    <row r="739" spans="2:16" x14ac:dyDescent="0.25">
      <c r="B739" t="s">
        <v>93</v>
      </c>
      <c r="C739" t="s">
        <v>135</v>
      </c>
      <c r="D739" t="s">
        <v>13</v>
      </c>
      <c r="E739" s="6">
        <v>0.95370370370370372</v>
      </c>
      <c r="F739" t="s">
        <v>35</v>
      </c>
      <c r="G739"/>
      <c r="H739" s="33">
        <v>1</v>
      </c>
      <c r="I739" s="31">
        <v>1</v>
      </c>
      <c r="J739" s="31">
        <v>1</v>
      </c>
      <c r="K739" s="32">
        <v>1</v>
      </c>
      <c r="M739" s="36">
        <v>449</v>
      </c>
      <c r="O739" s="29">
        <v>2.5000000000000001E-2</v>
      </c>
      <c r="P739" s="37">
        <v>460.22499999999997</v>
      </c>
    </row>
    <row r="740" spans="2:16" x14ac:dyDescent="0.25">
      <c r="B740" t="s">
        <v>93</v>
      </c>
      <c r="C740" t="s">
        <v>135</v>
      </c>
      <c r="D740" t="s">
        <v>13</v>
      </c>
      <c r="E740" s="6">
        <v>0.95370370370370372</v>
      </c>
      <c r="F740" t="s">
        <v>20</v>
      </c>
      <c r="G740"/>
      <c r="H740" s="33">
        <v>0.96363630303030312</v>
      </c>
      <c r="I740" s="31">
        <v>0.9648093333333333</v>
      </c>
      <c r="J740" s="31">
        <v>0.96296290909090909</v>
      </c>
      <c r="K740" s="32">
        <v>0.96646824442224444</v>
      </c>
      <c r="M740" s="36">
        <v>415.66666666666669</v>
      </c>
      <c r="O740" s="29">
        <v>2.5000000000000001E-2</v>
      </c>
      <c r="P740" s="37">
        <v>426.05833333333334</v>
      </c>
    </row>
    <row r="741" spans="2:16" x14ac:dyDescent="0.25">
      <c r="B741" t="s">
        <v>93</v>
      </c>
      <c r="C741" t="s">
        <v>135</v>
      </c>
      <c r="D741" t="s">
        <v>13</v>
      </c>
      <c r="E741" s="6">
        <v>0.95370370370370372</v>
      </c>
      <c r="F741" t="s">
        <v>49</v>
      </c>
      <c r="G741"/>
      <c r="H741" s="33">
        <v>0.9016666000000001</v>
      </c>
      <c r="I741" s="31">
        <v>0.92741930000000006</v>
      </c>
      <c r="J741" s="31">
        <v>0.93611105000000006</v>
      </c>
      <c r="K741" s="32">
        <v>0.92350687142857146</v>
      </c>
      <c r="M741" s="36">
        <v>363</v>
      </c>
      <c r="O741" s="29">
        <v>2.5000000000000001E-2</v>
      </c>
      <c r="P741" s="37">
        <v>372.07499999999999</v>
      </c>
    </row>
    <row r="742" spans="2:16" x14ac:dyDescent="0.25">
      <c r="B742" t="s">
        <v>93</v>
      </c>
      <c r="C742" t="s">
        <v>135</v>
      </c>
      <c r="D742" t="s">
        <v>51</v>
      </c>
      <c r="E742" s="6">
        <v>0.625</v>
      </c>
      <c r="F742" t="s">
        <v>34</v>
      </c>
      <c r="G742"/>
      <c r="H742" s="33">
        <v>0.71666659999999993</v>
      </c>
      <c r="I742" s="31">
        <v>0.65</v>
      </c>
      <c r="J742" s="31">
        <v>0.65</v>
      </c>
      <c r="K742" s="32">
        <v>0.67197800000000008</v>
      </c>
      <c r="M742" s="36">
        <v>4726.5</v>
      </c>
      <c r="O742" s="29">
        <v>-0.05</v>
      </c>
      <c r="P742" s="37">
        <v>4490.1750000000002</v>
      </c>
    </row>
    <row r="743" spans="2:16" x14ac:dyDescent="0.25">
      <c r="B743" t="s">
        <v>93</v>
      </c>
      <c r="C743" t="s">
        <v>135</v>
      </c>
      <c r="D743" t="s">
        <v>51</v>
      </c>
      <c r="E743" s="6">
        <v>0.625</v>
      </c>
      <c r="F743" t="s">
        <v>20</v>
      </c>
      <c r="G743"/>
      <c r="H743" s="33">
        <v>0.61666650000000001</v>
      </c>
      <c r="I743" s="31">
        <v>0.5</v>
      </c>
      <c r="J743" s="31">
        <v>0.5</v>
      </c>
      <c r="K743" s="32">
        <v>0.53846148351648349</v>
      </c>
      <c r="M743" s="36">
        <v>4051.5</v>
      </c>
      <c r="O743" s="30"/>
      <c r="P743" s="37" t="s">
        <v>10</v>
      </c>
    </row>
    <row r="744" spans="2:16" x14ac:dyDescent="0.25">
      <c r="B744" t="s">
        <v>93</v>
      </c>
      <c r="C744" t="s">
        <v>152</v>
      </c>
      <c r="D744" t="s">
        <v>19</v>
      </c>
      <c r="E744" s="6">
        <v>1</v>
      </c>
      <c r="F744" t="s">
        <v>20</v>
      </c>
      <c r="G744"/>
      <c r="H744" s="33">
        <v>0.77555553333333338</v>
      </c>
      <c r="I744" s="31">
        <v>0.91612893333333334</v>
      </c>
      <c r="J744" s="31">
        <v>1</v>
      </c>
      <c r="K744" s="32">
        <v>0.89743585641025647</v>
      </c>
      <c r="M744" s="36">
        <v>5732.333333333333</v>
      </c>
      <c r="O744" s="30"/>
      <c r="P744" s="37" t="s">
        <v>10</v>
      </c>
    </row>
    <row r="745" spans="2:16" x14ac:dyDescent="0.25">
      <c r="B745" t="s">
        <v>93</v>
      </c>
      <c r="C745" t="s">
        <v>152</v>
      </c>
      <c r="D745" t="s">
        <v>19</v>
      </c>
      <c r="E745" s="6">
        <v>1</v>
      </c>
      <c r="F745" t="s">
        <v>49</v>
      </c>
      <c r="G745"/>
      <c r="H745" s="33">
        <v>1</v>
      </c>
      <c r="I745" s="31">
        <v>1</v>
      </c>
      <c r="J745" s="31">
        <v>1</v>
      </c>
      <c r="K745" s="32">
        <v>1</v>
      </c>
      <c r="M745" s="36">
        <v>6149</v>
      </c>
      <c r="O745" s="29">
        <v>2.5000000000000001E-2</v>
      </c>
      <c r="P745" s="37">
        <v>6302.7249999999995</v>
      </c>
    </row>
    <row r="746" spans="2:16" x14ac:dyDescent="0.25">
      <c r="B746" t="s">
        <v>93</v>
      </c>
      <c r="C746" t="s">
        <v>152</v>
      </c>
      <c r="D746" t="s">
        <v>19</v>
      </c>
      <c r="E746" s="6">
        <v>1</v>
      </c>
      <c r="F746" t="s">
        <v>63</v>
      </c>
      <c r="G746"/>
      <c r="H746" s="33">
        <v>1</v>
      </c>
      <c r="I746" s="31">
        <v>1</v>
      </c>
      <c r="J746" s="31">
        <v>1</v>
      </c>
      <c r="K746" s="32">
        <v>1</v>
      </c>
      <c r="M746" s="36">
        <v>6749</v>
      </c>
      <c r="O746" s="29">
        <v>2.5000000000000001E-2</v>
      </c>
      <c r="P746" s="37">
        <v>6917.7249999999995</v>
      </c>
    </row>
    <row r="747" spans="2:16" x14ac:dyDescent="0.25">
      <c r="B747" t="s">
        <v>93</v>
      </c>
      <c r="C747" t="s">
        <v>152</v>
      </c>
      <c r="D747" t="s">
        <v>19</v>
      </c>
      <c r="E747" s="6">
        <v>1</v>
      </c>
      <c r="F747" t="s">
        <v>65</v>
      </c>
      <c r="G747"/>
      <c r="H747" s="33">
        <v>1</v>
      </c>
      <c r="I747" s="31">
        <v>1</v>
      </c>
      <c r="J747" s="31">
        <v>1</v>
      </c>
      <c r="K747" s="32">
        <v>1</v>
      </c>
      <c r="M747" s="36">
        <v>5759</v>
      </c>
      <c r="O747" s="29">
        <v>2.5000000000000001E-2</v>
      </c>
      <c r="P747" s="37">
        <v>5902.9749999999995</v>
      </c>
    </row>
    <row r="748" spans="2:16" x14ac:dyDescent="0.25">
      <c r="B748" t="s">
        <v>93</v>
      </c>
      <c r="C748" t="s">
        <v>152</v>
      </c>
      <c r="D748" t="s">
        <v>21</v>
      </c>
      <c r="E748" s="6">
        <v>1</v>
      </c>
      <c r="F748" t="s">
        <v>37</v>
      </c>
      <c r="G748"/>
      <c r="H748" s="33">
        <v>1</v>
      </c>
      <c r="I748" s="31">
        <v>1</v>
      </c>
      <c r="J748" s="31">
        <v>1</v>
      </c>
      <c r="K748" s="32">
        <v>1</v>
      </c>
      <c r="M748" s="36">
        <v>7999</v>
      </c>
      <c r="O748" s="29">
        <v>0.05</v>
      </c>
      <c r="P748" s="37">
        <v>8398.9500000000007</v>
      </c>
    </row>
    <row r="749" spans="2:16" x14ac:dyDescent="0.25">
      <c r="B749" t="s">
        <v>93</v>
      </c>
      <c r="C749" t="s">
        <v>152</v>
      </c>
      <c r="D749" t="s">
        <v>21</v>
      </c>
      <c r="E749" s="6">
        <v>1</v>
      </c>
      <c r="F749" t="s">
        <v>50</v>
      </c>
      <c r="G749"/>
      <c r="H749" s="33">
        <v>0.66666666666666663</v>
      </c>
      <c r="I749" s="31">
        <v>0.89247299999999996</v>
      </c>
      <c r="J749" s="31">
        <v>1</v>
      </c>
      <c r="K749" s="32">
        <v>0.84392409890109887</v>
      </c>
      <c r="M749" s="36">
        <v>8879</v>
      </c>
      <c r="O749" s="29">
        <v>1.2676526187034361E-2</v>
      </c>
      <c r="P749" s="37">
        <v>8991.5548760146776</v>
      </c>
    </row>
    <row r="750" spans="2:16" x14ac:dyDescent="0.25">
      <c r="B750" t="s">
        <v>93</v>
      </c>
      <c r="C750" s="35" t="s">
        <v>152</v>
      </c>
      <c r="D750" t="s">
        <v>64</v>
      </c>
      <c r="E750" s="6">
        <v>0.91525423728813571</v>
      </c>
      <c r="F750" t="s">
        <v>153</v>
      </c>
      <c r="G750"/>
      <c r="H750" s="33">
        <v>1</v>
      </c>
      <c r="I750" s="31">
        <v>1</v>
      </c>
      <c r="J750" s="31">
        <v>1</v>
      </c>
      <c r="K750" s="32">
        <v>1</v>
      </c>
      <c r="M750" s="36">
        <v>5389</v>
      </c>
      <c r="O750" s="30"/>
      <c r="P750" s="37" t="s">
        <v>10</v>
      </c>
    </row>
    <row r="751" spans="2:16" x14ac:dyDescent="0.25">
      <c r="B751" t="s">
        <v>93</v>
      </c>
      <c r="C751" s="35" t="s">
        <v>152</v>
      </c>
      <c r="D751" t="s">
        <v>64</v>
      </c>
      <c r="E751" s="6">
        <v>0.91525423728813571</v>
      </c>
      <c r="F751" t="s">
        <v>63</v>
      </c>
      <c r="G751"/>
      <c r="H751" s="33">
        <v>0.94444444444444442</v>
      </c>
      <c r="I751" s="31">
        <v>0.92612615883451177</v>
      </c>
      <c r="J751" s="31">
        <v>0.93498449993769661</v>
      </c>
      <c r="K751" s="32">
        <v>0.93578177618957392</v>
      </c>
      <c r="M751" s="36">
        <v>4253.21</v>
      </c>
      <c r="O751" s="30"/>
      <c r="P751" s="37" t="s">
        <v>10</v>
      </c>
    </row>
    <row r="752" spans="2:16" x14ac:dyDescent="0.25">
      <c r="B752" t="s">
        <v>93</v>
      </c>
      <c r="C752" s="35" t="s">
        <v>152</v>
      </c>
      <c r="D752" t="s">
        <v>64</v>
      </c>
      <c r="E752" s="6">
        <v>0.91525423728813571</v>
      </c>
      <c r="F752" t="s">
        <v>65</v>
      </c>
      <c r="G752"/>
      <c r="H752" s="33">
        <v>1</v>
      </c>
      <c r="I752" s="31">
        <v>1</v>
      </c>
      <c r="J752" s="31">
        <v>0.80555549999999998</v>
      </c>
      <c r="K752" s="32">
        <v>0.93191590659340662</v>
      </c>
      <c r="M752" s="36">
        <v>3379</v>
      </c>
      <c r="O752" s="30"/>
      <c r="P752" s="37" t="s">
        <v>10</v>
      </c>
    </row>
    <row r="753" spans="2:16" x14ac:dyDescent="0.25">
      <c r="B753" t="s">
        <v>93</v>
      </c>
      <c r="C753" t="s">
        <v>152</v>
      </c>
      <c r="D753" t="s">
        <v>13</v>
      </c>
      <c r="E753" s="6">
        <v>0.94658119658119655</v>
      </c>
      <c r="F753" t="s">
        <v>35</v>
      </c>
      <c r="G753"/>
      <c r="H753" s="33">
        <v>1</v>
      </c>
      <c r="I753" s="31">
        <v>0.93548299999999995</v>
      </c>
      <c r="J753" s="31">
        <v>1</v>
      </c>
      <c r="K753" s="32">
        <v>0.97802168131868128</v>
      </c>
      <c r="M753" s="36">
        <v>359</v>
      </c>
      <c r="O753" s="30"/>
      <c r="P753" s="37" t="s">
        <v>10</v>
      </c>
    </row>
    <row r="754" spans="2:16" x14ac:dyDescent="0.25">
      <c r="B754" t="s">
        <v>93</v>
      </c>
      <c r="C754" t="s">
        <v>152</v>
      </c>
      <c r="D754" t="s">
        <v>13</v>
      </c>
      <c r="E754" s="6">
        <v>0.94658119658119655</v>
      </c>
      <c r="F754" t="s">
        <v>20</v>
      </c>
      <c r="G754"/>
      <c r="H754" s="33">
        <v>0.90107522580645161</v>
      </c>
      <c r="I754" s="31">
        <v>0.93860558064516131</v>
      </c>
      <c r="J754" s="31">
        <v>0.97491035483870969</v>
      </c>
      <c r="K754" s="32">
        <v>0.92936512336051047</v>
      </c>
      <c r="M754" s="36">
        <v>341.25806451612902</v>
      </c>
      <c r="O754" s="30"/>
      <c r="P754" s="37" t="s">
        <v>10</v>
      </c>
    </row>
    <row r="755" spans="2:16" x14ac:dyDescent="0.25">
      <c r="B755" t="s">
        <v>93</v>
      </c>
      <c r="C755" t="s">
        <v>152</v>
      </c>
      <c r="D755" t="s">
        <v>13</v>
      </c>
      <c r="E755" s="6">
        <v>0.94658119658119655</v>
      </c>
      <c r="F755" t="s">
        <v>49</v>
      </c>
      <c r="G755"/>
      <c r="H755" s="33">
        <v>0.67833330000000003</v>
      </c>
      <c r="I755" s="31">
        <v>0.80967739999999999</v>
      </c>
      <c r="J755" s="31">
        <v>0.9</v>
      </c>
      <c r="K755" s="32">
        <v>0.79257044395604392</v>
      </c>
      <c r="M755" s="36">
        <v>319</v>
      </c>
      <c r="O755" s="30"/>
      <c r="P755" s="37" t="s">
        <v>10</v>
      </c>
    </row>
    <row r="756" spans="2:16" x14ac:dyDescent="0.25">
      <c r="B756" t="s">
        <v>93</v>
      </c>
      <c r="C756" s="35" t="s">
        <v>152</v>
      </c>
      <c r="D756" t="s">
        <v>51</v>
      </c>
      <c r="E756" s="6">
        <v>0.91525423728813571</v>
      </c>
      <c r="F756" t="s">
        <v>153</v>
      </c>
      <c r="G756"/>
      <c r="H756" s="33">
        <v>1</v>
      </c>
      <c r="I756" s="31">
        <v>1</v>
      </c>
      <c r="J756" s="31">
        <v>1</v>
      </c>
      <c r="K756" s="32">
        <v>1</v>
      </c>
      <c r="M756" s="36" t="s">
        <v>10</v>
      </c>
      <c r="O756" s="30"/>
      <c r="P756" s="37" t="s">
        <v>10</v>
      </c>
    </row>
    <row r="757" spans="2:16" x14ac:dyDescent="0.25">
      <c r="B757" t="s">
        <v>93</v>
      </c>
      <c r="C757" s="35" t="s">
        <v>152</v>
      </c>
      <c r="D757" t="s">
        <v>51</v>
      </c>
      <c r="E757" s="6">
        <v>0.91525423728813571</v>
      </c>
      <c r="F757" t="s">
        <v>63</v>
      </c>
      <c r="G757"/>
      <c r="H757" s="33">
        <v>0.94444444444444442</v>
      </c>
      <c r="I757" s="31">
        <v>0.92612615883451177</v>
      </c>
      <c r="J757" s="31">
        <v>0.93498449993769661</v>
      </c>
      <c r="K757" s="32">
        <v>0.93578177618957392</v>
      </c>
      <c r="M757" s="36">
        <v>3949</v>
      </c>
      <c r="O757" s="30"/>
      <c r="P757" s="37" t="s">
        <v>10</v>
      </c>
    </row>
    <row r="758" spans="2:16" x14ac:dyDescent="0.25">
      <c r="B758" t="s">
        <v>93</v>
      </c>
      <c r="C758" s="35" t="s">
        <v>152</v>
      </c>
      <c r="D758" t="s">
        <v>51</v>
      </c>
      <c r="E758" s="6">
        <v>0.91525423728813571</v>
      </c>
      <c r="F758" t="s">
        <v>65</v>
      </c>
      <c r="G758"/>
      <c r="H758" s="33">
        <v>1</v>
      </c>
      <c r="I758" s="31">
        <v>1</v>
      </c>
      <c r="J758" s="31">
        <v>0.80555549999999998</v>
      </c>
      <c r="K758" s="32">
        <v>0.93191590659340662</v>
      </c>
      <c r="M758" s="36">
        <v>3379</v>
      </c>
      <c r="O758" s="30"/>
      <c r="P758" s="37" t="s">
        <v>10</v>
      </c>
    </row>
    <row r="759" spans="2:16" x14ac:dyDescent="0.25">
      <c r="B759" t="s">
        <v>93</v>
      </c>
      <c r="C759" t="s">
        <v>167</v>
      </c>
      <c r="D759" t="s">
        <v>13</v>
      </c>
      <c r="E759" s="6">
        <v>0.91087962962962965</v>
      </c>
      <c r="F759" t="s">
        <v>14</v>
      </c>
      <c r="G759"/>
      <c r="H759" s="33">
        <v>0.88666660000000008</v>
      </c>
      <c r="I759" s="31">
        <v>0.97419349999999993</v>
      </c>
      <c r="J759" s="31">
        <v>0.93333329999999992</v>
      </c>
      <c r="K759" s="32">
        <v>0.93521255494505495</v>
      </c>
      <c r="M759" s="36">
        <v>329</v>
      </c>
      <c r="O759" s="30"/>
      <c r="P759" s="37" t="s">
        <v>10</v>
      </c>
    </row>
    <row r="760" spans="2:16" x14ac:dyDescent="0.25">
      <c r="B760" t="s">
        <v>93</v>
      </c>
      <c r="C760" t="s">
        <v>167</v>
      </c>
      <c r="D760" t="s">
        <v>13</v>
      </c>
      <c r="E760" s="6">
        <v>0.91087962962962965</v>
      </c>
      <c r="F760" t="s">
        <v>15</v>
      </c>
      <c r="G760"/>
      <c r="H760" s="33">
        <v>0.95833332142857142</v>
      </c>
      <c r="I760" s="31">
        <v>0.95622117857142863</v>
      </c>
      <c r="J760" s="31">
        <v>0.89880949999999993</v>
      </c>
      <c r="K760" s="32">
        <v>0.93909970290423861</v>
      </c>
      <c r="M760" s="36">
        <v>299</v>
      </c>
      <c r="O760" s="30"/>
      <c r="P760" s="37" t="s">
        <v>10</v>
      </c>
    </row>
    <row r="761" spans="2:16" x14ac:dyDescent="0.25">
      <c r="B761" t="s">
        <v>93</v>
      </c>
      <c r="C761" t="s">
        <v>167</v>
      </c>
      <c r="D761" t="s">
        <v>13</v>
      </c>
      <c r="E761" s="6">
        <v>0.91087962962962965</v>
      </c>
      <c r="F761" t="s">
        <v>56</v>
      </c>
      <c r="G761"/>
      <c r="H761" s="33">
        <v>0.73</v>
      </c>
      <c r="I761" s="31">
        <v>0.91612899999999997</v>
      </c>
      <c r="J761" s="31">
        <v>0.92222219999999999</v>
      </c>
      <c r="K761" s="32">
        <v>0.8422837692307692</v>
      </c>
      <c r="M761" s="36">
        <v>529</v>
      </c>
      <c r="O761" s="30"/>
      <c r="P761" s="37" t="s">
        <v>10</v>
      </c>
    </row>
    <row r="762" spans="2:16" x14ac:dyDescent="0.25">
      <c r="B762" t="s">
        <v>93</v>
      </c>
      <c r="C762" t="s">
        <v>167</v>
      </c>
      <c r="D762" t="s">
        <v>16</v>
      </c>
      <c r="E762" s="6">
        <v>1</v>
      </c>
      <c r="F762" t="s">
        <v>88</v>
      </c>
      <c r="G762"/>
      <c r="H762" s="33">
        <v>1</v>
      </c>
      <c r="I762" s="31">
        <v>0.99078335714285715</v>
      </c>
      <c r="J762" s="31">
        <v>1</v>
      </c>
      <c r="K762" s="32">
        <v>0.99686026452119303</v>
      </c>
      <c r="M762" s="36">
        <v>319</v>
      </c>
      <c r="O762" s="30"/>
      <c r="P762" s="37" t="s">
        <v>10</v>
      </c>
    </row>
    <row r="763" spans="2:16" x14ac:dyDescent="0.25">
      <c r="B763" t="s">
        <v>93</v>
      </c>
      <c r="C763" t="s">
        <v>168</v>
      </c>
      <c r="D763" t="s">
        <v>19</v>
      </c>
      <c r="E763" s="6">
        <v>1</v>
      </c>
      <c r="F763" t="s">
        <v>20</v>
      </c>
      <c r="G763"/>
      <c r="H763" s="33">
        <v>0.99777773333333331</v>
      </c>
      <c r="I763" s="31">
        <v>0.96129019999999987</v>
      </c>
      <c r="J763" s="31">
        <v>1</v>
      </c>
      <c r="K763" s="32">
        <v>0.98608052967032955</v>
      </c>
      <c r="M763" s="36">
        <v>6208.333333333333</v>
      </c>
      <c r="O763" s="29">
        <v>2.5000000000000001E-2</v>
      </c>
      <c r="P763" s="37">
        <v>6363.5416666666661</v>
      </c>
    </row>
    <row r="764" spans="2:16" x14ac:dyDescent="0.25">
      <c r="B764" t="s">
        <v>93</v>
      </c>
      <c r="C764" t="s">
        <v>168</v>
      </c>
      <c r="D764" t="s">
        <v>19</v>
      </c>
      <c r="E764" s="6">
        <v>1</v>
      </c>
      <c r="F764" t="s">
        <v>49</v>
      </c>
      <c r="G764"/>
      <c r="H764" s="33">
        <v>1</v>
      </c>
      <c r="I764" s="31">
        <v>1</v>
      </c>
      <c r="J764" s="31">
        <v>1</v>
      </c>
      <c r="K764" s="32">
        <v>1</v>
      </c>
      <c r="M764" s="36">
        <v>7074</v>
      </c>
      <c r="O764" s="29">
        <v>2.5000000000000001E-2</v>
      </c>
      <c r="P764" s="37">
        <v>7250.8499999999995</v>
      </c>
    </row>
    <row r="765" spans="2:16" x14ac:dyDescent="0.25">
      <c r="B765" t="s">
        <v>93</v>
      </c>
      <c r="C765" t="s">
        <v>168</v>
      </c>
      <c r="D765" t="s">
        <v>21</v>
      </c>
      <c r="E765" s="6">
        <v>0.9555555555555556</v>
      </c>
      <c r="F765" t="s">
        <v>72</v>
      </c>
      <c r="G765"/>
      <c r="H765" s="33">
        <v>0.97777775</v>
      </c>
      <c r="I765" s="31">
        <v>0.94623650000000004</v>
      </c>
      <c r="J765" s="31">
        <v>0.95833333333333337</v>
      </c>
      <c r="K765" s="32">
        <v>0.96360880769230794</v>
      </c>
      <c r="M765" s="36">
        <v>6999</v>
      </c>
      <c r="O765" s="29">
        <v>2.5000000000000001E-2</v>
      </c>
      <c r="P765" s="37">
        <v>7173.9749999999995</v>
      </c>
    </row>
    <row r="766" spans="2:16" x14ac:dyDescent="0.25">
      <c r="B766" t="s">
        <v>93</v>
      </c>
      <c r="C766" t="s">
        <v>168</v>
      </c>
      <c r="D766" t="s">
        <v>21</v>
      </c>
      <c r="E766" s="6">
        <v>0.9555555555555556</v>
      </c>
      <c r="F766" t="s">
        <v>73</v>
      </c>
      <c r="G766"/>
      <c r="H766" s="33">
        <v>0.96666666666666667</v>
      </c>
      <c r="I766" s="31">
        <v>1</v>
      </c>
      <c r="J766" s="31">
        <v>0.94444433333333333</v>
      </c>
      <c r="K766" s="32">
        <v>0.96034395604395606</v>
      </c>
      <c r="M766" s="36">
        <v>8002.333333333333</v>
      </c>
      <c r="O766" s="29">
        <v>0.05</v>
      </c>
      <c r="P766" s="37">
        <v>8402.4500000000007</v>
      </c>
    </row>
    <row r="767" spans="2:16" x14ac:dyDescent="0.25">
      <c r="B767" t="s">
        <v>93</v>
      </c>
      <c r="C767" t="s">
        <v>168</v>
      </c>
      <c r="D767" t="s">
        <v>13</v>
      </c>
      <c r="E767" s="6">
        <v>0.97619047619047616</v>
      </c>
      <c r="F767" t="s">
        <v>20</v>
      </c>
      <c r="G767"/>
      <c r="H767" s="33">
        <v>0.97450976470588246</v>
      </c>
      <c r="I767" s="31">
        <v>0.99051226470588249</v>
      </c>
      <c r="J767" s="31">
        <v>0.97222217647058828</v>
      </c>
      <c r="K767" s="32">
        <v>0.97571731965093722</v>
      </c>
      <c r="M767" s="36">
        <v>370.76470588235293</v>
      </c>
      <c r="O767" s="29">
        <v>2.5000000000000001E-2</v>
      </c>
      <c r="P767" s="37">
        <v>380.03382352941173</v>
      </c>
    </row>
    <row r="768" spans="2:16" x14ac:dyDescent="0.25">
      <c r="B768" t="s">
        <v>93</v>
      </c>
      <c r="C768" t="s">
        <v>168</v>
      </c>
      <c r="D768" t="s">
        <v>13</v>
      </c>
      <c r="E768" s="6">
        <v>0.97619047619047616</v>
      </c>
      <c r="F768" t="s">
        <v>49</v>
      </c>
      <c r="G768"/>
      <c r="H768" s="33">
        <v>0.98166659999999994</v>
      </c>
      <c r="I768" s="31">
        <v>1</v>
      </c>
      <c r="J768" s="31">
        <v>0.98055550000000002</v>
      </c>
      <c r="K768" s="32">
        <v>0.98535589560439563</v>
      </c>
      <c r="M768" s="36">
        <v>321</v>
      </c>
      <c r="O768" s="29">
        <v>2.5000000000000001E-2</v>
      </c>
      <c r="P768" s="37">
        <v>329.02499999999998</v>
      </c>
    </row>
    <row r="769" spans="2:16" x14ac:dyDescent="0.25">
      <c r="B769" t="s">
        <v>93</v>
      </c>
      <c r="C769" t="s">
        <v>168</v>
      </c>
      <c r="D769" t="s">
        <v>13</v>
      </c>
      <c r="E769" s="6">
        <v>0.97619047619047616</v>
      </c>
      <c r="F769" t="s">
        <v>35</v>
      </c>
      <c r="G769"/>
      <c r="H769" s="33">
        <v>0.98333300000000001</v>
      </c>
      <c r="I769" s="31">
        <v>1</v>
      </c>
      <c r="J769" s="31">
        <v>1</v>
      </c>
      <c r="K769" s="32">
        <v>0.99450538461538462</v>
      </c>
      <c r="M769" s="36">
        <v>439</v>
      </c>
      <c r="O769" s="29">
        <v>2.5000000000000001E-2</v>
      </c>
      <c r="P769" s="37">
        <v>449.97499999999997</v>
      </c>
    </row>
    <row r="770" spans="2:16" x14ac:dyDescent="0.25">
      <c r="B770" t="s">
        <v>93</v>
      </c>
      <c r="C770" t="s">
        <v>203</v>
      </c>
      <c r="D770" t="s">
        <v>19</v>
      </c>
      <c r="E770" s="6">
        <v>0.98290598290598297</v>
      </c>
      <c r="F770" t="s">
        <v>20</v>
      </c>
      <c r="G770"/>
      <c r="H770" s="33">
        <v>0.98666666666666669</v>
      </c>
      <c r="I770" s="31">
        <v>0.9978494</v>
      </c>
      <c r="J770" s="31">
        <v>0.9703702666666667</v>
      </c>
      <c r="K770" s="32">
        <v>0.98722722417582409</v>
      </c>
      <c r="M770" s="36">
        <v>5572.333333333333</v>
      </c>
      <c r="O770" s="29">
        <v>0.05</v>
      </c>
      <c r="P770" s="37">
        <v>5850.95</v>
      </c>
    </row>
    <row r="771" spans="2:16" x14ac:dyDescent="0.25">
      <c r="B771" t="s">
        <v>93</v>
      </c>
      <c r="C771" t="s">
        <v>203</v>
      </c>
      <c r="D771" t="s">
        <v>19</v>
      </c>
      <c r="E771" s="6">
        <v>0.98290598290598297</v>
      </c>
      <c r="F771" t="s">
        <v>49</v>
      </c>
      <c r="G771"/>
      <c r="H771" s="33">
        <v>1</v>
      </c>
      <c r="I771" s="31">
        <v>1</v>
      </c>
      <c r="J771" s="31">
        <v>1</v>
      </c>
      <c r="K771" s="32">
        <v>1</v>
      </c>
      <c r="M771" s="36">
        <v>6494</v>
      </c>
      <c r="O771" s="29">
        <v>0.05</v>
      </c>
      <c r="P771" s="37">
        <v>6818.7000000000007</v>
      </c>
    </row>
    <row r="772" spans="2:16" x14ac:dyDescent="0.25">
      <c r="B772" t="s">
        <v>93</v>
      </c>
      <c r="C772" s="35" t="s">
        <v>203</v>
      </c>
      <c r="D772" t="s">
        <v>19</v>
      </c>
      <c r="E772" s="6">
        <v>0.98290598290598297</v>
      </c>
      <c r="F772" t="s">
        <v>63</v>
      </c>
      <c r="G772"/>
      <c r="H772" s="33">
        <v>1</v>
      </c>
      <c r="I772" s="31">
        <v>1</v>
      </c>
      <c r="J772" s="31">
        <v>1</v>
      </c>
      <c r="K772" s="32">
        <v>1</v>
      </c>
      <c r="M772" s="36">
        <v>6756.1428571428569</v>
      </c>
      <c r="O772" s="29">
        <v>0.05</v>
      </c>
      <c r="P772" s="37">
        <v>7093.95</v>
      </c>
    </row>
    <row r="773" spans="2:16" x14ac:dyDescent="0.25">
      <c r="B773" t="s">
        <v>93</v>
      </c>
      <c r="C773" t="s">
        <v>203</v>
      </c>
      <c r="D773" t="s">
        <v>21</v>
      </c>
      <c r="E773" s="6">
        <v>0.99629629629629635</v>
      </c>
      <c r="F773" t="s">
        <v>72</v>
      </c>
      <c r="G773"/>
      <c r="H773" s="33">
        <v>0.9472221666666667</v>
      </c>
      <c r="I773" s="31">
        <v>0.94623650000000004</v>
      </c>
      <c r="J773" s="31">
        <v>1</v>
      </c>
      <c r="K773" s="32">
        <v>0.9642856758241759</v>
      </c>
      <c r="M773" s="36">
        <v>6799.833333333333</v>
      </c>
      <c r="O773" s="29">
        <v>0.05</v>
      </c>
      <c r="P773" s="37">
        <v>7139.8249999999998</v>
      </c>
    </row>
    <row r="774" spans="2:16" x14ac:dyDescent="0.25">
      <c r="B774" t="s">
        <v>93</v>
      </c>
      <c r="C774" t="s">
        <v>203</v>
      </c>
      <c r="D774" t="s">
        <v>21</v>
      </c>
      <c r="E774" s="6">
        <v>0.99629629629629635</v>
      </c>
      <c r="F774" t="s">
        <v>73</v>
      </c>
      <c r="G774"/>
      <c r="H774" s="33">
        <v>0.66666666666666663</v>
      </c>
      <c r="I774" s="31">
        <v>0.79569866666666667</v>
      </c>
      <c r="J774" s="31">
        <v>0.98148133333333332</v>
      </c>
      <c r="K774" s="32">
        <v>0.81573482051282042</v>
      </c>
      <c r="M774" s="36">
        <v>7765.666666666667</v>
      </c>
      <c r="O774" s="30"/>
      <c r="P774" s="37" t="s">
        <v>10</v>
      </c>
    </row>
    <row r="775" spans="2:16" x14ac:dyDescent="0.25">
      <c r="B775" t="s">
        <v>93</v>
      </c>
      <c r="C775" s="35" t="s">
        <v>203</v>
      </c>
      <c r="D775" t="s">
        <v>64</v>
      </c>
      <c r="E775" s="6">
        <v>1</v>
      </c>
      <c r="F775" t="s">
        <v>63</v>
      </c>
      <c r="G775"/>
      <c r="H775" s="33">
        <v>1</v>
      </c>
      <c r="I775" s="31">
        <v>1</v>
      </c>
      <c r="J775" s="31">
        <v>1</v>
      </c>
      <c r="K775" s="32">
        <v>1</v>
      </c>
      <c r="M775" s="36">
        <v>4099</v>
      </c>
      <c r="O775" s="29">
        <v>2.5000000000000001E-2</v>
      </c>
      <c r="P775" s="37">
        <v>4201.4749999999995</v>
      </c>
    </row>
    <row r="776" spans="2:16" x14ac:dyDescent="0.25">
      <c r="B776" t="s">
        <v>93</v>
      </c>
      <c r="C776" t="s">
        <v>203</v>
      </c>
      <c r="D776" t="s">
        <v>13</v>
      </c>
      <c r="E776" s="6">
        <v>0.90134099616858243</v>
      </c>
      <c r="F776" t="s">
        <v>20</v>
      </c>
      <c r="G776"/>
      <c r="H776" s="33">
        <v>0.94555546666666668</v>
      </c>
      <c r="I776" s="31">
        <v>0.92365583333333334</v>
      </c>
      <c r="J776" s="31">
        <v>0.91481476666666661</v>
      </c>
      <c r="K776" s="32">
        <v>0.93358806410256401</v>
      </c>
      <c r="M776" s="36">
        <v>366.66666666666669</v>
      </c>
      <c r="O776" s="29">
        <v>2.5000000000000001E-2</v>
      </c>
      <c r="P776" s="37">
        <v>375.83333333333331</v>
      </c>
    </row>
    <row r="777" spans="2:16" x14ac:dyDescent="0.25">
      <c r="B777" t="s">
        <v>93</v>
      </c>
      <c r="C777" t="s">
        <v>203</v>
      </c>
      <c r="D777" t="s">
        <v>13</v>
      </c>
      <c r="E777" s="6">
        <v>0.90134099616858243</v>
      </c>
      <c r="F777" t="s">
        <v>49</v>
      </c>
      <c r="G777"/>
      <c r="H777" s="33">
        <v>0.87222220833333342</v>
      </c>
      <c r="I777" s="31">
        <v>0.84274191666666665</v>
      </c>
      <c r="J777" s="31">
        <v>0.88194441666666668</v>
      </c>
      <c r="K777" s="32">
        <v>0.87205364743589753</v>
      </c>
      <c r="M777" s="36">
        <v>319</v>
      </c>
      <c r="O777" s="30"/>
      <c r="P777" s="37" t="s">
        <v>10</v>
      </c>
    </row>
    <row r="778" spans="2:16" x14ac:dyDescent="0.25">
      <c r="B778" t="s">
        <v>93</v>
      </c>
      <c r="C778" t="s">
        <v>203</v>
      </c>
      <c r="D778" t="s">
        <v>13</v>
      </c>
      <c r="E778" s="6">
        <v>0.90134099616858243</v>
      </c>
      <c r="F778" t="s">
        <v>35</v>
      </c>
      <c r="G778"/>
      <c r="H778" s="33">
        <v>0.875</v>
      </c>
      <c r="I778" s="31">
        <v>0.89516125000000002</v>
      </c>
      <c r="J778" s="31">
        <v>0.91666650000000005</v>
      </c>
      <c r="K778" s="32">
        <v>0.90157663461538462</v>
      </c>
      <c r="M778" s="36">
        <v>399</v>
      </c>
      <c r="O778" s="29">
        <v>2.5000000000000001E-2</v>
      </c>
      <c r="P778" s="37">
        <v>408.97499999999997</v>
      </c>
    </row>
    <row r="779" spans="2:16" x14ac:dyDescent="0.25">
      <c r="B779" t="s">
        <v>93</v>
      </c>
      <c r="C779" t="s">
        <v>203</v>
      </c>
      <c r="D779" t="s">
        <v>51</v>
      </c>
      <c r="E779" s="6">
        <v>1</v>
      </c>
      <c r="F779" t="s">
        <v>34</v>
      </c>
      <c r="G779"/>
      <c r="H779" s="33">
        <v>1</v>
      </c>
      <c r="I779" s="31">
        <v>1</v>
      </c>
      <c r="J779" s="31">
        <v>1</v>
      </c>
      <c r="K779" s="32">
        <v>1</v>
      </c>
      <c r="M779" s="36">
        <v>3554</v>
      </c>
      <c r="O779" s="29">
        <v>0.05</v>
      </c>
      <c r="P779" s="37">
        <v>3731.7000000000003</v>
      </c>
    </row>
    <row r="780" spans="2:16" x14ac:dyDescent="0.25">
      <c r="B780" t="s">
        <v>93</v>
      </c>
      <c r="C780" t="s">
        <v>203</v>
      </c>
      <c r="D780" t="s">
        <v>51</v>
      </c>
      <c r="E780" s="6">
        <v>1</v>
      </c>
      <c r="F780" t="s">
        <v>20</v>
      </c>
      <c r="G780"/>
      <c r="H780" s="33">
        <v>1</v>
      </c>
      <c r="I780" s="31">
        <v>1</v>
      </c>
      <c r="J780" s="31">
        <v>1</v>
      </c>
      <c r="K780" s="32">
        <v>1</v>
      </c>
      <c r="M780" s="36">
        <v>3084</v>
      </c>
      <c r="O780" s="29">
        <v>1.2171684817424727E-2</v>
      </c>
      <c r="P780" s="37">
        <v>3121.5374759769379</v>
      </c>
    </row>
    <row r="781" spans="2:16" x14ac:dyDescent="0.25">
      <c r="B781" t="s">
        <v>93</v>
      </c>
      <c r="C781" t="s">
        <v>216</v>
      </c>
      <c r="D781" t="s">
        <v>19</v>
      </c>
      <c r="E781" s="6">
        <v>0.88596491228070173</v>
      </c>
      <c r="F781" t="s">
        <v>20</v>
      </c>
      <c r="G781"/>
      <c r="H781" s="33">
        <v>0.88888886666666667</v>
      </c>
      <c r="I781" s="31">
        <v>0.93763433333333335</v>
      </c>
      <c r="J781" s="31">
        <v>0.88888880000000003</v>
      </c>
      <c r="K781" s="32">
        <v>0.9096352344322346</v>
      </c>
      <c r="M781" s="36">
        <v>6177.666666666667</v>
      </c>
      <c r="O781" s="29">
        <v>0.01</v>
      </c>
      <c r="P781" s="37">
        <v>6239.4433333333336</v>
      </c>
    </row>
    <row r="782" spans="2:16" x14ac:dyDescent="0.25">
      <c r="B782" t="s">
        <v>93</v>
      </c>
      <c r="C782" t="s">
        <v>216</v>
      </c>
      <c r="D782" t="s">
        <v>19</v>
      </c>
      <c r="E782" s="6">
        <v>0.88596491228070173</v>
      </c>
      <c r="F782" t="s">
        <v>49</v>
      </c>
      <c r="G782"/>
      <c r="H782" s="33">
        <v>0.77500000000000002</v>
      </c>
      <c r="I782" s="31">
        <v>0.79032250000000004</v>
      </c>
      <c r="J782" s="31">
        <v>0.875</v>
      </c>
      <c r="K782" s="32">
        <v>0.80422832417582413</v>
      </c>
      <c r="M782" s="36">
        <v>6919</v>
      </c>
      <c r="O782" s="30"/>
      <c r="P782" s="37" t="s">
        <v>10</v>
      </c>
    </row>
    <row r="783" spans="2:16" x14ac:dyDescent="0.25">
      <c r="B783" t="s">
        <v>93</v>
      </c>
      <c r="C783" t="s">
        <v>216</v>
      </c>
      <c r="D783" t="s">
        <v>21</v>
      </c>
      <c r="E783" s="6">
        <v>0.91851851851851862</v>
      </c>
      <c r="F783" t="s">
        <v>72</v>
      </c>
      <c r="G783"/>
      <c r="H783" s="33">
        <v>0.78333325000000009</v>
      </c>
      <c r="I783" s="31">
        <v>0.73118266666666665</v>
      </c>
      <c r="J783" s="31">
        <v>0.90277774999999993</v>
      </c>
      <c r="K783" s="32">
        <v>0.80594035897435912</v>
      </c>
      <c r="M783" s="36">
        <v>7807.333333333333</v>
      </c>
      <c r="O783" s="30"/>
      <c r="P783" s="37" t="s">
        <v>10</v>
      </c>
    </row>
    <row r="784" spans="2:16" x14ac:dyDescent="0.25">
      <c r="B784" t="s">
        <v>93</v>
      </c>
      <c r="C784" t="s">
        <v>216</v>
      </c>
      <c r="D784" t="s">
        <v>21</v>
      </c>
      <c r="E784" s="6">
        <v>0.91851851851851862</v>
      </c>
      <c r="F784" t="s">
        <v>73</v>
      </c>
      <c r="G784"/>
      <c r="H784" s="33">
        <v>1</v>
      </c>
      <c r="I784" s="31">
        <v>0.70967733333333338</v>
      </c>
      <c r="J784" s="31">
        <v>0.98148133333333332</v>
      </c>
      <c r="K784" s="32">
        <v>0.8963209597069598</v>
      </c>
      <c r="M784" s="36">
        <v>8565.6666666666661</v>
      </c>
      <c r="O784" s="29">
        <v>5.3133866391539983E-2</v>
      </c>
      <c r="P784" s="37">
        <v>9020.7936548878006</v>
      </c>
    </row>
    <row r="785" spans="2:16" x14ac:dyDescent="0.25">
      <c r="B785" t="s">
        <v>93</v>
      </c>
      <c r="C785" t="s">
        <v>216</v>
      </c>
      <c r="D785" t="s">
        <v>13</v>
      </c>
      <c r="E785" s="6">
        <v>0.98371647509578541</v>
      </c>
      <c r="F785" t="s">
        <v>20</v>
      </c>
      <c r="G785"/>
      <c r="H785" s="33">
        <v>0.94901955882352929</v>
      </c>
      <c r="I785" s="31">
        <v>0.87855779411764701</v>
      </c>
      <c r="J785" s="31">
        <v>0.98202605882352945</v>
      </c>
      <c r="K785" s="32">
        <v>0.93549920006464116</v>
      </c>
      <c r="M785" s="36">
        <v>373.70588235294116</v>
      </c>
      <c r="O785" s="30"/>
      <c r="P785" s="37" t="s">
        <v>10</v>
      </c>
    </row>
    <row r="786" spans="2:16" x14ac:dyDescent="0.25">
      <c r="B786" t="s">
        <v>93</v>
      </c>
      <c r="C786" t="s">
        <v>216</v>
      </c>
      <c r="D786" t="s">
        <v>13</v>
      </c>
      <c r="E786" s="6">
        <v>0.98371647509578541</v>
      </c>
      <c r="F786" t="s">
        <v>15</v>
      </c>
      <c r="G786"/>
      <c r="H786" s="33">
        <v>0.872916625</v>
      </c>
      <c r="I786" s="31">
        <v>0.76008062499999995</v>
      </c>
      <c r="J786" s="31">
        <v>0.98611106250000002</v>
      </c>
      <c r="K786" s="32">
        <v>0.87010269917582417</v>
      </c>
      <c r="M786" s="36">
        <v>359</v>
      </c>
      <c r="O786" s="30"/>
      <c r="P786" s="37" t="s">
        <v>10</v>
      </c>
    </row>
    <row r="787" spans="2:16" x14ac:dyDescent="0.25">
      <c r="B787" t="s">
        <v>93</v>
      </c>
      <c r="C787" t="s">
        <v>216</v>
      </c>
      <c r="D787" t="s">
        <v>13</v>
      </c>
      <c r="E787" s="6">
        <v>0.98371647509578541</v>
      </c>
      <c r="F787" t="s">
        <v>49</v>
      </c>
      <c r="G787"/>
      <c r="H787" s="33">
        <v>0.92083325000000005</v>
      </c>
      <c r="I787" s="31">
        <v>0.87096762500000002</v>
      </c>
      <c r="J787" s="31">
        <v>0.98611099999999996</v>
      </c>
      <c r="K787" s="32">
        <v>0.92636159478021984</v>
      </c>
      <c r="M787" s="36">
        <v>344</v>
      </c>
      <c r="O787" s="30"/>
      <c r="P787" s="37" t="s">
        <v>10</v>
      </c>
    </row>
    <row r="788" spans="2:16" x14ac:dyDescent="0.25">
      <c r="B788" t="s">
        <v>93</v>
      </c>
      <c r="C788" t="s">
        <v>216</v>
      </c>
      <c r="D788" t="s">
        <v>51</v>
      </c>
      <c r="E788" s="6">
        <v>0.77272727272727271</v>
      </c>
      <c r="F788" t="s">
        <v>34</v>
      </c>
      <c r="G788"/>
      <c r="H788" s="33">
        <v>0.77777777777777779</v>
      </c>
      <c r="I788" s="31">
        <v>0.77777777777777779</v>
      </c>
      <c r="J788" s="31">
        <v>0.77777777777777779</v>
      </c>
      <c r="K788" s="32">
        <v>0.77777777777777779</v>
      </c>
      <c r="M788" s="36">
        <v>4479</v>
      </c>
      <c r="O788" s="30"/>
      <c r="P788" s="37" t="s">
        <v>10</v>
      </c>
    </row>
    <row r="789" spans="2:16" x14ac:dyDescent="0.25">
      <c r="B789" t="s">
        <v>93</v>
      </c>
      <c r="C789" t="s">
        <v>216</v>
      </c>
      <c r="D789" t="s">
        <v>51</v>
      </c>
      <c r="E789" s="6">
        <v>0.77272727272727271</v>
      </c>
      <c r="F789" t="s">
        <v>20</v>
      </c>
      <c r="G789"/>
      <c r="H789" s="33">
        <v>0.75</v>
      </c>
      <c r="I789" s="31">
        <v>0.75</v>
      </c>
      <c r="J789" s="31">
        <v>0.75</v>
      </c>
      <c r="K789" s="32">
        <v>0.75</v>
      </c>
      <c r="M789" s="36">
        <v>3449</v>
      </c>
      <c r="O789" s="30"/>
      <c r="P789" s="37" t="s">
        <v>10</v>
      </c>
    </row>
    <row r="790" spans="2:16" x14ac:dyDescent="0.25">
      <c r="B790" t="s">
        <v>93</v>
      </c>
      <c r="C790" t="s">
        <v>255</v>
      </c>
      <c r="D790" t="s">
        <v>19</v>
      </c>
      <c r="E790" s="6">
        <v>1</v>
      </c>
      <c r="F790" t="s">
        <v>20</v>
      </c>
      <c r="G790"/>
      <c r="H790" s="33">
        <v>1</v>
      </c>
      <c r="I790" s="31">
        <v>1</v>
      </c>
      <c r="J790" s="31">
        <v>1</v>
      </c>
      <c r="K790" s="32">
        <v>1</v>
      </c>
      <c r="M790" s="36">
        <v>5869</v>
      </c>
      <c r="O790" s="29">
        <v>2.5000000000000001E-2</v>
      </c>
      <c r="P790" s="37">
        <v>6015.7249999999995</v>
      </c>
    </row>
    <row r="791" spans="2:16" x14ac:dyDescent="0.25">
      <c r="B791" t="s">
        <v>93</v>
      </c>
      <c r="C791" t="s">
        <v>255</v>
      </c>
      <c r="D791" t="s">
        <v>19</v>
      </c>
      <c r="E791" s="6">
        <v>1</v>
      </c>
      <c r="F791" t="s">
        <v>15</v>
      </c>
      <c r="G791"/>
      <c r="H791" s="33">
        <v>0.95555533333333331</v>
      </c>
      <c r="I791" s="31">
        <v>1</v>
      </c>
      <c r="J791" s="31">
        <v>1</v>
      </c>
      <c r="K791" s="32">
        <v>0.98534791208791217</v>
      </c>
      <c r="M791" s="36">
        <v>6339</v>
      </c>
      <c r="O791" s="29">
        <v>2.5000000000000001E-2</v>
      </c>
      <c r="P791" s="37">
        <v>6497.4749999999995</v>
      </c>
    </row>
    <row r="792" spans="2:16" x14ac:dyDescent="0.25">
      <c r="B792" t="s">
        <v>93</v>
      </c>
      <c r="C792" t="s">
        <v>255</v>
      </c>
      <c r="D792" t="s">
        <v>13</v>
      </c>
      <c r="E792" s="6">
        <v>0.95050505050505052</v>
      </c>
      <c r="F792" t="s">
        <v>14</v>
      </c>
      <c r="G792"/>
      <c r="H792" s="33">
        <v>0.93809522857142869</v>
      </c>
      <c r="I792" s="31">
        <v>0.92626725714285707</v>
      </c>
      <c r="J792" s="31">
        <v>0.96507934285714292</v>
      </c>
      <c r="K792" s="32">
        <v>0.94546445965463122</v>
      </c>
      <c r="M792" s="36">
        <v>329</v>
      </c>
      <c r="O792" s="29">
        <v>2.5000000000000001E-2</v>
      </c>
      <c r="P792" s="37">
        <v>337.22499999999997</v>
      </c>
    </row>
    <row r="793" spans="2:16" x14ac:dyDescent="0.25">
      <c r="B793" t="s">
        <v>93</v>
      </c>
      <c r="C793" t="s">
        <v>255</v>
      </c>
      <c r="D793" t="s">
        <v>13</v>
      </c>
      <c r="E793" s="6">
        <v>0.95050505050505052</v>
      </c>
      <c r="F793" t="s">
        <v>15</v>
      </c>
      <c r="G793"/>
      <c r="H793" s="33">
        <v>0.97666664999999997</v>
      </c>
      <c r="I793" s="31">
        <v>0.99354834999999997</v>
      </c>
      <c r="J793" s="31">
        <v>0.92500000000000004</v>
      </c>
      <c r="K793" s="32">
        <v>0.97004297087912084</v>
      </c>
      <c r="M793" s="36">
        <v>279</v>
      </c>
      <c r="O793" s="29">
        <v>2.5000000000000001E-2</v>
      </c>
      <c r="P793" s="37">
        <v>285.97499999999997</v>
      </c>
    </row>
    <row r="794" spans="2:16" s="10" customFormat="1" x14ac:dyDescent="0.25">
      <c r="B794" t="s">
        <v>60</v>
      </c>
      <c r="C794" t="s">
        <v>61</v>
      </c>
      <c r="D794" t="s">
        <v>19</v>
      </c>
      <c r="E794" s="6">
        <v>0.80555555555555547</v>
      </c>
      <c r="F794" t="s">
        <v>20</v>
      </c>
      <c r="G794"/>
      <c r="H794" s="33">
        <v>0.9296296111111112</v>
      </c>
      <c r="I794" s="31">
        <v>0.83154116666666666</v>
      </c>
      <c r="J794" s="31">
        <v>0.81790122222222217</v>
      </c>
      <c r="K794" s="32">
        <v>0.86606144139194141</v>
      </c>
      <c r="L794"/>
      <c r="M794" s="36">
        <v>6409</v>
      </c>
      <c r="N794"/>
      <c r="O794" s="30"/>
      <c r="P794" s="37" t="s">
        <v>10</v>
      </c>
    </row>
    <row r="795" spans="2:16" x14ac:dyDescent="0.25">
      <c r="B795" t="s">
        <v>60</v>
      </c>
      <c r="C795" t="s">
        <v>61</v>
      </c>
      <c r="D795" t="s">
        <v>19</v>
      </c>
      <c r="E795" s="6">
        <v>0.80555555555555547</v>
      </c>
      <c r="F795" t="s">
        <v>15</v>
      </c>
      <c r="G795"/>
      <c r="H795" s="33">
        <v>0.75</v>
      </c>
      <c r="I795" s="31">
        <v>0.75</v>
      </c>
      <c r="J795" s="31">
        <v>0.75</v>
      </c>
      <c r="K795" s="32">
        <v>0.75</v>
      </c>
      <c r="M795" s="36">
        <v>7059</v>
      </c>
      <c r="O795" s="30"/>
      <c r="P795" s="37" t="s">
        <v>10</v>
      </c>
    </row>
    <row r="796" spans="2:16" x14ac:dyDescent="0.25">
      <c r="B796" t="s">
        <v>60</v>
      </c>
      <c r="C796" t="s">
        <v>61</v>
      </c>
      <c r="D796" t="s">
        <v>21</v>
      </c>
      <c r="E796" s="6">
        <v>0.95959595959595956</v>
      </c>
      <c r="F796" t="s">
        <v>17</v>
      </c>
      <c r="G796"/>
      <c r="H796" s="33">
        <v>0.48148144444444441</v>
      </c>
      <c r="I796" s="31">
        <v>0.92473111111111117</v>
      </c>
      <c r="J796" s="31">
        <v>0.95061722222222222</v>
      </c>
      <c r="K796" s="32">
        <v>0.79067785103785093</v>
      </c>
      <c r="M796" s="36">
        <v>6999</v>
      </c>
      <c r="O796" s="30"/>
      <c r="P796" s="37" t="s">
        <v>10</v>
      </c>
    </row>
    <row r="797" spans="2:16" x14ac:dyDescent="0.25">
      <c r="B797" t="s">
        <v>60</v>
      </c>
      <c r="C797" t="s">
        <v>61</v>
      </c>
      <c r="D797" t="s">
        <v>21</v>
      </c>
      <c r="E797" s="6">
        <v>0.95959595959595956</v>
      </c>
      <c r="F797" t="s">
        <v>18</v>
      </c>
      <c r="G797"/>
      <c r="H797" s="33">
        <v>0.35</v>
      </c>
      <c r="I797" s="31">
        <v>0.112903</v>
      </c>
      <c r="J797" s="31">
        <v>1</v>
      </c>
      <c r="K797" s="32">
        <v>0.48351640659340661</v>
      </c>
      <c r="M797" s="36">
        <v>7999</v>
      </c>
      <c r="O797" s="30"/>
      <c r="P797" s="37" t="s">
        <v>10</v>
      </c>
    </row>
    <row r="798" spans="2:16" x14ac:dyDescent="0.25">
      <c r="B798" t="s">
        <v>60</v>
      </c>
      <c r="C798" t="s">
        <v>61</v>
      </c>
      <c r="D798" t="s">
        <v>13</v>
      </c>
      <c r="E798" s="6">
        <v>0.8833333333333333</v>
      </c>
      <c r="F798" t="s">
        <v>14</v>
      </c>
      <c r="G798"/>
      <c r="H798" s="33">
        <v>0.95</v>
      </c>
      <c r="I798" s="31">
        <v>0.99193525000000005</v>
      </c>
      <c r="J798" s="31">
        <v>1</v>
      </c>
      <c r="K798" s="32">
        <v>0.98076915109890117</v>
      </c>
      <c r="M798" s="36">
        <v>329</v>
      </c>
      <c r="O798" s="30"/>
      <c r="P798" s="37" t="s">
        <v>10</v>
      </c>
    </row>
    <row r="799" spans="2:16" x14ac:dyDescent="0.25">
      <c r="B799" t="s">
        <v>60</v>
      </c>
      <c r="C799" t="s">
        <v>61</v>
      </c>
      <c r="D799" t="s">
        <v>13</v>
      </c>
      <c r="E799" s="6">
        <v>0.8833333333333333</v>
      </c>
      <c r="F799" t="s">
        <v>15</v>
      </c>
      <c r="G799"/>
      <c r="H799" s="33">
        <v>0.89821428571428563</v>
      </c>
      <c r="I799" s="31">
        <v>0.86002303571428573</v>
      </c>
      <c r="J799" s="31">
        <v>0.875</v>
      </c>
      <c r="K799" s="32">
        <v>0.87678315149136576</v>
      </c>
      <c r="M799" s="36">
        <v>289</v>
      </c>
      <c r="O799" s="29">
        <v>1.2528473804100292E-2</v>
      </c>
      <c r="P799" s="37">
        <v>292.620728929385</v>
      </c>
    </row>
    <row r="800" spans="2:16" x14ac:dyDescent="0.25">
      <c r="B800" t="s">
        <v>60</v>
      </c>
      <c r="C800" t="s">
        <v>101</v>
      </c>
      <c r="D800" t="s">
        <v>19</v>
      </c>
      <c r="E800" s="6">
        <v>1</v>
      </c>
      <c r="F800" t="s">
        <v>20</v>
      </c>
      <c r="G800"/>
      <c r="H800" s="33">
        <v>1</v>
      </c>
      <c r="I800" s="31">
        <v>1</v>
      </c>
      <c r="J800" s="31">
        <v>1</v>
      </c>
      <c r="K800" s="32">
        <v>1</v>
      </c>
      <c r="M800" s="36">
        <v>7359</v>
      </c>
      <c r="O800" s="29">
        <v>2.5000000000000001E-2</v>
      </c>
      <c r="P800" s="37">
        <v>7542.9749999999995</v>
      </c>
    </row>
    <row r="801" spans="2:16" x14ac:dyDescent="0.25">
      <c r="B801" t="s">
        <v>60</v>
      </c>
      <c r="C801" t="s">
        <v>101</v>
      </c>
      <c r="D801" t="s">
        <v>19</v>
      </c>
      <c r="E801" s="6">
        <v>1</v>
      </c>
      <c r="F801" t="s">
        <v>15</v>
      </c>
      <c r="G801"/>
      <c r="H801" s="33">
        <v>1</v>
      </c>
      <c r="I801" s="31">
        <v>1</v>
      </c>
      <c r="J801" s="31">
        <v>1</v>
      </c>
      <c r="K801" s="32">
        <v>1</v>
      </c>
      <c r="M801" s="36">
        <v>8549</v>
      </c>
      <c r="O801" s="29">
        <v>2.5000000000000001E-2</v>
      </c>
      <c r="P801" s="37">
        <v>8762.7249999999985</v>
      </c>
    </row>
    <row r="802" spans="2:16" x14ac:dyDescent="0.25">
      <c r="B802" t="s">
        <v>60</v>
      </c>
      <c r="C802" t="s">
        <v>101</v>
      </c>
      <c r="D802" t="s">
        <v>21</v>
      </c>
      <c r="E802" s="6">
        <v>1</v>
      </c>
      <c r="F802" t="s">
        <v>17</v>
      </c>
      <c r="G802"/>
      <c r="H802" s="33">
        <v>1</v>
      </c>
      <c r="I802" s="31">
        <v>1</v>
      </c>
      <c r="J802" s="31">
        <v>1</v>
      </c>
      <c r="K802" s="32">
        <v>1</v>
      </c>
      <c r="M802" s="36">
        <v>9129</v>
      </c>
      <c r="O802" s="29">
        <v>2.5000000000000001E-2</v>
      </c>
      <c r="P802" s="37">
        <v>9357.2249999999985</v>
      </c>
    </row>
    <row r="803" spans="2:16" x14ac:dyDescent="0.25">
      <c r="B803" t="s">
        <v>60</v>
      </c>
      <c r="C803" t="s">
        <v>101</v>
      </c>
      <c r="D803" t="s">
        <v>21</v>
      </c>
      <c r="E803" s="6">
        <v>1</v>
      </c>
      <c r="F803" t="s">
        <v>18</v>
      </c>
      <c r="G803"/>
      <c r="H803" s="33">
        <v>1</v>
      </c>
      <c r="I803" s="31">
        <v>1</v>
      </c>
      <c r="J803" s="31">
        <v>1</v>
      </c>
      <c r="K803" s="32">
        <v>1</v>
      </c>
      <c r="M803" s="36">
        <v>9989</v>
      </c>
      <c r="O803" s="29">
        <v>2.5000000000000001E-2</v>
      </c>
      <c r="P803" s="37">
        <v>10238.724999999999</v>
      </c>
    </row>
    <row r="804" spans="2:16" x14ac:dyDescent="0.25">
      <c r="B804" t="s">
        <v>60</v>
      </c>
      <c r="C804" t="s">
        <v>101</v>
      </c>
      <c r="D804" t="s">
        <v>13</v>
      </c>
      <c r="E804" s="6">
        <v>0.95114942528735624</v>
      </c>
      <c r="F804" t="s">
        <v>14</v>
      </c>
      <c r="G804"/>
      <c r="H804" s="33">
        <v>0.93333332352941167</v>
      </c>
      <c r="I804" s="31">
        <v>0.97058823529411764</v>
      </c>
      <c r="J804" s="31">
        <v>0.97549017647058822</v>
      </c>
      <c r="K804" s="32">
        <v>0.96167898190045253</v>
      </c>
      <c r="M804" s="36">
        <v>399</v>
      </c>
      <c r="O804" s="29">
        <v>2.5000000000000001E-2</v>
      </c>
      <c r="P804" s="37">
        <v>408.97499999999997</v>
      </c>
    </row>
    <row r="805" spans="2:16" x14ac:dyDescent="0.25">
      <c r="B805" t="s">
        <v>60</v>
      </c>
      <c r="C805" t="s">
        <v>101</v>
      </c>
      <c r="D805" t="s">
        <v>13</v>
      </c>
      <c r="E805" s="6">
        <v>0.95114942528735624</v>
      </c>
      <c r="F805" t="s">
        <v>15</v>
      </c>
      <c r="G805"/>
      <c r="H805" s="33">
        <v>0.7819444166666667</v>
      </c>
      <c r="I805" s="31">
        <v>0.83870966666666658</v>
      </c>
      <c r="J805" s="31">
        <v>0.91666666666666663</v>
      </c>
      <c r="K805" s="32">
        <v>0.84748763369963376</v>
      </c>
      <c r="M805" s="36">
        <v>329</v>
      </c>
      <c r="O805" s="30"/>
      <c r="P805" s="37" t="s">
        <v>10</v>
      </c>
    </row>
    <row r="806" spans="2:16" x14ac:dyDescent="0.25">
      <c r="B806" t="s">
        <v>60</v>
      </c>
      <c r="C806" t="s">
        <v>101</v>
      </c>
      <c r="D806" t="s">
        <v>24</v>
      </c>
      <c r="E806" s="6">
        <v>1</v>
      </c>
      <c r="F806" t="s">
        <v>80</v>
      </c>
      <c r="G806"/>
      <c r="H806" s="33">
        <v>1</v>
      </c>
      <c r="I806" s="31">
        <v>1</v>
      </c>
      <c r="J806" s="31">
        <v>1</v>
      </c>
      <c r="K806" s="32">
        <v>1</v>
      </c>
      <c r="M806" s="36">
        <v>3199</v>
      </c>
      <c r="O806" s="29">
        <v>2.5000000000000001E-2</v>
      </c>
      <c r="P806" s="37">
        <v>3278.9749999999999</v>
      </c>
    </row>
    <row r="807" spans="2:16" x14ac:dyDescent="0.25">
      <c r="B807" t="s">
        <v>60</v>
      </c>
      <c r="C807" t="s">
        <v>101</v>
      </c>
      <c r="D807" t="s">
        <v>24</v>
      </c>
      <c r="E807" s="6">
        <v>1</v>
      </c>
      <c r="F807" t="s">
        <v>102</v>
      </c>
      <c r="G807"/>
      <c r="H807" s="33">
        <v>1</v>
      </c>
      <c r="I807" s="31">
        <v>1</v>
      </c>
      <c r="J807" s="31">
        <v>1</v>
      </c>
      <c r="K807" s="32">
        <v>1</v>
      </c>
      <c r="M807" s="36">
        <v>3289</v>
      </c>
      <c r="O807" s="29">
        <v>2.5000000000000001E-2</v>
      </c>
      <c r="P807" s="37">
        <v>3371.2249999999999</v>
      </c>
    </row>
    <row r="808" spans="2:16" x14ac:dyDescent="0.25">
      <c r="B808" t="s">
        <v>60</v>
      </c>
      <c r="C808" t="s">
        <v>103</v>
      </c>
      <c r="D808" t="s">
        <v>19</v>
      </c>
      <c r="E808" s="6">
        <v>0.99074074074074081</v>
      </c>
      <c r="F808" t="s">
        <v>20</v>
      </c>
      <c r="G808"/>
      <c r="H808" s="33">
        <v>0.98859644736842112</v>
      </c>
      <c r="I808" s="31">
        <v>0.96604410526315798</v>
      </c>
      <c r="J808" s="31">
        <v>0.98976605263157891</v>
      </c>
      <c r="K808" s="32">
        <v>0.97712924407171764</v>
      </c>
      <c r="M808" s="36">
        <v>5751.3684210526317</v>
      </c>
      <c r="O808" s="29">
        <v>2.5000000000000001E-2</v>
      </c>
      <c r="P808" s="37">
        <v>5895.152631578947</v>
      </c>
    </row>
    <row r="809" spans="2:16" x14ac:dyDescent="0.25">
      <c r="B809" t="s">
        <v>60</v>
      </c>
      <c r="C809" t="s">
        <v>103</v>
      </c>
      <c r="D809" t="s">
        <v>19</v>
      </c>
      <c r="E809" s="6">
        <v>0.99074074074074081</v>
      </c>
      <c r="F809" t="s">
        <v>34</v>
      </c>
      <c r="G809"/>
      <c r="H809" s="33">
        <v>1</v>
      </c>
      <c r="I809" s="31">
        <v>0.91129024999999997</v>
      </c>
      <c r="J809" s="31">
        <v>1</v>
      </c>
      <c r="K809" s="32">
        <v>0.96978019505494517</v>
      </c>
      <c r="M809" s="36">
        <v>6939</v>
      </c>
      <c r="O809" s="29">
        <v>0.01</v>
      </c>
      <c r="P809" s="37">
        <v>7008.39</v>
      </c>
    </row>
    <row r="810" spans="2:16" x14ac:dyDescent="0.25">
      <c r="B810" t="s">
        <v>60</v>
      </c>
      <c r="C810" t="s">
        <v>103</v>
      </c>
      <c r="D810" t="s">
        <v>13</v>
      </c>
      <c r="E810" s="6">
        <v>0.89316239316239321</v>
      </c>
      <c r="F810" t="s">
        <v>14</v>
      </c>
      <c r="G810"/>
      <c r="H810" s="33">
        <v>0.94351849999999993</v>
      </c>
      <c r="I810" s="31">
        <v>0.86021502777777781</v>
      </c>
      <c r="J810" s="31">
        <v>0.87962961111111104</v>
      </c>
      <c r="K810" s="32">
        <v>0.89872324206349197</v>
      </c>
      <c r="M810" s="36">
        <v>369</v>
      </c>
      <c r="O810" s="30"/>
      <c r="P810" s="37" t="s">
        <v>10</v>
      </c>
    </row>
    <row r="811" spans="2:16" x14ac:dyDescent="0.25">
      <c r="B811" t="s">
        <v>60</v>
      </c>
      <c r="C811" t="s">
        <v>103</v>
      </c>
      <c r="D811" t="s">
        <v>13</v>
      </c>
      <c r="E811" s="6">
        <v>0.89316239316239321</v>
      </c>
      <c r="F811" t="s">
        <v>15</v>
      </c>
      <c r="G811"/>
      <c r="H811" s="33">
        <v>0.93846153846153846</v>
      </c>
      <c r="I811" s="31">
        <v>0.95781634615384614</v>
      </c>
      <c r="J811" s="31">
        <v>0.92735042307692317</v>
      </c>
      <c r="K811" s="32">
        <v>0.93943178571428565</v>
      </c>
      <c r="M811" s="36">
        <v>319</v>
      </c>
      <c r="O811" s="30"/>
      <c r="P811" s="37" t="s">
        <v>10</v>
      </c>
    </row>
    <row r="812" spans="2:16" x14ac:dyDescent="0.25">
      <c r="B812" t="s">
        <v>60</v>
      </c>
      <c r="C812" t="s">
        <v>103</v>
      </c>
      <c r="D812" t="s">
        <v>13</v>
      </c>
      <c r="E812" s="6">
        <v>0.89316239316239321</v>
      </c>
      <c r="F812" t="s">
        <v>104</v>
      </c>
      <c r="G812"/>
      <c r="H812" s="33">
        <v>0.95555533333333331</v>
      </c>
      <c r="I812" s="31">
        <v>0.65591366666666662</v>
      </c>
      <c r="J812" s="31">
        <v>0.75925900000000002</v>
      </c>
      <c r="K812" s="32">
        <v>0.80601982051282051</v>
      </c>
      <c r="M812" s="36">
        <v>519</v>
      </c>
      <c r="O812" s="30"/>
      <c r="P812" s="37" t="s">
        <v>10</v>
      </c>
    </row>
    <row r="813" spans="2:16" x14ac:dyDescent="0.25">
      <c r="B813" t="s">
        <v>60</v>
      </c>
      <c r="C813" t="s">
        <v>105</v>
      </c>
      <c r="D813" t="s">
        <v>19</v>
      </c>
      <c r="E813" s="6">
        <v>0.92483660130718948</v>
      </c>
      <c r="F813" t="s">
        <v>20</v>
      </c>
      <c r="G813"/>
      <c r="H813" s="33">
        <v>0.97011493103448276</v>
      </c>
      <c r="I813" s="31">
        <v>0.96329251724137932</v>
      </c>
      <c r="J813" s="31">
        <v>0.91187737931034485</v>
      </c>
      <c r="K813" s="32">
        <v>0.94996455968169768</v>
      </c>
      <c r="M813" s="36">
        <v>6019</v>
      </c>
      <c r="O813" s="30"/>
      <c r="P813" s="37" t="s">
        <v>10</v>
      </c>
    </row>
    <row r="814" spans="2:16" x14ac:dyDescent="0.25">
      <c r="B814" t="s">
        <v>60</v>
      </c>
      <c r="C814" t="s">
        <v>105</v>
      </c>
      <c r="D814" t="s">
        <v>19</v>
      </c>
      <c r="E814" s="6">
        <v>0.92483660130718948</v>
      </c>
      <c r="F814" t="s">
        <v>31</v>
      </c>
      <c r="G814"/>
      <c r="H814" s="33" t="s">
        <v>10</v>
      </c>
      <c r="I814" s="31" t="s">
        <v>10</v>
      </c>
      <c r="J814" s="31" t="s">
        <v>10</v>
      </c>
      <c r="K814" s="32" t="s">
        <v>10</v>
      </c>
      <c r="M814" s="36" t="s">
        <v>10</v>
      </c>
      <c r="O814" s="30"/>
      <c r="P814" s="37" t="s">
        <v>10</v>
      </c>
    </row>
    <row r="815" spans="2:16" x14ac:dyDescent="0.25">
      <c r="B815" t="s">
        <v>60</v>
      </c>
      <c r="C815" t="s">
        <v>105</v>
      </c>
      <c r="D815" t="s">
        <v>19</v>
      </c>
      <c r="E815" s="6">
        <v>0.92483660130718948</v>
      </c>
      <c r="F815" t="s">
        <v>15</v>
      </c>
      <c r="G815"/>
      <c r="H815" s="33">
        <v>0.99333320000000003</v>
      </c>
      <c r="I815" s="31">
        <v>1</v>
      </c>
      <c r="J815" s="31">
        <v>1</v>
      </c>
      <c r="K815" s="32">
        <v>0.99780215384615389</v>
      </c>
      <c r="M815" s="36">
        <v>7339</v>
      </c>
      <c r="O815" s="30"/>
      <c r="P815" s="37" t="s">
        <v>10</v>
      </c>
    </row>
    <row r="816" spans="2:16" x14ac:dyDescent="0.25">
      <c r="B816" t="s">
        <v>60</v>
      </c>
      <c r="C816" t="s">
        <v>105</v>
      </c>
      <c r="D816" t="s">
        <v>21</v>
      </c>
      <c r="E816" s="6">
        <v>0.92145593869731801</v>
      </c>
      <c r="F816" t="s">
        <v>22</v>
      </c>
      <c r="G816"/>
      <c r="H816" s="33">
        <v>0.89012344444444436</v>
      </c>
      <c r="I816" s="31">
        <v>0.86738348148148148</v>
      </c>
      <c r="J816" s="31">
        <v>0.91975307407407403</v>
      </c>
      <c r="K816" s="32">
        <v>0.89789596011396022</v>
      </c>
      <c r="M816" s="36">
        <v>7949</v>
      </c>
      <c r="O816" s="30"/>
      <c r="P816" s="37" t="s">
        <v>10</v>
      </c>
    </row>
    <row r="817" spans="2:16" x14ac:dyDescent="0.25">
      <c r="B817" t="s">
        <v>60</v>
      </c>
      <c r="C817" t="s">
        <v>105</v>
      </c>
      <c r="D817" t="s">
        <v>21</v>
      </c>
      <c r="E817" s="6">
        <v>0.92145593869731801</v>
      </c>
      <c r="F817" t="s">
        <v>23</v>
      </c>
      <c r="G817"/>
      <c r="H817" s="33">
        <v>1</v>
      </c>
      <c r="I817" s="31">
        <v>1</v>
      </c>
      <c r="J817" s="31">
        <v>0.94444399999999995</v>
      </c>
      <c r="K817" s="32">
        <v>1</v>
      </c>
      <c r="M817" s="36">
        <v>8509</v>
      </c>
      <c r="O817" s="30"/>
      <c r="P817" s="37" t="s">
        <v>10</v>
      </c>
    </row>
    <row r="818" spans="2:16" x14ac:dyDescent="0.25">
      <c r="B818" t="s">
        <v>60</v>
      </c>
      <c r="C818" t="s">
        <v>105</v>
      </c>
      <c r="D818" t="s">
        <v>13</v>
      </c>
      <c r="E818" s="6">
        <v>0.90864197530864188</v>
      </c>
      <c r="F818" t="s">
        <v>14</v>
      </c>
      <c r="G818"/>
      <c r="H818" s="33">
        <v>0.89523807142857148</v>
      </c>
      <c r="I818" s="31">
        <v>0.94239628571428569</v>
      </c>
      <c r="J818" s="31">
        <v>0.95039682142857151</v>
      </c>
      <c r="K818" s="32">
        <v>0.92997062244897954</v>
      </c>
      <c r="M818" s="36">
        <v>369</v>
      </c>
      <c r="O818" s="29">
        <v>2.5000000000000001E-2</v>
      </c>
      <c r="P818" s="37">
        <v>378.22499999999997</v>
      </c>
    </row>
    <row r="819" spans="2:16" x14ac:dyDescent="0.25">
      <c r="B819" t="s">
        <v>60</v>
      </c>
      <c r="C819" t="s">
        <v>105</v>
      </c>
      <c r="D819" t="s">
        <v>13</v>
      </c>
      <c r="E819" s="6">
        <v>0.90864197530864188</v>
      </c>
      <c r="F819" t="s">
        <v>15</v>
      </c>
      <c r="G819"/>
      <c r="H819" s="33">
        <v>0.86274505882352936</v>
      </c>
      <c r="I819" s="31">
        <v>0.84440223529411773</v>
      </c>
      <c r="J819" s="31">
        <v>0.83986923529411772</v>
      </c>
      <c r="K819" s="32">
        <v>0.86127423917259216</v>
      </c>
      <c r="M819" s="36">
        <v>319</v>
      </c>
      <c r="O819" s="30"/>
      <c r="P819" s="37" t="s">
        <v>10</v>
      </c>
    </row>
    <row r="820" spans="2:16" x14ac:dyDescent="0.25">
      <c r="B820" t="s">
        <v>60</v>
      </c>
      <c r="C820" t="s">
        <v>105</v>
      </c>
      <c r="D820" t="s">
        <v>16</v>
      </c>
      <c r="E820" s="6">
        <v>0.87301587301587291</v>
      </c>
      <c r="F820" t="s">
        <v>88</v>
      </c>
      <c r="G820"/>
      <c r="H820" s="33">
        <v>0.7</v>
      </c>
      <c r="I820" s="31">
        <v>0.65161290000000005</v>
      </c>
      <c r="J820" s="31">
        <v>0.84444440000000009</v>
      </c>
      <c r="K820" s="32">
        <v>0.73941709780219778</v>
      </c>
      <c r="M820" s="36">
        <v>329</v>
      </c>
      <c r="O820" s="30"/>
      <c r="P820" s="37" t="s">
        <v>10</v>
      </c>
    </row>
    <row r="821" spans="2:16" x14ac:dyDescent="0.25">
      <c r="B821" t="s">
        <v>60</v>
      </c>
      <c r="C821" t="s">
        <v>105</v>
      </c>
      <c r="D821" t="s">
        <v>16</v>
      </c>
      <c r="E821" s="6">
        <v>0.87301587301587291</v>
      </c>
      <c r="F821" t="s">
        <v>38</v>
      </c>
      <c r="G821"/>
      <c r="H821" s="33">
        <v>0.91666650000000005</v>
      </c>
      <c r="I821" s="31">
        <v>0.69354824999999998</v>
      </c>
      <c r="J821" s="31">
        <v>0.94444424999999999</v>
      </c>
      <c r="K821" s="32">
        <v>0.84663149175824171</v>
      </c>
      <c r="M821" s="36">
        <v>389</v>
      </c>
      <c r="O821" s="30"/>
      <c r="P821" s="37" t="s">
        <v>10</v>
      </c>
    </row>
    <row r="822" spans="2:16" x14ac:dyDescent="0.25">
      <c r="B822" t="s">
        <v>60</v>
      </c>
      <c r="C822" t="s">
        <v>106</v>
      </c>
      <c r="D822" t="s">
        <v>19</v>
      </c>
      <c r="E822" s="6">
        <v>0.83333333333333337</v>
      </c>
      <c r="F822" t="s">
        <v>20</v>
      </c>
      <c r="G822"/>
      <c r="H822" s="33">
        <v>0.97111106666666669</v>
      </c>
      <c r="I822" s="31">
        <v>0.93548380000000009</v>
      </c>
      <c r="J822" s="31">
        <v>0.92592586666666665</v>
      </c>
      <c r="K822" s="32">
        <v>0.9398311406593407</v>
      </c>
      <c r="M822" s="36">
        <v>6553</v>
      </c>
      <c r="O822" s="30"/>
      <c r="P822" s="37" t="s">
        <v>10</v>
      </c>
    </row>
    <row r="823" spans="2:16" x14ac:dyDescent="0.25">
      <c r="B823" t="s">
        <v>60</v>
      </c>
      <c r="C823" t="s">
        <v>106</v>
      </c>
      <c r="D823" t="s">
        <v>19</v>
      </c>
      <c r="E823" s="6">
        <v>0.83333333333333337</v>
      </c>
      <c r="F823" t="s">
        <v>49</v>
      </c>
      <c r="G823"/>
      <c r="H823" s="33">
        <v>0.91666650000000005</v>
      </c>
      <c r="I823" s="31">
        <v>0.60483850000000006</v>
      </c>
      <c r="J823" s="31">
        <v>0.48611074999999998</v>
      </c>
      <c r="K823" s="32">
        <v>0.66949336263736259</v>
      </c>
      <c r="M823" s="36">
        <v>7409</v>
      </c>
      <c r="O823" s="30"/>
      <c r="P823" s="37" t="s">
        <v>10</v>
      </c>
    </row>
    <row r="824" spans="2:16" x14ac:dyDescent="0.25">
      <c r="B824" t="s">
        <v>60</v>
      </c>
      <c r="C824" t="s">
        <v>106</v>
      </c>
      <c r="D824" t="s">
        <v>21</v>
      </c>
      <c r="E824" s="6">
        <v>0.97916666666666663</v>
      </c>
      <c r="F824" t="s">
        <v>107</v>
      </c>
      <c r="G824"/>
      <c r="H824" s="33">
        <v>0.9833332857142858</v>
      </c>
      <c r="I824" s="31">
        <v>0.97235014285714283</v>
      </c>
      <c r="J824" s="31">
        <v>0.97619042857142857</v>
      </c>
      <c r="K824" s="32">
        <v>0.9789433610675039</v>
      </c>
      <c r="M824" s="36">
        <v>8251.1428571428569</v>
      </c>
      <c r="O824" s="29">
        <v>2.5000000000000001E-2</v>
      </c>
      <c r="P824" s="37">
        <v>8457.4214285714279</v>
      </c>
    </row>
    <row r="825" spans="2:16" x14ac:dyDescent="0.25">
      <c r="B825" t="s">
        <v>60</v>
      </c>
      <c r="C825" t="s">
        <v>106</v>
      </c>
      <c r="D825" t="s">
        <v>21</v>
      </c>
      <c r="E825" s="6">
        <v>0.97916666666666663</v>
      </c>
      <c r="F825" t="s">
        <v>108</v>
      </c>
      <c r="G825"/>
      <c r="H825" s="33">
        <v>1</v>
      </c>
      <c r="I825" s="31">
        <v>1</v>
      </c>
      <c r="J825" s="31">
        <v>1</v>
      </c>
      <c r="K825" s="32">
        <v>1</v>
      </c>
      <c r="M825" s="36">
        <v>9329</v>
      </c>
      <c r="O825" s="29">
        <v>2.5000000000000001E-2</v>
      </c>
      <c r="P825" s="37">
        <v>9562.2249999999985</v>
      </c>
    </row>
    <row r="826" spans="2:16" x14ac:dyDescent="0.25">
      <c r="B826" t="s">
        <v>60</v>
      </c>
      <c r="C826" t="s">
        <v>106</v>
      </c>
      <c r="D826" t="s">
        <v>13</v>
      </c>
      <c r="E826" s="6">
        <v>0.98174603174603181</v>
      </c>
      <c r="F826" t="s">
        <v>20</v>
      </c>
      <c r="G826"/>
      <c r="H826" s="33">
        <v>0.98913041304347826</v>
      </c>
      <c r="I826" s="31">
        <v>0.97685828260869556</v>
      </c>
      <c r="J826" s="31">
        <v>0.97342993478260875</v>
      </c>
      <c r="K826" s="32">
        <v>0.97762725298614428</v>
      </c>
      <c r="M826" s="36">
        <v>334.21739130434781</v>
      </c>
      <c r="O826" s="29">
        <v>0.05</v>
      </c>
      <c r="P826" s="37">
        <v>350.92826086956524</v>
      </c>
    </row>
    <row r="827" spans="2:16" x14ac:dyDescent="0.25">
      <c r="B827" t="s">
        <v>60</v>
      </c>
      <c r="C827" t="s">
        <v>106</v>
      </c>
      <c r="D827" t="s">
        <v>13</v>
      </c>
      <c r="E827" s="6">
        <v>0.98174603174603181</v>
      </c>
      <c r="F827" t="s">
        <v>49</v>
      </c>
      <c r="G827"/>
      <c r="H827" s="33">
        <v>0.95277774999999998</v>
      </c>
      <c r="I827" s="31">
        <v>0.97311824999999985</v>
      </c>
      <c r="J827" s="31">
        <v>0.99768516666666673</v>
      </c>
      <c r="K827" s="32">
        <v>0.9740802417582417</v>
      </c>
      <c r="M827" s="36">
        <v>319</v>
      </c>
      <c r="O827" s="29">
        <v>2.5000000000000001E-2</v>
      </c>
      <c r="P827" s="37">
        <v>326.97499999999997</v>
      </c>
    </row>
    <row r="828" spans="2:16" s="10" customFormat="1" x14ac:dyDescent="0.25">
      <c r="B828" t="s">
        <v>60</v>
      </c>
      <c r="C828" t="s">
        <v>106</v>
      </c>
      <c r="D828" t="s">
        <v>16</v>
      </c>
      <c r="E828" s="6">
        <v>0.98765432098765438</v>
      </c>
      <c r="F828" t="s">
        <v>72</v>
      </c>
      <c r="G828"/>
      <c r="H828" s="33">
        <v>1</v>
      </c>
      <c r="I828" s="31">
        <v>0.98709670000000005</v>
      </c>
      <c r="J828" s="31">
        <v>0.98888880000000001</v>
      </c>
      <c r="K828" s="32">
        <v>0.99130428241758239</v>
      </c>
      <c r="L828"/>
      <c r="M828" s="36">
        <v>355</v>
      </c>
      <c r="N828"/>
      <c r="O828" s="29">
        <v>1.1142061281337047E-2</v>
      </c>
      <c r="P828" s="37">
        <v>358.95543175487467</v>
      </c>
    </row>
    <row r="829" spans="2:16" x14ac:dyDescent="0.25">
      <c r="B829" t="s">
        <v>60</v>
      </c>
      <c r="C829" t="s">
        <v>106</v>
      </c>
      <c r="D829" t="s">
        <v>16</v>
      </c>
      <c r="E829" s="6">
        <v>0.98765432098765438</v>
      </c>
      <c r="F829" t="s">
        <v>73</v>
      </c>
      <c r="G829"/>
      <c r="H829" s="33">
        <v>0.99583325</v>
      </c>
      <c r="I829" s="31">
        <v>1</v>
      </c>
      <c r="J829" s="31">
        <v>0.98611099999999996</v>
      </c>
      <c r="K829" s="32">
        <v>0.99504295329670345</v>
      </c>
      <c r="M829" s="36">
        <v>309</v>
      </c>
      <c r="O829" s="29">
        <v>0.1</v>
      </c>
      <c r="P829" s="37">
        <v>339.90000000000003</v>
      </c>
    </row>
    <row r="830" spans="2:16" x14ac:dyDescent="0.25">
      <c r="B830" t="s">
        <v>60</v>
      </c>
      <c r="C830" t="s">
        <v>126</v>
      </c>
      <c r="D830" t="s">
        <v>19</v>
      </c>
      <c r="E830" s="6">
        <v>0.96969696969696961</v>
      </c>
      <c r="F830" t="s">
        <v>20</v>
      </c>
      <c r="G830"/>
      <c r="H830" s="33">
        <v>0.98518516666666678</v>
      </c>
      <c r="I830" s="31">
        <v>0.89784944444444448</v>
      </c>
      <c r="J830" s="31">
        <v>0.96296288888888881</v>
      </c>
      <c r="K830" s="32">
        <v>0.94678023199023209</v>
      </c>
      <c r="M830" s="36">
        <v>4909</v>
      </c>
      <c r="O830" s="30"/>
      <c r="P830" s="37" t="s">
        <v>10</v>
      </c>
    </row>
    <row r="831" spans="2:16" x14ac:dyDescent="0.25">
      <c r="B831" t="s">
        <v>60</v>
      </c>
      <c r="C831" t="s">
        <v>126</v>
      </c>
      <c r="D831" t="s">
        <v>19</v>
      </c>
      <c r="E831" s="6">
        <v>0.96969696969696961</v>
      </c>
      <c r="F831" t="s">
        <v>15</v>
      </c>
      <c r="G831"/>
      <c r="H831" s="33">
        <v>1</v>
      </c>
      <c r="I831" s="31">
        <v>0.93548374999999995</v>
      </c>
      <c r="J831" s="31">
        <v>1</v>
      </c>
      <c r="K831" s="32">
        <v>0.97802193681318672</v>
      </c>
      <c r="M831" s="36">
        <v>6349</v>
      </c>
      <c r="O831" s="29">
        <v>0.01</v>
      </c>
      <c r="P831" s="37">
        <v>6412.49</v>
      </c>
    </row>
    <row r="832" spans="2:16" x14ac:dyDescent="0.25">
      <c r="B832" t="s">
        <v>60</v>
      </c>
      <c r="C832" t="s">
        <v>126</v>
      </c>
      <c r="D832" t="s">
        <v>21</v>
      </c>
      <c r="E832" s="6">
        <v>1</v>
      </c>
      <c r="F832" t="s">
        <v>17</v>
      </c>
      <c r="G832"/>
      <c r="H832" s="33">
        <v>0.98888888888888893</v>
      </c>
      <c r="I832" s="31">
        <v>0.99283144444444438</v>
      </c>
      <c r="J832" s="31">
        <v>1</v>
      </c>
      <c r="K832" s="32">
        <v>0.99389496092796092</v>
      </c>
      <c r="M832" s="36">
        <v>6969</v>
      </c>
      <c r="O832" s="29">
        <v>2.5000000000000001E-2</v>
      </c>
      <c r="P832" s="37">
        <v>7143.2249999999995</v>
      </c>
    </row>
    <row r="833" spans="2:16" x14ac:dyDescent="0.25">
      <c r="B833" t="s">
        <v>60</v>
      </c>
      <c r="C833" t="s">
        <v>126</v>
      </c>
      <c r="D833" t="s">
        <v>21</v>
      </c>
      <c r="E833" s="6">
        <v>1</v>
      </c>
      <c r="F833" t="s">
        <v>18</v>
      </c>
      <c r="G833"/>
      <c r="H833" s="33">
        <v>1</v>
      </c>
      <c r="I833" s="31">
        <v>1</v>
      </c>
      <c r="J833" s="31">
        <v>1</v>
      </c>
      <c r="K833" s="32">
        <v>1</v>
      </c>
      <c r="M833" s="36">
        <v>7769</v>
      </c>
      <c r="O833" s="29">
        <v>2.5000000000000001E-2</v>
      </c>
      <c r="P833" s="37">
        <v>7963.2249999999995</v>
      </c>
    </row>
    <row r="834" spans="2:16" x14ac:dyDescent="0.25">
      <c r="B834" t="s">
        <v>60</v>
      </c>
      <c r="C834" t="s">
        <v>126</v>
      </c>
      <c r="D834" t="s">
        <v>13</v>
      </c>
      <c r="E834" s="6">
        <v>0.90322580645161288</v>
      </c>
      <c r="F834" t="s">
        <v>14</v>
      </c>
      <c r="G834"/>
      <c r="H834" s="33">
        <v>0.91666650000000005</v>
      </c>
      <c r="I834" s="31">
        <v>0.95967725000000004</v>
      </c>
      <c r="J834" s="31">
        <v>0.94444424999999999</v>
      </c>
      <c r="K834" s="32">
        <v>0.94445752472527467</v>
      </c>
      <c r="M834" s="36">
        <v>319</v>
      </c>
      <c r="O834" s="30"/>
      <c r="P834" s="37" t="s">
        <v>10</v>
      </c>
    </row>
    <row r="835" spans="2:16" x14ac:dyDescent="0.25">
      <c r="B835" t="s">
        <v>60</v>
      </c>
      <c r="C835" t="s">
        <v>126</v>
      </c>
      <c r="D835" t="s">
        <v>13</v>
      </c>
      <c r="E835" s="6">
        <v>0.90322580645161288</v>
      </c>
      <c r="F835" t="s">
        <v>15</v>
      </c>
      <c r="G835"/>
      <c r="H835" s="33">
        <v>0.9076023333333334</v>
      </c>
      <c r="I835" s="31">
        <v>0.8771929824561403</v>
      </c>
      <c r="J835" s="31">
        <v>0.90448342105263158</v>
      </c>
      <c r="K835" s="32">
        <v>0.89425905533063421</v>
      </c>
      <c r="M835" s="36">
        <v>269</v>
      </c>
      <c r="O835" s="29">
        <v>1.1029411764705883E-2</v>
      </c>
      <c r="P835" s="37">
        <v>271.96691176470586</v>
      </c>
    </row>
    <row r="836" spans="2:16" x14ac:dyDescent="0.25">
      <c r="B836" t="s">
        <v>60</v>
      </c>
      <c r="C836" t="s">
        <v>126</v>
      </c>
      <c r="D836" t="s">
        <v>13</v>
      </c>
      <c r="E836" s="6">
        <v>0.90322580645161288</v>
      </c>
      <c r="F836" t="s">
        <v>79</v>
      </c>
      <c r="G836"/>
      <c r="H836" s="33">
        <v>1</v>
      </c>
      <c r="I836" s="31">
        <v>0.77419300000000002</v>
      </c>
      <c r="J836" s="31">
        <v>0.66666599999999998</v>
      </c>
      <c r="K836" s="32">
        <v>0.851409043956044</v>
      </c>
      <c r="M836" s="36">
        <v>329</v>
      </c>
      <c r="O836" s="30"/>
      <c r="P836" s="37" t="s">
        <v>10</v>
      </c>
    </row>
    <row r="837" spans="2:16" x14ac:dyDescent="0.25">
      <c r="B837" t="s">
        <v>60</v>
      </c>
      <c r="C837" t="s">
        <v>140</v>
      </c>
      <c r="D837" t="s">
        <v>19</v>
      </c>
      <c r="E837" s="6">
        <v>0.91666666666666674</v>
      </c>
      <c r="F837" t="s">
        <v>20</v>
      </c>
      <c r="G837"/>
      <c r="H837" s="33">
        <v>0.94814814814814818</v>
      </c>
      <c r="I837" s="31">
        <v>0.87335722222222223</v>
      </c>
      <c r="J837" s="31">
        <v>0.93209874074074073</v>
      </c>
      <c r="K837" s="32">
        <v>0.91959087301587317</v>
      </c>
      <c r="M837" s="36">
        <v>6319</v>
      </c>
      <c r="O837" s="29">
        <v>0.01</v>
      </c>
      <c r="P837" s="37">
        <v>6382.1900000000005</v>
      </c>
    </row>
    <row r="838" spans="2:16" x14ac:dyDescent="0.25">
      <c r="B838" t="s">
        <v>60</v>
      </c>
      <c r="C838" t="s">
        <v>140</v>
      </c>
      <c r="D838" t="s">
        <v>19</v>
      </c>
      <c r="E838" s="6">
        <v>0.91666666666666674</v>
      </c>
      <c r="F838" t="s">
        <v>128</v>
      </c>
      <c r="G838"/>
      <c r="H838" s="33">
        <v>1</v>
      </c>
      <c r="I838" s="31">
        <v>1</v>
      </c>
      <c r="J838" s="31">
        <v>1</v>
      </c>
      <c r="K838" s="32">
        <v>1</v>
      </c>
      <c r="M838" s="36">
        <v>7659</v>
      </c>
      <c r="O838" s="30"/>
      <c r="P838" s="37" t="s">
        <v>10</v>
      </c>
    </row>
    <row r="839" spans="2:16" x14ac:dyDescent="0.25">
      <c r="B839" t="s">
        <v>60</v>
      </c>
      <c r="C839" t="s">
        <v>140</v>
      </c>
      <c r="D839" t="s">
        <v>19</v>
      </c>
      <c r="E839" s="6">
        <v>0.91666666666666674</v>
      </c>
      <c r="F839" t="s">
        <v>15</v>
      </c>
      <c r="G839"/>
      <c r="H839" s="33">
        <v>1</v>
      </c>
      <c r="I839" s="31">
        <v>0.9354838333333334</v>
      </c>
      <c r="J839" s="31">
        <v>0.83333333333333337</v>
      </c>
      <c r="K839" s="32">
        <v>0.92307691025641025</v>
      </c>
      <c r="M839" s="36">
        <v>7519</v>
      </c>
      <c r="O839" s="30"/>
      <c r="P839" s="37" t="s">
        <v>10</v>
      </c>
    </row>
    <row r="840" spans="2:16" x14ac:dyDescent="0.25">
      <c r="B840" t="s">
        <v>60</v>
      </c>
      <c r="C840" t="s">
        <v>140</v>
      </c>
      <c r="D840" t="s">
        <v>13</v>
      </c>
      <c r="E840" s="6">
        <v>0.92911877394636011</v>
      </c>
      <c r="F840" t="s">
        <v>14</v>
      </c>
      <c r="G840"/>
      <c r="H840" s="33">
        <v>0.95833325000000003</v>
      </c>
      <c r="I840" s="31">
        <v>0.99193525000000005</v>
      </c>
      <c r="J840" s="31">
        <v>0.91666650000000005</v>
      </c>
      <c r="K840" s="32">
        <v>0.96201610164835161</v>
      </c>
      <c r="M840" s="36">
        <v>419</v>
      </c>
      <c r="O840" s="29">
        <v>2.5000000000000001E-2</v>
      </c>
      <c r="P840" s="37">
        <v>429.47499999999997</v>
      </c>
    </row>
    <row r="841" spans="2:16" x14ac:dyDescent="0.25">
      <c r="B841" t="s">
        <v>60</v>
      </c>
      <c r="C841" t="s">
        <v>140</v>
      </c>
      <c r="D841" t="s">
        <v>13</v>
      </c>
      <c r="E841" s="6">
        <v>0.92911877394636011</v>
      </c>
      <c r="F841" t="s">
        <v>15</v>
      </c>
      <c r="G841"/>
      <c r="H841" s="33">
        <v>0.90925925925925932</v>
      </c>
      <c r="I841" s="31">
        <v>0.92592592592592593</v>
      </c>
      <c r="J841" s="31">
        <v>0.9300411481481482</v>
      </c>
      <c r="K841" s="32">
        <v>0.92388207366707376</v>
      </c>
      <c r="M841" s="36">
        <v>359</v>
      </c>
      <c r="O841" s="29">
        <v>2.5000000000000001E-2</v>
      </c>
      <c r="P841" s="37">
        <v>367.97499999999997</v>
      </c>
    </row>
    <row r="842" spans="2:16" x14ac:dyDescent="0.25">
      <c r="B842" t="s">
        <v>60</v>
      </c>
      <c r="C842" t="s">
        <v>140</v>
      </c>
      <c r="D842" t="s">
        <v>24</v>
      </c>
      <c r="E842" s="6">
        <v>0.92</v>
      </c>
      <c r="F842" t="s">
        <v>80</v>
      </c>
      <c r="G842"/>
      <c r="H842" s="33">
        <v>0.88533331999999998</v>
      </c>
      <c r="I842" s="31">
        <v>0.91096772000000004</v>
      </c>
      <c r="J842" s="31">
        <v>0.92</v>
      </c>
      <c r="K842" s="32">
        <v>0.90549449362637358</v>
      </c>
      <c r="M842" s="36">
        <v>2829</v>
      </c>
      <c r="O842" s="30"/>
      <c r="P842" s="37" t="s">
        <v>10</v>
      </c>
    </row>
    <row r="843" spans="2:16" x14ac:dyDescent="0.25">
      <c r="B843" t="s">
        <v>60</v>
      </c>
      <c r="C843" t="s">
        <v>215</v>
      </c>
      <c r="D843" t="s">
        <v>19</v>
      </c>
      <c r="E843" s="6">
        <v>0.92013888888888884</v>
      </c>
      <c r="F843" t="s">
        <v>20</v>
      </c>
      <c r="G843"/>
      <c r="H843" s="33">
        <v>0.91025638461538461</v>
      </c>
      <c r="I843" s="31">
        <v>0.92307692307692313</v>
      </c>
      <c r="J843" s="31">
        <v>0.90170938461538463</v>
      </c>
      <c r="K843" s="32">
        <v>0.90782459847844466</v>
      </c>
      <c r="M843" s="36">
        <v>5129</v>
      </c>
      <c r="O843" s="29">
        <v>3.401386168449607E-2</v>
      </c>
      <c r="P843" s="37">
        <v>5303.4570965797802</v>
      </c>
    </row>
    <row r="844" spans="2:16" x14ac:dyDescent="0.25">
      <c r="B844" t="s">
        <v>60</v>
      </c>
      <c r="C844" t="s">
        <v>215</v>
      </c>
      <c r="D844" t="s">
        <v>19</v>
      </c>
      <c r="E844" s="6">
        <v>0.92013888888888884</v>
      </c>
      <c r="F844" t="s">
        <v>15</v>
      </c>
      <c r="G844"/>
      <c r="H844" s="33">
        <v>0.75555533333333325</v>
      </c>
      <c r="I844" s="31">
        <v>1</v>
      </c>
      <c r="J844" s="31">
        <v>1</v>
      </c>
      <c r="K844" s="32">
        <v>0.91941384615384614</v>
      </c>
      <c r="M844" s="36">
        <v>5819</v>
      </c>
      <c r="O844" s="30"/>
      <c r="P844" s="37" t="s">
        <v>10</v>
      </c>
    </row>
    <row r="845" spans="2:16" x14ac:dyDescent="0.25">
      <c r="B845" t="s">
        <v>60</v>
      </c>
      <c r="C845" t="s">
        <v>215</v>
      </c>
      <c r="D845" t="s">
        <v>13</v>
      </c>
      <c r="E845" s="6">
        <v>0.83072916666666663</v>
      </c>
      <c r="F845" t="s">
        <v>15</v>
      </c>
      <c r="G845"/>
      <c r="H845" s="33">
        <v>0.90289854347826082</v>
      </c>
      <c r="I845" s="31">
        <v>0.89060306521739119</v>
      </c>
      <c r="J845" s="31">
        <v>0.9045893695652174</v>
      </c>
      <c r="K845" s="32">
        <v>0.89987327305303411</v>
      </c>
      <c r="M845" s="36">
        <v>269</v>
      </c>
      <c r="O845" s="30"/>
      <c r="P845" s="37" t="s">
        <v>10</v>
      </c>
    </row>
    <row r="846" spans="2:16" x14ac:dyDescent="0.25">
      <c r="B846" t="s">
        <v>60</v>
      </c>
      <c r="C846" t="s">
        <v>215</v>
      </c>
      <c r="D846" t="s">
        <v>13</v>
      </c>
      <c r="E846" s="6">
        <v>0.83072916666666663</v>
      </c>
      <c r="F846" t="s">
        <v>14</v>
      </c>
      <c r="G846"/>
      <c r="H846" s="33">
        <v>0.35925922222222223</v>
      </c>
      <c r="I846" s="31">
        <v>0.62007166666666658</v>
      </c>
      <c r="J846" s="31">
        <v>0.59876533333333326</v>
      </c>
      <c r="K846" s="32">
        <v>0.5239687362637363</v>
      </c>
      <c r="M846" s="36">
        <v>299</v>
      </c>
      <c r="O846" s="30"/>
      <c r="P846" s="37" t="s">
        <v>10</v>
      </c>
    </row>
    <row r="847" spans="2:16" x14ac:dyDescent="0.25">
      <c r="B847" t="s">
        <v>60</v>
      </c>
      <c r="C847" t="s">
        <v>215</v>
      </c>
      <c r="D847" t="s">
        <v>13</v>
      </c>
      <c r="E847" s="6">
        <v>0.83072916666666663</v>
      </c>
      <c r="F847" t="s">
        <v>56</v>
      </c>
      <c r="G847"/>
      <c r="H847" s="33">
        <v>0.72222222222222221</v>
      </c>
      <c r="I847" s="31">
        <v>0.70609311111111106</v>
      </c>
      <c r="J847" s="31">
        <v>0.68518511111111113</v>
      </c>
      <c r="K847" s="32">
        <v>0.72070919169719161</v>
      </c>
      <c r="M847" s="36">
        <v>589</v>
      </c>
      <c r="O847" s="30"/>
      <c r="P847" s="37" t="s">
        <v>10</v>
      </c>
    </row>
    <row r="848" spans="2:16" x14ac:dyDescent="0.25">
      <c r="B848" t="s">
        <v>60</v>
      </c>
      <c r="C848" t="s">
        <v>217</v>
      </c>
      <c r="D848" t="s">
        <v>19</v>
      </c>
      <c r="E848" s="6">
        <v>0.88888888888888884</v>
      </c>
      <c r="F848" t="s">
        <v>20</v>
      </c>
      <c r="G848"/>
      <c r="H848" s="33">
        <v>0.96666664285714288</v>
      </c>
      <c r="I848" s="31">
        <v>0.98617510714285717</v>
      </c>
      <c r="J848" s="31">
        <v>0.96825396428571431</v>
      </c>
      <c r="K848" s="32">
        <v>0.97355127668759811</v>
      </c>
      <c r="M848" s="36">
        <v>6889</v>
      </c>
      <c r="O848" s="30"/>
      <c r="P848" s="37" t="s">
        <v>10</v>
      </c>
    </row>
    <row r="849" spans="2:16" x14ac:dyDescent="0.25">
      <c r="B849" t="s">
        <v>60</v>
      </c>
      <c r="C849" t="s">
        <v>217</v>
      </c>
      <c r="D849" t="s">
        <v>19</v>
      </c>
      <c r="E849" s="6">
        <v>0.88888888888888884</v>
      </c>
      <c r="F849" t="s">
        <v>15</v>
      </c>
      <c r="G849"/>
      <c r="H849" s="33">
        <v>0.65</v>
      </c>
      <c r="I849" s="31">
        <v>0.50970864362804758</v>
      </c>
      <c r="J849" s="31">
        <v>0.5714285714285714</v>
      </c>
      <c r="K849" s="32">
        <v>0.56288292125158768</v>
      </c>
      <c r="M849" s="36">
        <v>8539</v>
      </c>
      <c r="O849" s="30"/>
      <c r="P849" s="37" t="s">
        <v>10</v>
      </c>
    </row>
    <row r="850" spans="2:16" x14ac:dyDescent="0.25">
      <c r="B850" t="s">
        <v>60</v>
      </c>
      <c r="C850" t="s">
        <v>217</v>
      </c>
      <c r="D850" t="s">
        <v>19</v>
      </c>
      <c r="E850" s="6">
        <v>0.88888888888888884</v>
      </c>
      <c r="F850" t="s">
        <v>192</v>
      </c>
      <c r="G850"/>
      <c r="H850" s="33">
        <v>1</v>
      </c>
      <c r="I850" s="31">
        <v>1</v>
      </c>
      <c r="J850" s="31" t="s">
        <v>10</v>
      </c>
      <c r="K850" s="32">
        <v>1</v>
      </c>
      <c r="M850" s="36" t="s">
        <v>10</v>
      </c>
      <c r="O850" s="30"/>
      <c r="P850" s="37" t="s">
        <v>10</v>
      </c>
    </row>
    <row r="851" spans="2:16" x14ac:dyDescent="0.25">
      <c r="B851" t="s">
        <v>60</v>
      </c>
      <c r="C851" t="s">
        <v>217</v>
      </c>
      <c r="D851" t="s">
        <v>13</v>
      </c>
      <c r="E851" s="6">
        <v>0.82434640522875824</v>
      </c>
      <c r="F851" t="s">
        <v>14</v>
      </c>
      <c r="G851"/>
      <c r="H851" s="33">
        <v>0.95833325000000003</v>
      </c>
      <c r="I851" s="31">
        <v>0.92741925000000003</v>
      </c>
      <c r="J851" s="31">
        <v>0.83333325000000003</v>
      </c>
      <c r="K851" s="32">
        <v>0.90062100824175828</v>
      </c>
      <c r="M851" s="36">
        <v>299</v>
      </c>
      <c r="O851" s="30"/>
      <c r="P851" s="37" t="s">
        <v>10</v>
      </c>
    </row>
    <row r="852" spans="2:16" x14ac:dyDescent="0.25">
      <c r="B852" t="s">
        <v>60</v>
      </c>
      <c r="C852" t="s">
        <v>217</v>
      </c>
      <c r="D852" t="s">
        <v>13</v>
      </c>
      <c r="E852" s="6">
        <v>0.82434640522875824</v>
      </c>
      <c r="F852" t="s">
        <v>15</v>
      </c>
      <c r="G852"/>
      <c r="H852" s="33">
        <v>0.88235294117647056</v>
      </c>
      <c r="I852" s="31">
        <v>0.89373811764705879</v>
      </c>
      <c r="J852" s="31">
        <v>0.9803921470588236</v>
      </c>
      <c r="K852" s="32">
        <v>0.91911412281835803</v>
      </c>
      <c r="M852" s="36">
        <v>269</v>
      </c>
      <c r="O852" s="30"/>
      <c r="P852" s="37" t="s">
        <v>10</v>
      </c>
    </row>
    <row r="853" spans="2:16" x14ac:dyDescent="0.25">
      <c r="B853" t="s">
        <v>60</v>
      </c>
      <c r="C853" t="s">
        <v>217</v>
      </c>
      <c r="D853" t="s">
        <v>13</v>
      </c>
      <c r="E853" s="6">
        <v>0.82434640522875824</v>
      </c>
      <c r="F853" t="s">
        <v>79</v>
      </c>
      <c r="G853"/>
      <c r="H853" s="33">
        <v>0.8711110666666666</v>
      </c>
      <c r="I853" s="31">
        <v>0.91182793333333334</v>
      </c>
      <c r="J853" s="31">
        <v>0.93333333333333335</v>
      </c>
      <c r="K853" s="32">
        <v>0.89593881245421259</v>
      </c>
      <c r="M853" s="36">
        <v>359</v>
      </c>
      <c r="O853" s="30"/>
      <c r="P853" s="37" t="s">
        <v>10</v>
      </c>
    </row>
    <row r="854" spans="2:16" x14ac:dyDescent="0.25">
      <c r="B854" t="s">
        <v>60</v>
      </c>
      <c r="C854" t="s">
        <v>217</v>
      </c>
      <c r="D854" t="s">
        <v>13</v>
      </c>
      <c r="E854" s="6">
        <v>0.82434640522875824</v>
      </c>
      <c r="F854" t="s">
        <v>56</v>
      </c>
      <c r="G854"/>
      <c r="H854" s="33">
        <v>0.7142857142857143</v>
      </c>
      <c r="I854" s="31">
        <v>0.77880171428571432</v>
      </c>
      <c r="J854" s="31">
        <v>0.56349199999999999</v>
      </c>
      <c r="K854" s="32">
        <v>0.69940612558869708</v>
      </c>
      <c r="M854" s="36">
        <v>609</v>
      </c>
      <c r="O854" s="30"/>
      <c r="P854" s="37" t="s">
        <v>10</v>
      </c>
    </row>
    <row r="855" spans="2:16" x14ac:dyDescent="0.25">
      <c r="B855" t="s">
        <v>60</v>
      </c>
      <c r="C855" t="s">
        <v>217</v>
      </c>
      <c r="D855" t="s">
        <v>13</v>
      </c>
      <c r="E855" s="6">
        <v>0.82434640522875824</v>
      </c>
      <c r="F855" t="s">
        <v>55</v>
      </c>
      <c r="G855"/>
      <c r="H855" s="33">
        <v>0.52083325000000003</v>
      </c>
      <c r="I855" s="31">
        <v>0.47177412499999999</v>
      </c>
      <c r="J855" s="31">
        <v>0.18055550000000001</v>
      </c>
      <c r="K855" s="32">
        <v>0.38795981181318684</v>
      </c>
      <c r="M855" s="36">
        <v>519</v>
      </c>
      <c r="O855" s="30"/>
      <c r="P855" s="37" t="s">
        <v>10</v>
      </c>
    </row>
    <row r="856" spans="2:16" x14ac:dyDescent="0.25">
      <c r="B856" t="s">
        <v>60</v>
      </c>
      <c r="C856" t="s">
        <v>233</v>
      </c>
      <c r="D856" t="s">
        <v>19</v>
      </c>
      <c r="E856" s="6">
        <v>0.86363636363636365</v>
      </c>
      <c r="F856" t="s">
        <v>20</v>
      </c>
      <c r="G856"/>
      <c r="H856" s="33">
        <v>0.77777777777777779</v>
      </c>
      <c r="I856" s="31">
        <v>0.83870966666666669</v>
      </c>
      <c r="J856" s="31">
        <v>0.88888888888888884</v>
      </c>
      <c r="K856" s="32">
        <v>0.83277591208791213</v>
      </c>
      <c r="M856" s="36">
        <v>5579</v>
      </c>
      <c r="O856" s="30"/>
      <c r="P856" s="37" t="s">
        <v>10</v>
      </c>
    </row>
    <row r="857" spans="2:16" x14ac:dyDescent="0.25">
      <c r="B857" t="s">
        <v>60</v>
      </c>
      <c r="C857" t="s">
        <v>233</v>
      </c>
      <c r="D857" t="s">
        <v>19</v>
      </c>
      <c r="E857" s="6">
        <v>0.86363636363636365</v>
      </c>
      <c r="F857" t="s">
        <v>15</v>
      </c>
      <c r="G857"/>
      <c r="H857" s="33">
        <v>1</v>
      </c>
      <c r="I857" s="31">
        <v>0.85483849999999995</v>
      </c>
      <c r="J857" s="31">
        <v>0.75</v>
      </c>
      <c r="K857" s="32">
        <v>0.87888185164835175</v>
      </c>
      <c r="M857" s="36">
        <v>7429</v>
      </c>
      <c r="O857" s="30"/>
      <c r="P857" s="37" t="s">
        <v>10</v>
      </c>
    </row>
    <row r="858" spans="2:16" x14ac:dyDescent="0.25">
      <c r="B858" t="s">
        <v>60</v>
      </c>
      <c r="C858" t="s">
        <v>233</v>
      </c>
      <c r="D858" t="s">
        <v>13</v>
      </c>
      <c r="E858" s="6">
        <v>0.78988603988603989</v>
      </c>
      <c r="F858" t="s">
        <v>14</v>
      </c>
      <c r="G858"/>
      <c r="H858" s="33">
        <v>1</v>
      </c>
      <c r="I858" s="31">
        <v>0.90322575000000005</v>
      </c>
      <c r="J858" s="31">
        <v>0.75</v>
      </c>
      <c r="K858" s="32">
        <v>0.88461536538461538</v>
      </c>
      <c r="M858" s="36">
        <v>299</v>
      </c>
      <c r="O858" s="30"/>
      <c r="P858" s="37" t="s">
        <v>10</v>
      </c>
    </row>
    <row r="859" spans="2:16" x14ac:dyDescent="0.25">
      <c r="B859" t="s">
        <v>60</v>
      </c>
      <c r="C859" t="s">
        <v>233</v>
      </c>
      <c r="D859" t="s">
        <v>13</v>
      </c>
      <c r="E859" s="6">
        <v>0.78988603988603989</v>
      </c>
      <c r="F859" t="s">
        <v>15</v>
      </c>
      <c r="G859"/>
      <c r="H859" s="33">
        <v>0.9285714285714286</v>
      </c>
      <c r="I859" s="31">
        <v>0.88076035714285716</v>
      </c>
      <c r="J859" s="31">
        <v>0.88095237500000001</v>
      </c>
      <c r="K859" s="32">
        <v>0.89590300431711145</v>
      </c>
      <c r="M859" s="36">
        <v>299</v>
      </c>
      <c r="O859" s="30"/>
      <c r="P859" s="37" t="s">
        <v>10</v>
      </c>
    </row>
    <row r="860" spans="2:16" x14ac:dyDescent="0.25">
      <c r="B860" t="s">
        <v>60</v>
      </c>
      <c r="C860" t="s">
        <v>233</v>
      </c>
      <c r="D860" t="s">
        <v>13</v>
      </c>
      <c r="E860" s="6">
        <v>0.78988603988603989</v>
      </c>
      <c r="F860" t="s">
        <v>56</v>
      </c>
      <c r="G860"/>
      <c r="H860" s="33">
        <v>0.84761900000000001</v>
      </c>
      <c r="I860" s="31">
        <v>0.55990778571428568</v>
      </c>
      <c r="J860" s="31">
        <v>0.42063485714285714</v>
      </c>
      <c r="K860" s="32">
        <v>0.61965050156985868</v>
      </c>
      <c r="M860" s="36">
        <v>449</v>
      </c>
      <c r="O860" s="30"/>
      <c r="P860" s="37" t="s">
        <v>10</v>
      </c>
    </row>
    <row r="861" spans="2:16" x14ac:dyDescent="0.25">
      <c r="B861" t="s">
        <v>60</v>
      </c>
      <c r="C861" t="s">
        <v>233</v>
      </c>
      <c r="D861" t="s">
        <v>13</v>
      </c>
      <c r="E861" s="6">
        <v>0.78988603988603989</v>
      </c>
      <c r="F861" t="s">
        <v>55</v>
      </c>
      <c r="G861"/>
      <c r="H861" s="33">
        <v>0.80833325</v>
      </c>
      <c r="I861" s="31">
        <v>0.8387095</v>
      </c>
      <c r="J861" s="31">
        <v>0.84722200000000003</v>
      </c>
      <c r="K861" s="32">
        <v>0.84245092857142867</v>
      </c>
      <c r="M861" s="36">
        <v>349</v>
      </c>
      <c r="O861" s="30"/>
      <c r="P861" s="37" t="s">
        <v>10</v>
      </c>
    </row>
    <row r="862" spans="2:16" x14ac:dyDescent="0.25">
      <c r="B862" t="s">
        <v>60</v>
      </c>
      <c r="C862" t="s">
        <v>233</v>
      </c>
      <c r="D862" t="s">
        <v>16</v>
      </c>
      <c r="E862" s="6">
        <v>1</v>
      </c>
      <c r="F862" t="s">
        <v>17</v>
      </c>
      <c r="G862"/>
      <c r="H862" s="33">
        <v>0.91111111111111098</v>
      </c>
      <c r="I862" s="31">
        <v>0.93906800000000012</v>
      </c>
      <c r="J862" s="31">
        <v>1</v>
      </c>
      <c r="K862" s="32">
        <v>0.94197583882783875</v>
      </c>
      <c r="M862" s="36">
        <v>349</v>
      </c>
      <c r="O862" s="30"/>
      <c r="P862" s="37" t="s">
        <v>10</v>
      </c>
    </row>
    <row r="863" spans="2:16" x14ac:dyDescent="0.25">
      <c r="B863" t="s">
        <v>60</v>
      </c>
      <c r="C863" t="s">
        <v>233</v>
      </c>
      <c r="D863" t="s">
        <v>16</v>
      </c>
      <c r="E863" s="6">
        <v>1</v>
      </c>
      <c r="F863" t="s">
        <v>18</v>
      </c>
      <c r="G863"/>
      <c r="H863" s="33">
        <v>0.99166650000000001</v>
      </c>
      <c r="I863" s="31">
        <v>1</v>
      </c>
      <c r="J863" s="31">
        <v>1</v>
      </c>
      <c r="K863" s="32">
        <v>0.99725269230769231</v>
      </c>
      <c r="M863" s="36">
        <v>309</v>
      </c>
      <c r="O863" s="30"/>
      <c r="P863" s="37" t="s">
        <v>10</v>
      </c>
    </row>
    <row r="864" spans="2:16" x14ac:dyDescent="0.25">
      <c r="B864" t="s">
        <v>60</v>
      </c>
      <c r="C864" t="s">
        <v>233</v>
      </c>
      <c r="D864" t="s">
        <v>24</v>
      </c>
      <c r="E864" s="6">
        <v>0.89473684210526316</v>
      </c>
      <c r="F864" t="s">
        <v>80</v>
      </c>
      <c r="G864"/>
      <c r="H864" s="33">
        <v>0.94444444444444442</v>
      </c>
      <c r="I864" s="31">
        <v>0.94444444444444442</v>
      </c>
      <c r="J864" s="31">
        <v>0.89473684210526316</v>
      </c>
      <c r="K864" s="32">
        <v>0.94444444444444442</v>
      </c>
      <c r="M864" s="36">
        <v>2489</v>
      </c>
      <c r="O864" s="30"/>
      <c r="P864" s="37" t="s">
        <v>10</v>
      </c>
    </row>
    <row r="865" spans="2:16" x14ac:dyDescent="0.25">
      <c r="B865" t="s">
        <v>60</v>
      </c>
      <c r="C865" t="s">
        <v>234</v>
      </c>
      <c r="D865" t="s">
        <v>19</v>
      </c>
      <c r="E865" s="6">
        <v>0.95454545454545459</v>
      </c>
      <c r="F865" t="s">
        <v>20</v>
      </c>
      <c r="G865"/>
      <c r="H865" s="33">
        <v>0.9370369999999999</v>
      </c>
      <c r="I865" s="31">
        <v>0.90860211111111111</v>
      </c>
      <c r="J865" s="31">
        <v>0.94444444444444442</v>
      </c>
      <c r="K865" s="32">
        <v>0.92979240415140418</v>
      </c>
      <c r="M865" s="36">
        <v>5519</v>
      </c>
      <c r="O865" s="30"/>
      <c r="P865" s="37" t="s">
        <v>10</v>
      </c>
    </row>
    <row r="866" spans="2:16" x14ac:dyDescent="0.25">
      <c r="B866" t="s">
        <v>60</v>
      </c>
      <c r="C866" t="s">
        <v>234</v>
      </c>
      <c r="D866" t="s">
        <v>19</v>
      </c>
      <c r="E866" s="6">
        <v>0.95454545454545459</v>
      </c>
      <c r="F866" t="s">
        <v>15</v>
      </c>
      <c r="G866"/>
      <c r="H866" s="33">
        <v>1</v>
      </c>
      <c r="I866" s="31">
        <v>1</v>
      </c>
      <c r="J866" s="31">
        <v>1</v>
      </c>
      <c r="K866" s="32">
        <v>1</v>
      </c>
      <c r="M866" s="36">
        <v>5979</v>
      </c>
      <c r="O866" s="29">
        <v>2.5000000000000001E-2</v>
      </c>
      <c r="P866" s="37">
        <v>6128.4749999999995</v>
      </c>
    </row>
    <row r="867" spans="2:16" x14ac:dyDescent="0.25">
      <c r="B867" t="s">
        <v>60</v>
      </c>
      <c r="C867" t="s">
        <v>234</v>
      </c>
      <c r="D867" t="s">
        <v>21</v>
      </c>
      <c r="E867" s="6">
        <v>0.92929292929292917</v>
      </c>
      <c r="F867" t="s">
        <v>17</v>
      </c>
      <c r="G867"/>
      <c r="H867" s="33">
        <v>0.95555555555555549</v>
      </c>
      <c r="I867" s="31">
        <v>1</v>
      </c>
      <c r="J867" s="31">
        <v>0.98148144444444441</v>
      </c>
      <c r="K867" s="32">
        <v>0.97260706959706966</v>
      </c>
      <c r="M867" s="36">
        <v>8739</v>
      </c>
      <c r="O867" s="30"/>
      <c r="P867" s="37" t="s">
        <v>10</v>
      </c>
    </row>
    <row r="868" spans="2:16" x14ac:dyDescent="0.25">
      <c r="B868" t="s">
        <v>60</v>
      </c>
      <c r="C868" t="s">
        <v>234</v>
      </c>
      <c r="D868" t="s">
        <v>21</v>
      </c>
      <c r="E868" s="6">
        <v>0.92929292929292917</v>
      </c>
      <c r="F868" t="s">
        <v>18</v>
      </c>
      <c r="G868"/>
      <c r="H868" s="33">
        <v>0.5</v>
      </c>
      <c r="I868" s="31">
        <v>0.67741899999999999</v>
      </c>
      <c r="J868" s="31">
        <v>0.69444399999999995</v>
      </c>
      <c r="K868" s="32">
        <v>0.61060652747252742</v>
      </c>
      <c r="M868" s="36">
        <v>8989</v>
      </c>
      <c r="O868" s="30"/>
      <c r="P868" s="37" t="s">
        <v>10</v>
      </c>
    </row>
    <row r="869" spans="2:16" s="10" customFormat="1" x14ac:dyDescent="0.25">
      <c r="B869" t="s">
        <v>60</v>
      </c>
      <c r="C869" t="s">
        <v>234</v>
      </c>
      <c r="D869" t="s">
        <v>13</v>
      </c>
      <c r="E869" s="6">
        <v>0.72129629629629632</v>
      </c>
      <c r="F869" t="s">
        <v>14</v>
      </c>
      <c r="G869"/>
      <c r="H869" s="33">
        <v>0.8895833125</v>
      </c>
      <c r="I869" s="31">
        <v>0.85685481249999995</v>
      </c>
      <c r="J869" s="31">
        <v>0.82986106250000002</v>
      </c>
      <c r="K869" s="32">
        <v>0.86914712706043951</v>
      </c>
      <c r="L869"/>
      <c r="M869" s="36">
        <v>369</v>
      </c>
      <c r="N869"/>
      <c r="O869" s="30"/>
      <c r="P869" s="37" t="s">
        <v>10</v>
      </c>
    </row>
    <row r="870" spans="2:16" x14ac:dyDescent="0.25">
      <c r="B870" t="s">
        <v>60</v>
      </c>
      <c r="C870" t="s">
        <v>234</v>
      </c>
      <c r="D870" t="s">
        <v>13</v>
      </c>
      <c r="E870" s="6">
        <v>0.72129629629629632</v>
      </c>
      <c r="F870" t="s">
        <v>15</v>
      </c>
      <c r="G870"/>
      <c r="H870" s="33">
        <v>0.75227272727272732</v>
      </c>
      <c r="I870" s="31">
        <v>0.78005863636363637</v>
      </c>
      <c r="J870" s="31">
        <v>0.68181818181818177</v>
      </c>
      <c r="K870" s="32">
        <v>0.73623115384615379</v>
      </c>
      <c r="M870" s="36">
        <v>309</v>
      </c>
      <c r="O870" s="30"/>
      <c r="P870" s="37" t="s">
        <v>10</v>
      </c>
    </row>
    <row r="871" spans="2:16" x14ac:dyDescent="0.25">
      <c r="B871" t="s">
        <v>60</v>
      </c>
      <c r="C871" t="s">
        <v>234</v>
      </c>
      <c r="D871" t="s">
        <v>24</v>
      </c>
      <c r="E871" s="6">
        <v>0.91666666666666663</v>
      </c>
      <c r="F871" t="s">
        <v>75</v>
      </c>
      <c r="G871"/>
      <c r="H871" s="33">
        <v>0.94722220833333326</v>
      </c>
      <c r="I871" s="31">
        <v>0.91666666666666663</v>
      </c>
      <c r="J871" s="31">
        <v>0.91666666666666663</v>
      </c>
      <c r="K871" s="32">
        <v>0.92673992216117196</v>
      </c>
      <c r="M871" s="36">
        <v>2999</v>
      </c>
      <c r="O871" s="30"/>
      <c r="P871" s="37" t="s">
        <v>10</v>
      </c>
    </row>
    <row r="872" spans="2:16" x14ac:dyDescent="0.25">
      <c r="B872" t="s">
        <v>60</v>
      </c>
      <c r="C872" t="s">
        <v>235</v>
      </c>
      <c r="D872" t="s">
        <v>19</v>
      </c>
      <c r="E872" s="6">
        <v>0.81666666666666665</v>
      </c>
      <c r="F872" t="s">
        <v>20</v>
      </c>
      <c r="G872"/>
      <c r="H872" s="33">
        <v>0.9375</v>
      </c>
      <c r="I872" s="31">
        <v>0.91801074999999999</v>
      </c>
      <c r="J872" s="31">
        <v>0.83101849999999999</v>
      </c>
      <c r="K872" s="32">
        <v>0.89592290659340657</v>
      </c>
      <c r="M872" s="36">
        <v>5799</v>
      </c>
      <c r="O872" s="30"/>
      <c r="P872" s="37" t="s">
        <v>10</v>
      </c>
    </row>
    <row r="873" spans="2:16" x14ac:dyDescent="0.25">
      <c r="B873" t="s">
        <v>60</v>
      </c>
      <c r="C873" t="s">
        <v>235</v>
      </c>
      <c r="D873" t="s">
        <v>19</v>
      </c>
      <c r="E873" s="6">
        <v>0.81666666666666665</v>
      </c>
      <c r="F873" t="s">
        <v>31</v>
      </c>
      <c r="G873"/>
      <c r="H873" s="33">
        <v>0.45</v>
      </c>
      <c r="I873" s="31">
        <v>0</v>
      </c>
      <c r="J873" s="31">
        <v>0.36111100000000002</v>
      </c>
      <c r="K873" s="32">
        <v>0.27735296703296702</v>
      </c>
      <c r="M873" s="36">
        <v>6629</v>
      </c>
      <c r="O873" s="30"/>
      <c r="P873" s="37" t="s">
        <v>10</v>
      </c>
    </row>
    <row r="874" spans="2:16" x14ac:dyDescent="0.25">
      <c r="B874" t="s">
        <v>60</v>
      </c>
      <c r="C874" t="s">
        <v>235</v>
      </c>
      <c r="D874" t="s">
        <v>19</v>
      </c>
      <c r="E874" s="6">
        <v>0.81666666666666665</v>
      </c>
      <c r="F874" t="s">
        <v>87</v>
      </c>
      <c r="G874"/>
      <c r="H874" s="33">
        <v>1</v>
      </c>
      <c r="I874" s="31">
        <v>1</v>
      </c>
      <c r="J874" s="31">
        <v>0.95833325000000003</v>
      </c>
      <c r="K874" s="32">
        <v>0.98924986263736259</v>
      </c>
      <c r="M874" s="36">
        <v>7549</v>
      </c>
      <c r="O874" s="30"/>
      <c r="P874" s="37" t="s">
        <v>10</v>
      </c>
    </row>
    <row r="875" spans="2:16" x14ac:dyDescent="0.25">
      <c r="B875" t="s">
        <v>60</v>
      </c>
      <c r="C875" t="s">
        <v>235</v>
      </c>
      <c r="D875" t="s">
        <v>21</v>
      </c>
      <c r="E875" s="6">
        <v>0.8</v>
      </c>
      <c r="F875" t="s">
        <v>58</v>
      </c>
      <c r="G875"/>
      <c r="H875" s="33">
        <v>0.74814811111111112</v>
      </c>
      <c r="I875" s="31">
        <v>0.77777777777777779</v>
      </c>
      <c r="J875" s="31">
        <v>0.77777777777777779</v>
      </c>
      <c r="K875" s="32">
        <v>0.76800975579975583</v>
      </c>
      <c r="M875" s="36">
        <v>8475.6666666666661</v>
      </c>
      <c r="O875" s="29">
        <v>-0.05</v>
      </c>
      <c r="P875" s="37">
        <v>8051.8833333333323</v>
      </c>
    </row>
    <row r="876" spans="2:16" x14ac:dyDescent="0.25">
      <c r="B876" t="s">
        <v>60</v>
      </c>
      <c r="C876" t="s">
        <v>235</v>
      </c>
      <c r="D876" t="s">
        <v>21</v>
      </c>
      <c r="E876" s="6">
        <v>0.8</v>
      </c>
      <c r="F876" t="s">
        <v>59</v>
      </c>
      <c r="G876"/>
      <c r="H876" s="33">
        <v>1</v>
      </c>
      <c r="I876" s="31">
        <v>1</v>
      </c>
      <c r="J876" s="31">
        <v>1</v>
      </c>
      <c r="K876" s="32">
        <v>1</v>
      </c>
      <c r="M876" s="36">
        <v>9689</v>
      </c>
      <c r="O876" s="30"/>
      <c r="P876" s="37" t="s">
        <v>10</v>
      </c>
    </row>
    <row r="877" spans="2:16" x14ac:dyDescent="0.25">
      <c r="B877" t="s">
        <v>60</v>
      </c>
      <c r="C877" t="s">
        <v>235</v>
      </c>
      <c r="D877" t="s">
        <v>13</v>
      </c>
      <c r="E877" s="6">
        <v>0.87222222222222223</v>
      </c>
      <c r="F877" t="s">
        <v>14</v>
      </c>
      <c r="G877"/>
      <c r="H877" s="33">
        <v>0.91449273913043472</v>
      </c>
      <c r="I877" s="31">
        <v>0.88639549999999989</v>
      </c>
      <c r="J877" s="31">
        <v>0.8816425</v>
      </c>
      <c r="K877" s="32">
        <v>0.89260266196846627</v>
      </c>
      <c r="M877" s="36">
        <v>349</v>
      </c>
      <c r="O877" s="30"/>
      <c r="P877" s="37" t="s">
        <v>10</v>
      </c>
    </row>
    <row r="878" spans="2:16" x14ac:dyDescent="0.25">
      <c r="B878" t="s">
        <v>60</v>
      </c>
      <c r="C878" t="s">
        <v>235</v>
      </c>
      <c r="D878" t="s">
        <v>13</v>
      </c>
      <c r="E878" s="6">
        <v>0.87222222222222223</v>
      </c>
      <c r="F878" t="s">
        <v>15</v>
      </c>
      <c r="G878"/>
      <c r="H878" s="33">
        <v>0.99047614285714292</v>
      </c>
      <c r="I878" s="31">
        <v>0.94009214285714282</v>
      </c>
      <c r="J878" s="31">
        <v>0.84126978571428579</v>
      </c>
      <c r="K878" s="32">
        <v>0.93038014913657763</v>
      </c>
      <c r="M878" s="36">
        <v>319</v>
      </c>
      <c r="O878" s="30"/>
      <c r="P878" s="37" t="s">
        <v>10</v>
      </c>
    </row>
    <row r="879" spans="2:16" x14ac:dyDescent="0.25">
      <c r="B879" t="s">
        <v>60</v>
      </c>
      <c r="C879" t="s">
        <v>241</v>
      </c>
      <c r="D879" t="s">
        <v>19</v>
      </c>
      <c r="E879" s="6">
        <v>0.83333333333333326</v>
      </c>
      <c r="F879" t="s">
        <v>20</v>
      </c>
      <c r="G879"/>
      <c r="H879" s="33">
        <v>0.94259255555555554</v>
      </c>
      <c r="I879" s="31">
        <v>0.83333333333333337</v>
      </c>
      <c r="J879" s="31">
        <v>0.85185183333333336</v>
      </c>
      <c r="K879" s="32">
        <v>0.87970481684981694</v>
      </c>
      <c r="M879" s="36">
        <v>6069</v>
      </c>
      <c r="O879" s="30"/>
      <c r="P879" s="37" t="s">
        <v>10</v>
      </c>
    </row>
    <row r="880" spans="2:16" x14ac:dyDescent="0.25">
      <c r="B880" t="s">
        <v>60</v>
      </c>
      <c r="C880" t="s">
        <v>241</v>
      </c>
      <c r="D880" t="s">
        <v>19</v>
      </c>
      <c r="E880" s="6">
        <v>0.83333333333333326</v>
      </c>
      <c r="F880" t="s">
        <v>15</v>
      </c>
      <c r="G880"/>
      <c r="H880" s="33">
        <v>0.98333325000000005</v>
      </c>
      <c r="I880" s="31">
        <v>0.75</v>
      </c>
      <c r="J880" s="31">
        <v>0.75</v>
      </c>
      <c r="K880" s="32">
        <v>0.82692304945054951</v>
      </c>
      <c r="M880" s="36">
        <v>7359</v>
      </c>
      <c r="O880" s="30"/>
      <c r="P880" s="37" t="s">
        <v>10</v>
      </c>
    </row>
    <row r="881" spans="2:16" x14ac:dyDescent="0.25">
      <c r="B881" t="s">
        <v>60</v>
      </c>
      <c r="C881" t="s">
        <v>241</v>
      </c>
      <c r="D881" t="s">
        <v>13</v>
      </c>
      <c r="E881" s="6">
        <v>0.82291666666666663</v>
      </c>
      <c r="F881" t="s">
        <v>14</v>
      </c>
      <c r="G881"/>
      <c r="H881" s="33">
        <v>1</v>
      </c>
      <c r="I881" s="31">
        <v>1</v>
      </c>
      <c r="J881" s="31">
        <v>1</v>
      </c>
      <c r="K881" s="32">
        <v>1</v>
      </c>
      <c r="M881" s="36">
        <v>309</v>
      </c>
      <c r="O881" s="30"/>
      <c r="P881" s="37" t="s">
        <v>10</v>
      </c>
    </row>
    <row r="882" spans="2:16" x14ac:dyDescent="0.25">
      <c r="B882" t="s">
        <v>60</v>
      </c>
      <c r="C882" t="s">
        <v>241</v>
      </c>
      <c r="D882" t="s">
        <v>13</v>
      </c>
      <c r="E882" s="6">
        <v>0.82291666666666663</v>
      </c>
      <c r="F882" t="s">
        <v>79</v>
      </c>
      <c r="G882"/>
      <c r="H882" s="33">
        <v>1</v>
      </c>
      <c r="I882" s="31">
        <v>1</v>
      </c>
      <c r="J882" s="31">
        <v>1</v>
      </c>
      <c r="K882" s="32">
        <v>1</v>
      </c>
      <c r="M882" s="36">
        <v>339</v>
      </c>
      <c r="O882" s="30"/>
      <c r="P882" s="37" t="s">
        <v>10</v>
      </c>
    </row>
    <row r="883" spans="2:16" x14ac:dyDescent="0.25">
      <c r="B883" t="s">
        <v>60</v>
      </c>
      <c r="C883" t="s">
        <v>241</v>
      </c>
      <c r="D883" t="s">
        <v>13</v>
      </c>
      <c r="E883" s="6">
        <v>0.82291666666666663</v>
      </c>
      <c r="F883" t="s">
        <v>15</v>
      </c>
      <c r="G883"/>
      <c r="H883" s="33">
        <v>0.8166666578947368</v>
      </c>
      <c r="I883" s="31">
        <v>0.93293715789473675</v>
      </c>
      <c r="J883" s="31">
        <v>0.93713449999999998</v>
      </c>
      <c r="K883" s="32">
        <v>0.89446021457489877</v>
      </c>
      <c r="M883" s="36">
        <v>279</v>
      </c>
      <c r="O883" s="30"/>
      <c r="P883" s="37" t="s">
        <v>10</v>
      </c>
    </row>
    <row r="884" spans="2:16" x14ac:dyDescent="0.25">
      <c r="B884" t="s">
        <v>60</v>
      </c>
      <c r="C884" t="s">
        <v>241</v>
      </c>
      <c r="D884" t="s">
        <v>13</v>
      </c>
      <c r="E884" s="6">
        <v>0.82291666666666663</v>
      </c>
      <c r="F884" t="s">
        <v>56</v>
      </c>
      <c r="G884"/>
      <c r="H884" s="33">
        <v>0.92916662500000002</v>
      </c>
      <c r="I884" s="31">
        <v>0.88911287500000002</v>
      </c>
      <c r="J884" s="31">
        <v>0.8159721875</v>
      </c>
      <c r="K884" s="32">
        <v>0.87706041620879127</v>
      </c>
      <c r="M884" s="36">
        <v>609</v>
      </c>
      <c r="O884" s="30"/>
      <c r="P884" s="37" t="s">
        <v>10</v>
      </c>
    </row>
    <row r="885" spans="2:16" x14ac:dyDescent="0.25">
      <c r="B885" t="s">
        <v>60</v>
      </c>
      <c r="C885" t="s">
        <v>241</v>
      </c>
      <c r="D885" t="s">
        <v>13</v>
      </c>
      <c r="E885" s="6">
        <v>0.82291666666666663</v>
      </c>
      <c r="F885" t="s">
        <v>55</v>
      </c>
      <c r="G885"/>
      <c r="H885" s="33">
        <v>0.71025638461538465</v>
      </c>
      <c r="I885" s="31">
        <v>0.63523569230769228</v>
      </c>
      <c r="J885" s="31">
        <v>0.32051276923076927</v>
      </c>
      <c r="K885" s="32">
        <v>0.56301220118343198</v>
      </c>
      <c r="M885" s="36">
        <v>519</v>
      </c>
      <c r="O885" s="30"/>
      <c r="P885" s="37" t="s">
        <v>10</v>
      </c>
    </row>
    <row r="886" spans="2:16" x14ac:dyDescent="0.25">
      <c r="B886" t="s">
        <v>60</v>
      </c>
      <c r="C886" t="s">
        <v>247</v>
      </c>
      <c r="D886" t="s">
        <v>19</v>
      </c>
      <c r="E886" s="6">
        <v>0.94444444444444442</v>
      </c>
      <c r="F886" t="s">
        <v>20</v>
      </c>
      <c r="G886"/>
      <c r="H886" s="33">
        <v>1</v>
      </c>
      <c r="I886" s="31">
        <v>0.96169349999999998</v>
      </c>
      <c r="J886" s="31">
        <v>0.93055549999999998</v>
      </c>
      <c r="K886" s="32">
        <v>0.97082534752747252</v>
      </c>
      <c r="M886" s="36">
        <v>5159</v>
      </c>
      <c r="O886" s="29">
        <v>2.5000000000000001E-2</v>
      </c>
      <c r="P886" s="37">
        <v>5287.9749999999995</v>
      </c>
    </row>
    <row r="887" spans="2:16" x14ac:dyDescent="0.25">
      <c r="B887" t="s">
        <v>60</v>
      </c>
      <c r="C887" t="s">
        <v>247</v>
      </c>
      <c r="D887" t="s">
        <v>19</v>
      </c>
      <c r="E887" s="6">
        <v>0.94444444444444442</v>
      </c>
      <c r="F887" t="s">
        <v>15</v>
      </c>
      <c r="G887"/>
      <c r="H887" s="33">
        <v>0.94166649999999996</v>
      </c>
      <c r="I887" s="31">
        <v>0.88709674999999999</v>
      </c>
      <c r="J887" s="31">
        <v>1</v>
      </c>
      <c r="K887" s="32">
        <v>0.94230762912087918</v>
      </c>
      <c r="M887" s="36">
        <v>6209</v>
      </c>
      <c r="O887" s="30"/>
      <c r="P887" s="37" t="s">
        <v>10</v>
      </c>
    </row>
    <row r="888" spans="2:16" x14ac:dyDescent="0.25">
      <c r="B888" t="s">
        <v>60</v>
      </c>
      <c r="C888" t="s">
        <v>247</v>
      </c>
      <c r="D888" t="s">
        <v>21</v>
      </c>
      <c r="E888" s="6">
        <v>0.94444444444444453</v>
      </c>
      <c r="F888" t="s">
        <v>17</v>
      </c>
      <c r="G888"/>
      <c r="H888" s="33">
        <v>0.94583324999999996</v>
      </c>
      <c r="I888" s="31">
        <v>1</v>
      </c>
      <c r="J888" s="31">
        <v>0.92361099999999996</v>
      </c>
      <c r="K888" s="32">
        <v>0.94451739010989011</v>
      </c>
      <c r="M888" s="36">
        <v>5929</v>
      </c>
      <c r="O888" s="29">
        <v>0.01</v>
      </c>
      <c r="P888" s="37">
        <v>5988.29</v>
      </c>
    </row>
    <row r="889" spans="2:16" x14ac:dyDescent="0.25">
      <c r="B889" t="s">
        <v>60</v>
      </c>
      <c r="C889" t="s">
        <v>247</v>
      </c>
      <c r="D889" t="s">
        <v>21</v>
      </c>
      <c r="E889" s="6">
        <v>0.94444444444444453</v>
      </c>
      <c r="F889" t="s">
        <v>18</v>
      </c>
      <c r="G889"/>
      <c r="H889" s="33">
        <v>0.78888866666666668</v>
      </c>
      <c r="I889" s="31">
        <v>1</v>
      </c>
      <c r="J889" s="31">
        <v>1</v>
      </c>
      <c r="K889" s="32">
        <v>0.93040285714285709</v>
      </c>
      <c r="M889" s="36">
        <v>7119</v>
      </c>
      <c r="O889" s="30"/>
      <c r="P889" s="37" t="s">
        <v>10</v>
      </c>
    </row>
    <row r="890" spans="2:16" x14ac:dyDescent="0.25">
      <c r="B890" t="s">
        <v>60</v>
      </c>
      <c r="C890" t="s">
        <v>247</v>
      </c>
      <c r="D890" t="s">
        <v>13</v>
      </c>
      <c r="E890" s="6">
        <v>0.93783068783068779</v>
      </c>
      <c r="F890" t="s">
        <v>14</v>
      </c>
      <c r="G890"/>
      <c r="H890" s="33">
        <v>0.97536230434782611</v>
      </c>
      <c r="I890" s="31">
        <v>0.97475452173913035</v>
      </c>
      <c r="J890" s="31">
        <v>0.92753621739130432</v>
      </c>
      <c r="K890" s="32">
        <v>0.96146572575250833</v>
      </c>
      <c r="M890" s="36">
        <v>329</v>
      </c>
      <c r="O890" s="30"/>
      <c r="P890" s="37" t="s">
        <v>10</v>
      </c>
    </row>
    <row r="891" spans="2:16" x14ac:dyDescent="0.25">
      <c r="B891" t="s">
        <v>60</v>
      </c>
      <c r="C891" t="s">
        <v>247</v>
      </c>
      <c r="D891" t="s">
        <v>13</v>
      </c>
      <c r="E891" s="6">
        <v>0.93783068783068779</v>
      </c>
      <c r="F891" t="s">
        <v>15</v>
      </c>
      <c r="G891"/>
      <c r="H891" s="33">
        <v>0.97368421052631582</v>
      </c>
      <c r="I891" s="31">
        <v>0.91680810526315781</v>
      </c>
      <c r="J891" s="31">
        <v>0.95029236842105258</v>
      </c>
      <c r="K891" s="32">
        <v>0.95091404511278199</v>
      </c>
      <c r="M891" s="36">
        <v>309</v>
      </c>
      <c r="O891" s="30"/>
      <c r="P891" s="37" t="s">
        <v>10</v>
      </c>
    </row>
    <row r="892" spans="2:16" x14ac:dyDescent="0.25">
      <c r="B892" t="s">
        <v>60</v>
      </c>
      <c r="C892" t="s">
        <v>247</v>
      </c>
      <c r="D892" t="s">
        <v>16</v>
      </c>
      <c r="E892" s="6">
        <v>0.63675213675213682</v>
      </c>
      <c r="F892" t="s">
        <v>17</v>
      </c>
      <c r="G892"/>
      <c r="H892" s="33">
        <v>0.69523800000000002</v>
      </c>
      <c r="I892" s="31">
        <v>0.63594457142857141</v>
      </c>
      <c r="J892" s="31">
        <v>0.54761899999999997</v>
      </c>
      <c r="K892" s="32">
        <v>0.61784166718995304</v>
      </c>
      <c r="M892" s="36">
        <v>339</v>
      </c>
      <c r="O892" s="30"/>
      <c r="P892" s="37" t="s">
        <v>10</v>
      </c>
    </row>
    <row r="893" spans="2:16" x14ac:dyDescent="0.25">
      <c r="B893" t="s">
        <v>60</v>
      </c>
      <c r="C893" t="s">
        <v>247</v>
      </c>
      <c r="D893" t="s">
        <v>16</v>
      </c>
      <c r="E893" s="6">
        <v>0.63675213675213682</v>
      </c>
      <c r="F893" t="s">
        <v>18</v>
      </c>
      <c r="G893"/>
      <c r="H893" s="33">
        <v>0.78333333333333333</v>
      </c>
      <c r="I893" s="31">
        <v>0.80107516666666667</v>
      </c>
      <c r="J893" s="31">
        <v>0.7407406666666666</v>
      </c>
      <c r="K893" s="32">
        <v>0.77002703479853485</v>
      </c>
      <c r="M893" s="36">
        <v>329</v>
      </c>
      <c r="O893" s="30"/>
      <c r="P893" s="37" t="s">
        <v>10</v>
      </c>
    </row>
    <row r="894" spans="2:16" x14ac:dyDescent="0.25">
      <c r="B894" t="s">
        <v>60</v>
      </c>
      <c r="C894" t="s">
        <v>247</v>
      </c>
      <c r="D894" t="s">
        <v>24</v>
      </c>
      <c r="E894" s="6">
        <v>0.9642857142857143</v>
      </c>
      <c r="F894" t="s">
        <v>80</v>
      </c>
      <c r="G894"/>
      <c r="H894" s="33">
        <v>1</v>
      </c>
      <c r="I894" s="31">
        <v>1</v>
      </c>
      <c r="J894" s="31">
        <v>1</v>
      </c>
      <c r="K894" s="32">
        <v>1</v>
      </c>
      <c r="M894" s="36">
        <v>3029</v>
      </c>
      <c r="O894" s="29">
        <v>0.05</v>
      </c>
      <c r="P894" s="37">
        <v>3180.4500000000003</v>
      </c>
    </row>
    <row r="895" spans="2:16" x14ac:dyDescent="0.25">
      <c r="B895" t="s">
        <v>60</v>
      </c>
      <c r="C895" t="s">
        <v>247</v>
      </c>
      <c r="D895" t="s">
        <v>24</v>
      </c>
      <c r="E895" s="6">
        <v>0.9642857142857143</v>
      </c>
      <c r="F895" t="s">
        <v>146</v>
      </c>
      <c r="G895"/>
      <c r="H895" s="33">
        <v>1</v>
      </c>
      <c r="I895" s="31">
        <v>1</v>
      </c>
      <c r="J895" s="31">
        <v>1</v>
      </c>
      <c r="K895" s="32">
        <v>1</v>
      </c>
      <c r="M895" s="36">
        <v>3479</v>
      </c>
      <c r="O895" s="29">
        <v>0.05</v>
      </c>
      <c r="P895" s="37">
        <v>3652.9500000000003</v>
      </c>
    </row>
    <row r="896" spans="2:16" x14ac:dyDescent="0.25">
      <c r="B896" t="s">
        <v>60</v>
      </c>
      <c r="C896" t="s">
        <v>247</v>
      </c>
      <c r="D896" t="s">
        <v>24</v>
      </c>
      <c r="E896" s="6">
        <v>0.9642857142857143</v>
      </c>
      <c r="F896" t="s">
        <v>145</v>
      </c>
      <c r="G896"/>
      <c r="H896" s="33">
        <v>0.75</v>
      </c>
      <c r="I896" s="31">
        <v>0.75</v>
      </c>
      <c r="J896" s="31">
        <v>0.75</v>
      </c>
      <c r="K896" s="32">
        <v>0.75</v>
      </c>
      <c r="M896" s="36">
        <v>3089</v>
      </c>
      <c r="O896" s="30"/>
      <c r="P896" s="37" t="s">
        <v>10</v>
      </c>
    </row>
    <row r="897" spans="2:16" x14ac:dyDescent="0.25">
      <c r="B897" t="s">
        <v>70</v>
      </c>
      <c r="C897" t="s">
        <v>71</v>
      </c>
      <c r="D897" t="s">
        <v>19</v>
      </c>
      <c r="E897" s="6">
        <v>1</v>
      </c>
      <c r="F897" t="s">
        <v>20</v>
      </c>
      <c r="G897"/>
      <c r="H897" s="33">
        <v>1</v>
      </c>
      <c r="I897" s="31">
        <v>1</v>
      </c>
      <c r="J897" s="31">
        <v>1</v>
      </c>
      <c r="K897" s="32">
        <v>1</v>
      </c>
      <c r="M897" s="36">
        <v>6049</v>
      </c>
      <c r="O897" s="29">
        <v>2.6787869037084709E-2</v>
      </c>
      <c r="P897" s="37">
        <v>6211.0398198053254</v>
      </c>
    </row>
    <row r="898" spans="2:16" x14ac:dyDescent="0.25">
      <c r="B898" t="s">
        <v>70</v>
      </c>
      <c r="C898" t="s">
        <v>71</v>
      </c>
      <c r="D898" t="s">
        <v>19</v>
      </c>
      <c r="E898" s="6">
        <v>1</v>
      </c>
      <c r="F898" t="s">
        <v>15</v>
      </c>
      <c r="G898"/>
      <c r="H898" s="33">
        <v>1</v>
      </c>
      <c r="I898" s="31">
        <v>1</v>
      </c>
      <c r="J898" s="31">
        <v>1</v>
      </c>
      <c r="K898" s="32">
        <v>1</v>
      </c>
      <c r="M898" s="36">
        <v>7259</v>
      </c>
      <c r="O898" s="29">
        <v>2.5332318847066236E-2</v>
      </c>
      <c r="P898" s="37">
        <v>7442.8873025108533</v>
      </c>
    </row>
    <row r="899" spans="2:16" x14ac:dyDescent="0.25">
      <c r="B899" t="s">
        <v>70</v>
      </c>
      <c r="C899" t="s">
        <v>71</v>
      </c>
      <c r="D899" t="s">
        <v>21</v>
      </c>
      <c r="E899" s="6">
        <v>0.9494949494949495</v>
      </c>
      <c r="F899" t="s">
        <v>72</v>
      </c>
      <c r="G899"/>
      <c r="H899" s="33">
        <v>1</v>
      </c>
      <c r="I899" s="31">
        <v>0.89919349999999998</v>
      </c>
      <c r="J899" s="31">
        <v>0.93055549999999998</v>
      </c>
      <c r="K899" s="32">
        <v>0.94774244230769233</v>
      </c>
      <c r="M899" s="36">
        <v>7754</v>
      </c>
      <c r="O899" s="30"/>
      <c r="P899" s="37" t="s">
        <v>10</v>
      </c>
    </row>
    <row r="900" spans="2:16" x14ac:dyDescent="0.25">
      <c r="B900" t="s">
        <v>70</v>
      </c>
      <c r="C900" t="s">
        <v>71</v>
      </c>
      <c r="D900" t="s">
        <v>21</v>
      </c>
      <c r="E900" s="6">
        <v>0.9494949494949495</v>
      </c>
      <c r="F900" t="s">
        <v>73</v>
      </c>
      <c r="G900"/>
      <c r="H900" s="33">
        <v>1</v>
      </c>
      <c r="I900" s="31">
        <v>1</v>
      </c>
      <c r="J900" s="31">
        <v>1</v>
      </c>
      <c r="K900" s="32">
        <v>1</v>
      </c>
      <c r="M900" s="36">
        <v>9169</v>
      </c>
      <c r="O900" s="29">
        <v>2.5000000000000001E-2</v>
      </c>
      <c r="P900" s="37">
        <v>9398.2249999999985</v>
      </c>
    </row>
    <row r="901" spans="2:16" x14ac:dyDescent="0.25">
      <c r="B901" t="s">
        <v>70</v>
      </c>
      <c r="C901" t="s">
        <v>71</v>
      </c>
      <c r="D901" t="s">
        <v>13</v>
      </c>
      <c r="E901" s="6">
        <v>0.90277777777777779</v>
      </c>
      <c r="F901" t="s">
        <v>15</v>
      </c>
      <c r="G901"/>
      <c r="H901" s="33">
        <v>0.85888886666666664</v>
      </c>
      <c r="I901" s="31">
        <v>0.89247310000000002</v>
      </c>
      <c r="J901" s="31">
        <v>0.90555553333333327</v>
      </c>
      <c r="K901" s="32">
        <v>0.88292719890109883</v>
      </c>
      <c r="M901" s="36">
        <v>399</v>
      </c>
      <c r="O901" s="30"/>
      <c r="P901" s="37" t="s">
        <v>10</v>
      </c>
    </row>
    <row r="902" spans="2:16" x14ac:dyDescent="0.25">
      <c r="B902" t="s">
        <v>70</v>
      </c>
      <c r="C902" t="s">
        <v>71</v>
      </c>
      <c r="D902" t="s">
        <v>13</v>
      </c>
      <c r="E902" s="6">
        <v>0.90277777777777779</v>
      </c>
      <c r="F902" t="s">
        <v>14</v>
      </c>
      <c r="G902"/>
      <c r="H902" s="33">
        <v>0.9089743461538462</v>
      </c>
      <c r="I902" s="31">
        <v>0.88213396153846158</v>
      </c>
      <c r="J902" s="31">
        <v>0.89957261538461541</v>
      </c>
      <c r="K902" s="32">
        <v>0.89290306128486918</v>
      </c>
      <c r="M902" s="36">
        <v>479</v>
      </c>
      <c r="O902" s="30"/>
      <c r="P902" s="37" t="s">
        <v>10</v>
      </c>
    </row>
    <row r="903" spans="2:16" x14ac:dyDescent="0.25">
      <c r="B903" t="s">
        <v>70</v>
      </c>
      <c r="C903" t="s">
        <v>71</v>
      </c>
      <c r="D903" t="s">
        <v>24</v>
      </c>
      <c r="E903" s="6">
        <v>1</v>
      </c>
      <c r="F903" t="s">
        <v>74</v>
      </c>
      <c r="G903"/>
      <c r="H903" s="33">
        <v>0.97666664999999997</v>
      </c>
      <c r="I903" s="31">
        <v>1</v>
      </c>
      <c r="J903" s="31">
        <v>1</v>
      </c>
      <c r="K903" s="32">
        <v>0.99230768681318682</v>
      </c>
      <c r="M903" s="36">
        <v>3309</v>
      </c>
      <c r="O903" s="29">
        <v>0.01</v>
      </c>
      <c r="P903" s="37">
        <v>3342.09</v>
      </c>
    </row>
    <row r="904" spans="2:16" x14ac:dyDescent="0.25">
      <c r="B904" t="s">
        <v>70</v>
      </c>
      <c r="C904" t="s">
        <v>71</v>
      </c>
      <c r="D904" t="s">
        <v>24</v>
      </c>
      <c r="E904" s="6">
        <v>1</v>
      </c>
      <c r="F904" t="s">
        <v>75</v>
      </c>
      <c r="G904"/>
      <c r="H904" s="33">
        <v>0.966666625</v>
      </c>
      <c r="I904" s="31">
        <v>0.92653062515618634</v>
      </c>
      <c r="J904" s="31">
        <v>1</v>
      </c>
      <c r="K904" s="32">
        <v>0.96258991951762318</v>
      </c>
      <c r="M904" s="36">
        <v>3389</v>
      </c>
      <c r="O904" s="29">
        <v>2.5000000000000001E-2</v>
      </c>
      <c r="P904" s="37">
        <v>3473.7249999999999</v>
      </c>
    </row>
    <row r="905" spans="2:16" x14ac:dyDescent="0.25">
      <c r="B905" t="s">
        <v>70</v>
      </c>
      <c r="C905" t="s">
        <v>99</v>
      </c>
      <c r="D905" t="s">
        <v>19</v>
      </c>
      <c r="E905" s="6">
        <v>0.96241830065359479</v>
      </c>
      <c r="F905" t="s">
        <v>20</v>
      </c>
      <c r="G905"/>
      <c r="H905" s="33">
        <v>0.93678158620689655</v>
      </c>
      <c r="I905" s="31">
        <v>0.87430475862068968</v>
      </c>
      <c r="J905" s="31">
        <v>0.95593865517241383</v>
      </c>
      <c r="K905" s="32">
        <v>0.92250026449412648</v>
      </c>
      <c r="M905" s="36">
        <v>6709</v>
      </c>
      <c r="O905" s="30"/>
      <c r="P905" s="37" t="s">
        <v>10</v>
      </c>
    </row>
    <row r="906" spans="2:16" x14ac:dyDescent="0.25">
      <c r="B906" t="s">
        <v>70</v>
      </c>
      <c r="C906" t="s">
        <v>99</v>
      </c>
      <c r="D906" t="s">
        <v>19</v>
      </c>
      <c r="E906" s="6">
        <v>0.96241830065359479</v>
      </c>
      <c r="F906" t="s">
        <v>15</v>
      </c>
      <c r="G906"/>
      <c r="H906" s="33">
        <v>1</v>
      </c>
      <c r="I906" s="31">
        <v>1</v>
      </c>
      <c r="J906" s="31">
        <v>1</v>
      </c>
      <c r="K906" s="32">
        <v>1</v>
      </c>
      <c r="M906" s="36">
        <v>7601</v>
      </c>
      <c r="O906" s="29">
        <v>2.5000000000000001E-2</v>
      </c>
      <c r="P906" s="37">
        <v>7791.0249999999996</v>
      </c>
    </row>
    <row r="907" spans="2:16" x14ac:dyDescent="0.25">
      <c r="B907" t="s">
        <v>70</v>
      </c>
      <c r="C907" t="s">
        <v>99</v>
      </c>
      <c r="D907" t="s">
        <v>21</v>
      </c>
      <c r="E907" s="6">
        <v>0.98888888888888893</v>
      </c>
      <c r="F907" t="s">
        <v>100</v>
      </c>
      <c r="G907"/>
      <c r="H907" s="33">
        <v>0.88333300000000003</v>
      </c>
      <c r="I907" s="31">
        <v>1</v>
      </c>
      <c r="J907" s="31">
        <v>1</v>
      </c>
      <c r="K907" s="32">
        <v>0.96153835164835166</v>
      </c>
      <c r="M907" s="36">
        <v>9139</v>
      </c>
      <c r="O907" s="29">
        <v>2.5000000000000001E-2</v>
      </c>
      <c r="P907" s="37">
        <v>9367.4749999999985</v>
      </c>
    </row>
    <row r="908" spans="2:16" x14ac:dyDescent="0.25">
      <c r="B908" t="s">
        <v>70</v>
      </c>
      <c r="C908" t="s">
        <v>99</v>
      </c>
      <c r="D908" t="s">
        <v>21</v>
      </c>
      <c r="E908" s="6">
        <v>0.98888888888888893</v>
      </c>
      <c r="F908" t="s">
        <v>23</v>
      </c>
      <c r="G908"/>
      <c r="H908" s="33">
        <v>1</v>
      </c>
      <c r="I908" s="31">
        <v>1</v>
      </c>
      <c r="J908" s="31">
        <v>1</v>
      </c>
      <c r="K908" s="32">
        <v>1</v>
      </c>
      <c r="M908" s="36">
        <v>9139</v>
      </c>
      <c r="O908" s="29">
        <v>2.5000000000000001E-2</v>
      </c>
      <c r="P908" s="37">
        <v>9367.4749999999985</v>
      </c>
    </row>
    <row r="909" spans="2:16" x14ac:dyDescent="0.25">
      <c r="B909" t="s">
        <v>70</v>
      </c>
      <c r="C909" t="s">
        <v>99</v>
      </c>
      <c r="D909" t="s">
        <v>21</v>
      </c>
      <c r="E909" s="6">
        <v>0.98888888888888893</v>
      </c>
      <c r="F909" t="s">
        <v>22</v>
      </c>
      <c r="G909"/>
      <c r="H909" s="33">
        <v>0.89803917647058829</v>
      </c>
      <c r="I909" s="31">
        <v>0.97533205882352947</v>
      </c>
      <c r="J909" s="31">
        <v>0.98692805882352941</v>
      </c>
      <c r="K909" s="32">
        <v>0.95461057207498379</v>
      </c>
      <c r="M909" s="36">
        <v>8459</v>
      </c>
      <c r="O909" s="29">
        <v>2.5000000000000001E-2</v>
      </c>
      <c r="P909" s="37">
        <v>8670.4749999999985</v>
      </c>
    </row>
    <row r="910" spans="2:16" x14ac:dyDescent="0.25">
      <c r="B910" t="s">
        <v>70</v>
      </c>
      <c r="C910" t="s">
        <v>99</v>
      </c>
      <c r="D910" t="s">
        <v>13</v>
      </c>
      <c r="E910" s="6">
        <v>0.97363465160075324</v>
      </c>
      <c r="F910" t="s">
        <v>14</v>
      </c>
      <c r="G910"/>
      <c r="H910" s="33">
        <v>0.97450980392156872</v>
      </c>
      <c r="I910" s="31">
        <v>0.97722958823529416</v>
      </c>
      <c r="J910" s="31">
        <v>0.97276688235294118</v>
      </c>
      <c r="K910" s="32">
        <v>0.97568926502908848</v>
      </c>
      <c r="M910" s="36">
        <v>459</v>
      </c>
      <c r="O910" s="30"/>
      <c r="P910" s="37" t="s">
        <v>10</v>
      </c>
    </row>
    <row r="911" spans="2:16" x14ac:dyDescent="0.25">
      <c r="B911" t="s">
        <v>70</v>
      </c>
      <c r="C911" t="s">
        <v>99</v>
      </c>
      <c r="D911" t="s">
        <v>13</v>
      </c>
      <c r="E911" s="6">
        <v>0.97363465160075324</v>
      </c>
      <c r="F911" t="s">
        <v>15</v>
      </c>
      <c r="G911"/>
      <c r="H911" s="33">
        <v>0.966666625</v>
      </c>
      <c r="I911" s="31">
        <v>0.97983862499999996</v>
      </c>
      <c r="J911" s="31">
        <v>0.97916662499999996</v>
      </c>
      <c r="K911" s="32">
        <v>0.97676774587912085</v>
      </c>
      <c r="M911" s="36">
        <v>429</v>
      </c>
      <c r="O911" s="30"/>
      <c r="P911" s="37" t="s">
        <v>10</v>
      </c>
    </row>
    <row r="912" spans="2:16" x14ac:dyDescent="0.25">
      <c r="B912" t="s">
        <v>70</v>
      </c>
      <c r="C912" t="s">
        <v>99</v>
      </c>
      <c r="D912" t="s">
        <v>16</v>
      </c>
      <c r="E912" s="6">
        <v>0.97979797979797989</v>
      </c>
      <c r="F912" t="s">
        <v>17</v>
      </c>
      <c r="G912"/>
      <c r="H912" s="33">
        <v>0.94000000000000006</v>
      </c>
      <c r="I912" s="31">
        <v>1</v>
      </c>
      <c r="J912" s="31">
        <v>1</v>
      </c>
      <c r="K912" s="32">
        <v>0.98021978021978029</v>
      </c>
      <c r="M912" s="36">
        <v>419</v>
      </c>
      <c r="O912" s="30"/>
      <c r="P912" s="37" t="s">
        <v>10</v>
      </c>
    </row>
    <row r="913" spans="2:16" x14ac:dyDescent="0.25">
      <c r="B913" t="s">
        <v>70</v>
      </c>
      <c r="C913" t="s">
        <v>99</v>
      </c>
      <c r="D913" t="s">
        <v>16</v>
      </c>
      <c r="E913" s="6">
        <v>0.97979797979797989</v>
      </c>
      <c r="F913" t="s">
        <v>18</v>
      </c>
      <c r="G913"/>
      <c r="H913" s="33">
        <v>0.93888883333333339</v>
      </c>
      <c r="I913" s="31">
        <v>0.83333333333333337</v>
      </c>
      <c r="J913" s="31">
        <v>0.96296283333333343</v>
      </c>
      <c r="K913" s="32">
        <v>0.91352119047619051</v>
      </c>
      <c r="M913" s="36">
        <v>389</v>
      </c>
      <c r="O913" s="30"/>
      <c r="P913" s="37" t="s">
        <v>10</v>
      </c>
    </row>
    <row r="914" spans="2:16" x14ac:dyDescent="0.25">
      <c r="B914" t="s">
        <v>70</v>
      </c>
      <c r="C914" t="s">
        <v>99</v>
      </c>
      <c r="D914" t="s">
        <v>24</v>
      </c>
      <c r="E914" s="6">
        <v>0.95</v>
      </c>
      <c r="F914" t="s">
        <v>34</v>
      </c>
      <c r="G914"/>
      <c r="H914" s="33">
        <v>1</v>
      </c>
      <c r="I914" s="31">
        <v>1</v>
      </c>
      <c r="J914" s="31">
        <v>1</v>
      </c>
      <c r="K914" s="32">
        <v>1</v>
      </c>
      <c r="M914" s="36">
        <v>2897</v>
      </c>
      <c r="O914" s="29">
        <v>2.5000000000000001E-2</v>
      </c>
      <c r="P914" s="37">
        <v>2969.4249999999997</v>
      </c>
    </row>
    <row r="915" spans="2:16" x14ac:dyDescent="0.25">
      <c r="B915" t="s">
        <v>70</v>
      </c>
      <c r="C915" t="s">
        <v>99</v>
      </c>
      <c r="D915" t="s">
        <v>24</v>
      </c>
      <c r="E915" s="6">
        <v>0.95</v>
      </c>
      <c r="F915" t="s">
        <v>36</v>
      </c>
      <c r="G915"/>
      <c r="H915" s="33">
        <v>1</v>
      </c>
      <c r="I915" s="31">
        <v>0.94677415000000009</v>
      </c>
      <c r="J915" s="31">
        <v>0.92500000000000004</v>
      </c>
      <c r="K915" s="32">
        <v>0.95893451813186825</v>
      </c>
      <c r="M915" s="36">
        <v>3505.5</v>
      </c>
      <c r="O915" s="29">
        <v>2.5000000000000001E-2</v>
      </c>
      <c r="P915" s="37">
        <v>3593.1374999999998</v>
      </c>
    </row>
    <row r="916" spans="2:16" x14ac:dyDescent="0.25">
      <c r="B916" t="s">
        <v>70</v>
      </c>
      <c r="C916" t="s">
        <v>130</v>
      </c>
      <c r="D916" t="s">
        <v>19</v>
      </c>
      <c r="E916" s="6">
        <v>1</v>
      </c>
      <c r="F916" t="s">
        <v>20</v>
      </c>
      <c r="G916"/>
      <c r="H916" s="33">
        <v>0.96888879999999999</v>
      </c>
      <c r="I916" s="31">
        <v>0.93763433333333324</v>
      </c>
      <c r="J916" s="31">
        <v>1</v>
      </c>
      <c r="K916" s="32">
        <v>0.96849811355311366</v>
      </c>
      <c r="M916" s="36">
        <v>6211</v>
      </c>
      <c r="O916" s="29">
        <v>2.5000000000000001E-2</v>
      </c>
      <c r="P916" s="37">
        <v>6366.2749999999996</v>
      </c>
    </row>
    <row r="917" spans="2:16" x14ac:dyDescent="0.25">
      <c r="B917" t="s">
        <v>70</v>
      </c>
      <c r="C917" t="s">
        <v>130</v>
      </c>
      <c r="D917" t="s">
        <v>19</v>
      </c>
      <c r="E917" s="6">
        <v>1</v>
      </c>
      <c r="F917" t="s">
        <v>49</v>
      </c>
      <c r="G917"/>
      <c r="H917" s="33">
        <v>0.95833325000000003</v>
      </c>
      <c r="I917" s="31">
        <v>1</v>
      </c>
      <c r="J917" s="31">
        <v>1</v>
      </c>
      <c r="K917" s="32">
        <v>0.98626370879120884</v>
      </c>
      <c r="M917" s="36">
        <v>6719</v>
      </c>
      <c r="O917" s="29">
        <v>2.5000000000000001E-2</v>
      </c>
      <c r="P917" s="37">
        <v>6886.9749999999995</v>
      </c>
    </row>
    <row r="918" spans="2:16" x14ac:dyDescent="0.25">
      <c r="B918" t="s">
        <v>70</v>
      </c>
      <c r="C918" t="s">
        <v>130</v>
      </c>
      <c r="D918" t="s">
        <v>21</v>
      </c>
      <c r="E918" s="6">
        <v>1</v>
      </c>
      <c r="F918" t="s">
        <v>37</v>
      </c>
      <c r="G918"/>
      <c r="H918" s="33">
        <v>0.9916666666666667</v>
      </c>
      <c r="I918" s="31">
        <v>0.98924725000000002</v>
      </c>
      <c r="J918" s="31">
        <v>1</v>
      </c>
      <c r="K918" s="32">
        <v>0.99358972252747246</v>
      </c>
      <c r="M918" s="36">
        <v>7338.166666666667</v>
      </c>
      <c r="O918" s="29">
        <v>0.05</v>
      </c>
      <c r="P918" s="37">
        <v>7705.0750000000007</v>
      </c>
    </row>
    <row r="919" spans="2:16" x14ac:dyDescent="0.25">
      <c r="B919" t="s">
        <v>70</v>
      </c>
      <c r="C919" t="s">
        <v>130</v>
      </c>
      <c r="D919" t="s">
        <v>21</v>
      </c>
      <c r="E919" s="6">
        <v>1</v>
      </c>
      <c r="F919" t="s">
        <v>50</v>
      </c>
      <c r="G919"/>
      <c r="H919" s="33">
        <v>1</v>
      </c>
      <c r="I919" s="31">
        <v>1</v>
      </c>
      <c r="J919" s="31">
        <v>1</v>
      </c>
      <c r="K919" s="32">
        <v>1</v>
      </c>
      <c r="M919" s="36">
        <v>7892.333333333333</v>
      </c>
      <c r="O919" s="29">
        <v>2.5000000000000001E-2</v>
      </c>
      <c r="P919" s="37">
        <v>8089.6416666666655</v>
      </c>
    </row>
    <row r="920" spans="2:16" x14ac:dyDescent="0.25">
      <c r="B920" t="s">
        <v>70</v>
      </c>
      <c r="C920" t="s">
        <v>130</v>
      </c>
      <c r="D920" t="s">
        <v>13</v>
      </c>
      <c r="E920" s="6">
        <v>0.91509433962264153</v>
      </c>
      <c r="F920" t="s">
        <v>35</v>
      </c>
      <c r="G920"/>
      <c r="H920" s="33">
        <v>0.94444433333333333</v>
      </c>
      <c r="I920" s="31">
        <v>0.77419333333333329</v>
      </c>
      <c r="J920" s="31">
        <v>0.83333299999999999</v>
      </c>
      <c r="K920" s="32">
        <v>0.847427728937729</v>
      </c>
      <c r="M920" s="36">
        <v>469</v>
      </c>
      <c r="O920" s="30"/>
      <c r="P920" s="37" t="s">
        <v>10</v>
      </c>
    </row>
    <row r="921" spans="2:16" x14ac:dyDescent="0.25">
      <c r="B921" t="s">
        <v>70</v>
      </c>
      <c r="C921" t="s">
        <v>130</v>
      </c>
      <c r="D921" t="s">
        <v>13</v>
      </c>
      <c r="E921" s="6">
        <v>0.91509433962264153</v>
      </c>
      <c r="F921" t="s">
        <v>20</v>
      </c>
      <c r="G921"/>
      <c r="H921" s="33">
        <v>0.95312493749999994</v>
      </c>
      <c r="I921" s="31">
        <v>0.92641115624999992</v>
      </c>
      <c r="J921" s="31">
        <v>0.94618049999999998</v>
      </c>
      <c r="K921" s="32">
        <v>0.94290483070054931</v>
      </c>
      <c r="M921" s="36">
        <v>414.625</v>
      </c>
      <c r="O921" s="30"/>
      <c r="P921" s="37" t="s">
        <v>10</v>
      </c>
    </row>
    <row r="922" spans="2:16" x14ac:dyDescent="0.25">
      <c r="B922" t="s">
        <v>70</v>
      </c>
      <c r="C922" t="s">
        <v>130</v>
      </c>
      <c r="D922" t="s">
        <v>13</v>
      </c>
      <c r="E922" s="6">
        <v>0.91509433962264153</v>
      </c>
      <c r="F922" t="s">
        <v>49</v>
      </c>
      <c r="G922"/>
      <c r="H922" s="33">
        <v>0.92407405555555555</v>
      </c>
      <c r="I922" s="31">
        <v>0.92114688888888885</v>
      </c>
      <c r="J922" s="31">
        <v>0.87345672222222215</v>
      </c>
      <c r="K922" s="32">
        <v>0.91306996581196587</v>
      </c>
      <c r="M922" s="36">
        <v>357.88888888888891</v>
      </c>
      <c r="O922" s="30"/>
      <c r="P922" s="37" t="s">
        <v>10</v>
      </c>
    </row>
    <row r="923" spans="2:16" x14ac:dyDescent="0.25">
      <c r="B923" t="s">
        <v>70</v>
      </c>
      <c r="C923" t="s">
        <v>132</v>
      </c>
      <c r="D923" t="s">
        <v>19</v>
      </c>
      <c r="E923" s="6">
        <v>0.99707602339181278</v>
      </c>
      <c r="F923" t="s">
        <v>20</v>
      </c>
      <c r="G923"/>
      <c r="H923" s="33">
        <v>0.97555553333333334</v>
      </c>
      <c r="I923" s="31">
        <v>0.96129026666666673</v>
      </c>
      <c r="J923" s="31">
        <v>0.99629626666666671</v>
      </c>
      <c r="K923" s="32">
        <v>0.97779896996337001</v>
      </c>
      <c r="M923" s="36">
        <v>6939</v>
      </c>
      <c r="O923" s="29">
        <v>2.5000000000000001E-2</v>
      </c>
      <c r="P923" s="37">
        <v>7112.4749999999995</v>
      </c>
    </row>
    <row r="924" spans="2:16" x14ac:dyDescent="0.25">
      <c r="B924" t="s">
        <v>70</v>
      </c>
      <c r="C924" t="s">
        <v>132</v>
      </c>
      <c r="D924" t="s">
        <v>19</v>
      </c>
      <c r="E924" s="6">
        <v>0.99707602339181278</v>
      </c>
      <c r="F924" t="s">
        <v>49</v>
      </c>
      <c r="G924"/>
      <c r="H924" s="33">
        <v>1</v>
      </c>
      <c r="I924" s="31">
        <v>1</v>
      </c>
      <c r="J924" s="31">
        <v>1</v>
      </c>
      <c r="K924" s="32">
        <v>1</v>
      </c>
      <c r="M924" s="36">
        <v>7641.5</v>
      </c>
      <c r="O924" s="29">
        <v>2.5000000000000001E-2</v>
      </c>
      <c r="P924" s="37">
        <v>7832.5374999999995</v>
      </c>
    </row>
    <row r="925" spans="2:16" x14ac:dyDescent="0.25">
      <c r="B925" t="s">
        <v>70</v>
      </c>
      <c r="C925" t="s">
        <v>132</v>
      </c>
      <c r="D925" t="s">
        <v>19</v>
      </c>
      <c r="E925" s="6">
        <v>0.99707602339181278</v>
      </c>
      <c r="F925" t="s">
        <v>31</v>
      </c>
      <c r="G925"/>
      <c r="H925" s="33" t="s">
        <v>10</v>
      </c>
      <c r="I925" s="31" t="s">
        <v>10</v>
      </c>
      <c r="J925" s="31" t="s">
        <v>10</v>
      </c>
      <c r="K925" s="32" t="s">
        <v>10</v>
      </c>
      <c r="M925" s="36" t="s">
        <v>10</v>
      </c>
      <c r="O925" s="30"/>
      <c r="P925" s="37" t="s">
        <v>10</v>
      </c>
    </row>
    <row r="926" spans="2:16" x14ac:dyDescent="0.25">
      <c r="B926" t="s">
        <v>70</v>
      </c>
      <c r="C926" t="s">
        <v>132</v>
      </c>
      <c r="D926" t="s">
        <v>21</v>
      </c>
      <c r="E926" s="6">
        <v>0.89629629629629626</v>
      </c>
      <c r="F926" t="s">
        <v>37</v>
      </c>
      <c r="G926"/>
      <c r="H926" s="33">
        <v>0.90555550000000007</v>
      </c>
      <c r="I926" s="31">
        <v>0.95967733333333316</v>
      </c>
      <c r="J926" s="31">
        <v>0.87037033333333336</v>
      </c>
      <c r="K926" s="32">
        <v>0.90973876190476188</v>
      </c>
      <c r="M926" s="36">
        <v>7928.166666666667</v>
      </c>
      <c r="O926" s="29"/>
      <c r="P926" s="37" t="s">
        <v>10</v>
      </c>
    </row>
    <row r="927" spans="2:16" x14ac:dyDescent="0.25">
      <c r="B927" t="s">
        <v>70</v>
      </c>
      <c r="C927" t="s">
        <v>132</v>
      </c>
      <c r="D927" t="s">
        <v>21</v>
      </c>
      <c r="E927" s="6">
        <v>0.89629629629629626</v>
      </c>
      <c r="F927" t="s">
        <v>50</v>
      </c>
      <c r="G927"/>
      <c r="H927" s="33">
        <v>1</v>
      </c>
      <c r="I927" s="31">
        <v>1</v>
      </c>
      <c r="J927" s="31">
        <v>1</v>
      </c>
      <c r="K927" s="32">
        <v>1</v>
      </c>
      <c r="M927" s="36">
        <v>8945.6666666666661</v>
      </c>
      <c r="O927" s="30"/>
      <c r="P927" s="37" t="s">
        <v>10</v>
      </c>
    </row>
    <row r="928" spans="2:16" x14ac:dyDescent="0.25">
      <c r="B928" t="s">
        <v>70</v>
      </c>
      <c r="C928" t="s">
        <v>132</v>
      </c>
      <c r="D928" t="s">
        <v>13</v>
      </c>
      <c r="E928" s="6">
        <v>0.96502057613168735</v>
      </c>
      <c r="F928" t="s">
        <v>35</v>
      </c>
      <c r="G928"/>
      <c r="H928" s="33">
        <v>1</v>
      </c>
      <c r="I928" s="31">
        <v>0.94193539999999998</v>
      </c>
      <c r="J928" s="31">
        <v>1</v>
      </c>
      <c r="K928" s="32">
        <v>0.98021975164835151</v>
      </c>
      <c r="M928" s="36">
        <v>451</v>
      </c>
      <c r="O928" s="29">
        <v>2.5000000000000001E-2</v>
      </c>
      <c r="P928" s="37">
        <v>462.27499999999998</v>
      </c>
    </row>
    <row r="929" spans="2:16" x14ac:dyDescent="0.25">
      <c r="B929" t="s">
        <v>70</v>
      </c>
      <c r="C929" t="s">
        <v>132</v>
      </c>
      <c r="D929" t="s">
        <v>13</v>
      </c>
      <c r="E929" s="6">
        <v>0.96502057613168735</v>
      </c>
      <c r="F929" t="s">
        <v>20</v>
      </c>
      <c r="G929"/>
      <c r="H929" s="33">
        <v>0.94242421212121219</v>
      </c>
      <c r="I929" s="31">
        <v>0.92766366666666666</v>
      </c>
      <c r="J929" s="31">
        <v>0.95117839393939407</v>
      </c>
      <c r="K929" s="32">
        <v>0.93683122910422911</v>
      </c>
      <c r="M929" s="36">
        <v>415.36363636363637</v>
      </c>
      <c r="O929" s="29">
        <v>2.5000000000000001E-2</v>
      </c>
      <c r="P929" s="37">
        <v>425.74772727272727</v>
      </c>
    </row>
    <row r="930" spans="2:16" x14ac:dyDescent="0.25">
      <c r="B930" t="s">
        <v>70</v>
      </c>
      <c r="C930" t="s">
        <v>132</v>
      </c>
      <c r="D930" t="s">
        <v>13</v>
      </c>
      <c r="E930" s="6">
        <v>0.96502057613168735</v>
      </c>
      <c r="F930" t="s">
        <v>49</v>
      </c>
      <c r="G930"/>
      <c r="H930" s="33">
        <v>0.95416656250000009</v>
      </c>
      <c r="I930" s="31">
        <v>0.97177412499999993</v>
      </c>
      <c r="J930" s="31">
        <v>0.98263887500000002</v>
      </c>
      <c r="K930" s="32">
        <v>0.97079543681318692</v>
      </c>
      <c r="M930" s="36">
        <v>359</v>
      </c>
      <c r="O930" s="29">
        <v>2.5000000000000001E-2</v>
      </c>
      <c r="P930" s="37">
        <v>367.97499999999997</v>
      </c>
    </row>
    <row r="931" spans="2:16" x14ac:dyDescent="0.25">
      <c r="B931" t="s">
        <v>70</v>
      </c>
      <c r="C931" t="s">
        <v>132</v>
      </c>
      <c r="D931" t="s">
        <v>51</v>
      </c>
      <c r="E931" s="6">
        <v>0.95833333333333337</v>
      </c>
      <c r="F931" t="s">
        <v>34</v>
      </c>
      <c r="G931"/>
      <c r="H931" s="33">
        <v>1</v>
      </c>
      <c r="I931" s="31">
        <v>0.99838705000000005</v>
      </c>
      <c r="J931" s="31">
        <v>0.95</v>
      </c>
      <c r="K931" s="32">
        <v>0.97795029175824166</v>
      </c>
      <c r="M931" s="36">
        <v>4987.5</v>
      </c>
      <c r="O931" s="29">
        <v>2.5000000000000001E-2</v>
      </c>
      <c r="P931" s="37">
        <v>5112.1875</v>
      </c>
    </row>
    <row r="932" spans="2:16" x14ac:dyDescent="0.25">
      <c r="B932" t="s">
        <v>70</v>
      </c>
      <c r="C932" t="s">
        <v>132</v>
      </c>
      <c r="D932" t="s">
        <v>51</v>
      </c>
      <c r="E932" s="6">
        <v>0.95833333333333337</v>
      </c>
      <c r="F932" t="s">
        <v>20</v>
      </c>
      <c r="G932"/>
      <c r="H932" s="33">
        <v>1</v>
      </c>
      <c r="I932" s="31">
        <v>1</v>
      </c>
      <c r="J932" s="31">
        <v>1</v>
      </c>
      <c r="K932" s="32">
        <v>1</v>
      </c>
      <c r="M932" s="36">
        <v>3876.5</v>
      </c>
      <c r="O932" s="29">
        <v>2.5000000000000001E-2</v>
      </c>
      <c r="P932" s="37">
        <v>3973.4124999999995</v>
      </c>
    </row>
    <row r="933" spans="2:16" x14ac:dyDescent="0.25">
      <c r="B933" t="s">
        <v>70</v>
      </c>
      <c r="C933" t="s">
        <v>166</v>
      </c>
      <c r="D933" t="s">
        <v>19</v>
      </c>
      <c r="E933" s="6">
        <v>0.95321637426900585</v>
      </c>
      <c r="F933" t="s">
        <v>20</v>
      </c>
      <c r="G933"/>
      <c r="H933" s="33">
        <v>0.93333333333333335</v>
      </c>
      <c r="I933" s="31">
        <v>0.90107519999999997</v>
      </c>
      <c r="J933" s="31">
        <v>0.94074073333333341</v>
      </c>
      <c r="K933" s="32">
        <v>0.92903324395604392</v>
      </c>
      <c r="M933" s="36">
        <v>6162.333333333333</v>
      </c>
      <c r="O933" s="30"/>
      <c r="P933" s="37" t="s">
        <v>10</v>
      </c>
    </row>
    <row r="934" spans="2:16" x14ac:dyDescent="0.25">
      <c r="B934" t="s">
        <v>70</v>
      </c>
      <c r="C934" t="s">
        <v>166</v>
      </c>
      <c r="D934" t="s">
        <v>19</v>
      </c>
      <c r="E934" s="6">
        <v>0.95321637426900585</v>
      </c>
      <c r="F934" t="s">
        <v>49</v>
      </c>
      <c r="G934"/>
      <c r="H934" s="33">
        <v>0.84166649999999998</v>
      </c>
      <c r="I934" s="31">
        <v>1</v>
      </c>
      <c r="J934" s="31">
        <v>1</v>
      </c>
      <c r="K934" s="32">
        <v>0.94780214285714282</v>
      </c>
      <c r="M934" s="36">
        <v>6744</v>
      </c>
      <c r="O934" s="30"/>
      <c r="P934" s="37" t="s">
        <v>10</v>
      </c>
    </row>
    <row r="935" spans="2:16" x14ac:dyDescent="0.25">
      <c r="B935" t="s">
        <v>70</v>
      </c>
      <c r="C935" s="35" t="s">
        <v>166</v>
      </c>
      <c r="D935" t="s">
        <v>19</v>
      </c>
      <c r="E935" s="6">
        <v>0.95321637426900585</v>
      </c>
      <c r="F935" t="s">
        <v>63</v>
      </c>
      <c r="G935"/>
      <c r="H935" s="33" t="s">
        <v>10</v>
      </c>
      <c r="I935" s="31" t="s">
        <v>10</v>
      </c>
      <c r="J935" s="31" t="s">
        <v>10</v>
      </c>
      <c r="K935" s="32" t="s">
        <v>10</v>
      </c>
      <c r="M935" s="36" t="s">
        <v>10</v>
      </c>
      <c r="O935" s="30"/>
      <c r="P935" s="37" t="s">
        <v>10</v>
      </c>
    </row>
    <row r="936" spans="2:16" x14ac:dyDescent="0.25">
      <c r="B936" t="s">
        <v>70</v>
      </c>
      <c r="C936" t="s">
        <v>166</v>
      </c>
      <c r="D936" t="s">
        <v>21</v>
      </c>
      <c r="E936" s="6">
        <v>0.95925925925925926</v>
      </c>
      <c r="F936" t="s">
        <v>37</v>
      </c>
      <c r="G936"/>
      <c r="H936" s="33">
        <v>1</v>
      </c>
      <c r="I936" s="31">
        <v>0.98655908333333331</v>
      </c>
      <c r="J936" s="31">
        <v>0.95833333333333337</v>
      </c>
      <c r="K936" s="32">
        <v>0.97511542948717944</v>
      </c>
      <c r="M936" s="36">
        <v>7280.666666666667</v>
      </c>
      <c r="O936" s="29">
        <v>2.5000000000000001E-2</v>
      </c>
      <c r="P936" s="37">
        <v>7462.6833333333334</v>
      </c>
    </row>
    <row r="937" spans="2:16" x14ac:dyDescent="0.25">
      <c r="B937" t="s">
        <v>70</v>
      </c>
      <c r="C937" t="s">
        <v>166</v>
      </c>
      <c r="D937" t="s">
        <v>21</v>
      </c>
      <c r="E937" s="6">
        <v>0.95925925925925926</v>
      </c>
      <c r="F937" t="s">
        <v>50</v>
      </c>
      <c r="G937"/>
      <c r="H937" s="33">
        <v>1</v>
      </c>
      <c r="I937" s="31">
        <v>1</v>
      </c>
      <c r="J937" s="31">
        <v>0.96296266666666674</v>
      </c>
      <c r="K937" s="32">
        <v>0.99044428571428578</v>
      </c>
      <c r="M937" s="36">
        <v>7902.333333333333</v>
      </c>
      <c r="O937" s="29">
        <v>2.5000000000000001E-2</v>
      </c>
      <c r="P937" s="37">
        <v>8099.8916666666655</v>
      </c>
    </row>
    <row r="938" spans="2:16" x14ac:dyDescent="0.25">
      <c r="B938" t="s">
        <v>70</v>
      </c>
      <c r="C938" s="35" t="s">
        <v>166</v>
      </c>
      <c r="D938" t="s">
        <v>64</v>
      </c>
      <c r="E938" s="6">
        <v>1</v>
      </c>
      <c r="F938" t="s">
        <v>63</v>
      </c>
      <c r="G938"/>
      <c r="H938" s="33">
        <v>0.97166665000000008</v>
      </c>
      <c r="I938" s="31">
        <v>1</v>
      </c>
      <c r="J938" s="31">
        <v>1</v>
      </c>
      <c r="K938" s="32">
        <v>0.99065933516483518</v>
      </c>
      <c r="M938" s="36">
        <v>4394</v>
      </c>
      <c r="O938" s="29">
        <v>0.05</v>
      </c>
      <c r="P938" s="37">
        <v>4613.7</v>
      </c>
    </row>
    <row r="939" spans="2:16" x14ac:dyDescent="0.25">
      <c r="B939" t="s">
        <v>70</v>
      </c>
      <c r="C939" s="35" t="s">
        <v>166</v>
      </c>
      <c r="D939" t="s">
        <v>64</v>
      </c>
      <c r="E939" s="6">
        <v>1</v>
      </c>
      <c r="F939" t="s">
        <v>65</v>
      </c>
      <c r="G939"/>
      <c r="H939" s="33">
        <v>1</v>
      </c>
      <c r="I939" s="31">
        <v>1</v>
      </c>
      <c r="J939" s="31">
        <v>1</v>
      </c>
      <c r="K939" s="32">
        <v>1</v>
      </c>
      <c r="M939" s="36">
        <v>3577</v>
      </c>
      <c r="O939" s="29">
        <v>6.6739720308912592E-2</v>
      </c>
      <c r="P939" s="37">
        <v>3815.7279795449804</v>
      </c>
    </row>
    <row r="940" spans="2:16" x14ac:dyDescent="0.25">
      <c r="B940" t="s">
        <v>70</v>
      </c>
      <c r="C940" t="s">
        <v>166</v>
      </c>
      <c r="D940" t="s">
        <v>13</v>
      </c>
      <c r="E940" s="6">
        <v>0.77057613168724282</v>
      </c>
      <c r="F940" t="s">
        <v>35</v>
      </c>
      <c r="G940"/>
      <c r="H940" s="33">
        <v>1</v>
      </c>
      <c r="I940" s="31">
        <v>0.90322499999999994</v>
      </c>
      <c r="J940" s="31">
        <v>0.94444399999999995</v>
      </c>
      <c r="K940" s="32">
        <v>0.95269895604395605</v>
      </c>
      <c r="M940" s="36">
        <v>449</v>
      </c>
      <c r="O940" s="30"/>
      <c r="P940" s="37" t="s">
        <v>10</v>
      </c>
    </row>
    <row r="941" spans="2:16" x14ac:dyDescent="0.25">
      <c r="B941" t="s">
        <v>70</v>
      </c>
      <c r="C941" t="s">
        <v>166</v>
      </c>
      <c r="D941" t="s">
        <v>13</v>
      </c>
      <c r="E941" s="6">
        <v>0.77057613168724282</v>
      </c>
      <c r="F941" t="s">
        <v>20</v>
      </c>
      <c r="G941"/>
      <c r="H941" s="33">
        <v>0.64308941463414626</v>
      </c>
      <c r="I941" s="31">
        <v>0.67820609756097561</v>
      </c>
      <c r="J941" s="31">
        <v>0.79945795121951224</v>
      </c>
      <c r="K941" s="32">
        <v>0.70034839721254349</v>
      </c>
      <c r="M941" s="36">
        <v>402.17073170731709</v>
      </c>
      <c r="O941" s="30"/>
      <c r="P941" s="37" t="s">
        <v>10</v>
      </c>
    </row>
    <row r="942" spans="2:16" x14ac:dyDescent="0.25">
      <c r="B942" t="s">
        <v>70</v>
      </c>
      <c r="C942" t="s">
        <v>166</v>
      </c>
      <c r="D942" t="s">
        <v>13</v>
      </c>
      <c r="E942" s="6">
        <v>0.77057613168724282</v>
      </c>
      <c r="F942" t="s">
        <v>49</v>
      </c>
      <c r="G942"/>
      <c r="H942" s="33">
        <v>0.6111110833333333</v>
      </c>
      <c r="I942" s="31">
        <v>0.61827949999999998</v>
      </c>
      <c r="J942" s="31">
        <v>0.65740733333333334</v>
      </c>
      <c r="K942" s="32">
        <v>0.63186809890109885</v>
      </c>
      <c r="M942" s="36">
        <v>342.33333333333331</v>
      </c>
      <c r="O942" s="30"/>
      <c r="P942" s="37" t="s">
        <v>10</v>
      </c>
    </row>
    <row r="943" spans="2:16" x14ac:dyDescent="0.25">
      <c r="B943" t="s">
        <v>70</v>
      </c>
      <c r="C943" t="s">
        <v>189</v>
      </c>
      <c r="D943" t="s">
        <v>19</v>
      </c>
      <c r="E943" s="6">
        <v>1</v>
      </c>
      <c r="F943" t="s">
        <v>20</v>
      </c>
      <c r="G943"/>
      <c r="H943" s="33">
        <v>0.98888886666666664</v>
      </c>
      <c r="I943" s="31">
        <v>1</v>
      </c>
      <c r="J943" s="31">
        <v>1</v>
      </c>
      <c r="K943" s="32">
        <v>0.9963369890109891</v>
      </c>
      <c r="M943" s="36">
        <v>6365.666666666667</v>
      </c>
      <c r="O943" s="29">
        <v>0.05</v>
      </c>
      <c r="P943" s="37">
        <v>6683.9500000000007</v>
      </c>
    </row>
    <row r="944" spans="2:16" x14ac:dyDescent="0.25">
      <c r="B944" t="s">
        <v>70</v>
      </c>
      <c r="C944" t="s">
        <v>189</v>
      </c>
      <c r="D944" t="s">
        <v>19</v>
      </c>
      <c r="E944" s="6">
        <v>1</v>
      </c>
      <c r="F944" t="s">
        <v>49</v>
      </c>
      <c r="G944"/>
      <c r="H944" s="33">
        <v>1</v>
      </c>
      <c r="I944" s="31">
        <v>1</v>
      </c>
      <c r="J944" s="31">
        <v>1</v>
      </c>
      <c r="K944" s="32">
        <v>1</v>
      </c>
      <c r="M944" s="36">
        <v>6774</v>
      </c>
      <c r="O944" s="29">
        <v>0.05</v>
      </c>
      <c r="P944" s="37">
        <v>7112.7000000000007</v>
      </c>
    </row>
    <row r="945" spans="2:16" x14ac:dyDescent="0.25">
      <c r="B945" t="s">
        <v>70</v>
      </c>
      <c r="C945" t="s">
        <v>189</v>
      </c>
      <c r="D945" t="s">
        <v>21</v>
      </c>
      <c r="E945" s="6">
        <v>0.94814814814814807</v>
      </c>
      <c r="F945" t="s">
        <v>37</v>
      </c>
      <c r="G945"/>
      <c r="H945" s="33">
        <v>0.99722216666666663</v>
      </c>
      <c r="I945" s="31">
        <v>0.97043008333333336</v>
      </c>
      <c r="J945" s="31">
        <v>0.93518516666666673</v>
      </c>
      <c r="K945" s="32">
        <v>0.96631626465201459</v>
      </c>
      <c r="M945" s="36">
        <v>7554</v>
      </c>
      <c r="O945" s="29">
        <v>0.05</v>
      </c>
      <c r="P945" s="37">
        <v>7931.7000000000007</v>
      </c>
    </row>
    <row r="946" spans="2:16" x14ac:dyDescent="0.25">
      <c r="B946" t="s">
        <v>70</v>
      </c>
      <c r="C946" t="s">
        <v>189</v>
      </c>
      <c r="D946" t="s">
        <v>21</v>
      </c>
      <c r="E946" s="6">
        <v>0.94814814814814807</v>
      </c>
      <c r="F946" t="s">
        <v>50</v>
      </c>
      <c r="G946"/>
      <c r="H946" s="33">
        <v>1</v>
      </c>
      <c r="I946" s="31">
        <v>1</v>
      </c>
      <c r="J946" s="31">
        <v>1</v>
      </c>
      <c r="K946" s="32">
        <v>1</v>
      </c>
      <c r="M946" s="36">
        <v>8255.6666666666661</v>
      </c>
      <c r="O946" s="29">
        <v>0.05</v>
      </c>
      <c r="P946" s="37">
        <v>8668.4499999999989</v>
      </c>
    </row>
    <row r="947" spans="2:16" x14ac:dyDescent="0.25">
      <c r="B947" t="s">
        <v>70</v>
      </c>
      <c r="C947" t="s">
        <v>189</v>
      </c>
      <c r="D947" t="s">
        <v>13</v>
      </c>
      <c r="E947" s="6">
        <v>0.92078189300411517</v>
      </c>
      <c r="F947" t="s">
        <v>35</v>
      </c>
      <c r="G947"/>
      <c r="H947" s="33">
        <v>0.9</v>
      </c>
      <c r="I947" s="31">
        <v>0.87096700000000005</v>
      </c>
      <c r="J947" s="31">
        <v>0.94444399999999995</v>
      </c>
      <c r="K947" s="32">
        <v>0.90874293406593398</v>
      </c>
      <c r="M947" s="36">
        <v>429</v>
      </c>
      <c r="O947" s="29">
        <v>0.05</v>
      </c>
      <c r="P947" s="37">
        <v>450.45000000000005</v>
      </c>
    </row>
    <row r="948" spans="2:16" x14ac:dyDescent="0.25">
      <c r="B948" t="s">
        <v>70</v>
      </c>
      <c r="C948" t="s">
        <v>189</v>
      </c>
      <c r="D948" t="s">
        <v>13</v>
      </c>
      <c r="E948" s="6">
        <v>0.92078189300411517</v>
      </c>
      <c r="F948" t="s">
        <v>20</v>
      </c>
      <c r="G948"/>
      <c r="H948" s="33">
        <v>0.96161612121212114</v>
      </c>
      <c r="I948" s="31">
        <v>0.95112403030303028</v>
      </c>
      <c r="J948" s="31">
        <v>0.93602687878787894</v>
      </c>
      <c r="K948" s="32">
        <v>0.9511502241092239</v>
      </c>
      <c r="M948" s="36">
        <v>403.24242424242425</v>
      </c>
      <c r="O948" s="29">
        <v>0.05</v>
      </c>
      <c r="P948" s="37">
        <v>423.40454545454548</v>
      </c>
    </row>
    <row r="949" spans="2:16" x14ac:dyDescent="0.25">
      <c r="B949" t="s">
        <v>70</v>
      </c>
      <c r="C949" t="s">
        <v>189</v>
      </c>
      <c r="D949" t="s">
        <v>13</v>
      </c>
      <c r="E949" s="6">
        <v>0.92078189300411517</v>
      </c>
      <c r="F949" t="s">
        <v>49</v>
      </c>
      <c r="G949"/>
      <c r="H949" s="33">
        <v>0.94166659999999991</v>
      </c>
      <c r="I949" s="31">
        <v>0.92741930000000006</v>
      </c>
      <c r="J949" s="31">
        <v>0.89444434999999989</v>
      </c>
      <c r="K949" s="32">
        <v>0.92164350879120893</v>
      </c>
      <c r="M949" s="36">
        <v>349</v>
      </c>
      <c r="O949" s="29">
        <v>2.5000000000000001E-2</v>
      </c>
      <c r="P949" s="37">
        <v>357.72499999999997</v>
      </c>
    </row>
    <row r="950" spans="2:16" x14ac:dyDescent="0.25">
      <c r="B950" t="s">
        <v>70</v>
      </c>
      <c r="C950" t="s">
        <v>189</v>
      </c>
      <c r="D950" t="s">
        <v>51</v>
      </c>
      <c r="E950" s="6">
        <v>1</v>
      </c>
      <c r="F950" t="s">
        <v>34</v>
      </c>
      <c r="G950"/>
      <c r="H950" s="33">
        <v>0.91999999999999993</v>
      </c>
      <c r="I950" s="31">
        <v>0.9661289500000001</v>
      </c>
      <c r="J950" s="31">
        <v>1</v>
      </c>
      <c r="K950" s="32">
        <v>0.96208788406593404</v>
      </c>
      <c r="M950" s="36">
        <v>3255.5</v>
      </c>
      <c r="O950" s="29">
        <v>0.05</v>
      </c>
      <c r="P950" s="37">
        <v>3418.2750000000001</v>
      </c>
    </row>
    <row r="951" spans="2:16" x14ac:dyDescent="0.25">
      <c r="B951" t="s">
        <v>70</v>
      </c>
      <c r="C951" t="s">
        <v>189</v>
      </c>
      <c r="D951" t="s">
        <v>51</v>
      </c>
      <c r="E951" s="6">
        <v>1</v>
      </c>
      <c r="F951" t="s">
        <v>20</v>
      </c>
      <c r="G951"/>
      <c r="H951" s="33">
        <v>1</v>
      </c>
      <c r="I951" s="31">
        <v>1</v>
      </c>
      <c r="J951" s="31">
        <v>1</v>
      </c>
      <c r="K951" s="32">
        <v>1</v>
      </c>
      <c r="M951" s="36">
        <v>2679</v>
      </c>
      <c r="O951" s="29">
        <v>0.05</v>
      </c>
      <c r="P951" s="37">
        <v>2812.9500000000003</v>
      </c>
    </row>
    <row r="952" spans="2:16" x14ac:dyDescent="0.25">
      <c r="B952" t="s">
        <v>70</v>
      </c>
      <c r="C952" t="s">
        <v>218</v>
      </c>
      <c r="D952" t="s">
        <v>19</v>
      </c>
      <c r="E952" s="6">
        <v>0.93181818181818177</v>
      </c>
      <c r="F952" t="s">
        <v>20</v>
      </c>
      <c r="G952"/>
      <c r="H952" s="33">
        <v>0.89074072222222211</v>
      </c>
      <c r="I952" s="31">
        <v>0.88709672222222224</v>
      </c>
      <c r="J952" s="31">
        <v>0.93518511111111102</v>
      </c>
      <c r="K952" s="32">
        <v>0.88570362698412697</v>
      </c>
      <c r="M952" s="36">
        <v>5539</v>
      </c>
      <c r="O952" s="30"/>
      <c r="P952" s="37" t="s">
        <v>10</v>
      </c>
    </row>
    <row r="953" spans="2:16" x14ac:dyDescent="0.25">
      <c r="B953" t="s">
        <v>70</v>
      </c>
      <c r="C953" t="s">
        <v>218</v>
      </c>
      <c r="D953" t="s">
        <v>19</v>
      </c>
      <c r="E953" s="6">
        <v>0.93181818181818177</v>
      </c>
      <c r="F953" t="s">
        <v>15</v>
      </c>
      <c r="G953"/>
      <c r="H953" s="33">
        <v>0.96666649999999998</v>
      </c>
      <c r="I953" s="31">
        <v>0.92741925000000003</v>
      </c>
      <c r="J953" s="31">
        <v>0.91666650000000005</v>
      </c>
      <c r="K953" s="32">
        <v>0.92486850824175837</v>
      </c>
      <c r="M953" s="36">
        <v>6509</v>
      </c>
      <c r="O953" s="29">
        <v>0.01</v>
      </c>
      <c r="P953" s="37">
        <v>6574.09</v>
      </c>
    </row>
    <row r="954" spans="2:16" x14ac:dyDescent="0.25">
      <c r="B954" t="s">
        <v>70</v>
      </c>
      <c r="C954" t="s">
        <v>218</v>
      </c>
      <c r="D954" t="s">
        <v>21</v>
      </c>
      <c r="E954" s="6">
        <v>0.68181818181818177</v>
      </c>
      <c r="F954" t="s">
        <v>115</v>
      </c>
      <c r="G954"/>
      <c r="H954" s="33">
        <v>0.88518511111111109</v>
      </c>
      <c r="I954" s="31">
        <v>0.781362</v>
      </c>
      <c r="J954" s="31">
        <v>0.61111111111111116</v>
      </c>
      <c r="K954" s="32">
        <v>0.76344423443223441</v>
      </c>
      <c r="M954" s="36">
        <v>6939</v>
      </c>
      <c r="O954" s="29"/>
      <c r="P954" s="37" t="s">
        <v>10</v>
      </c>
    </row>
    <row r="955" spans="2:16" x14ac:dyDescent="0.25">
      <c r="B955" t="s">
        <v>70</v>
      </c>
      <c r="C955" t="s">
        <v>218</v>
      </c>
      <c r="D955" t="s">
        <v>21</v>
      </c>
      <c r="E955" s="6">
        <v>0.68181818181818177</v>
      </c>
      <c r="F955" t="s">
        <v>116</v>
      </c>
      <c r="G955"/>
      <c r="H955" s="33">
        <v>1</v>
      </c>
      <c r="I955" s="31">
        <v>1</v>
      </c>
      <c r="J955" s="31">
        <v>1</v>
      </c>
      <c r="K955" s="32">
        <v>1</v>
      </c>
      <c r="M955" s="36">
        <v>8379</v>
      </c>
      <c r="O955" s="30"/>
      <c r="P955" s="37" t="s">
        <v>10</v>
      </c>
    </row>
    <row r="956" spans="2:16" x14ac:dyDescent="0.25">
      <c r="B956" t="s">
        <v>70</v>
      </c>
      <c r="C956" t="s">
        <v>218</v>
      </c>
      <c r="D956" t="s">
        <v>13</v>
      </c>
      <c r="E956" s="6">
        <v>0.86111111111111105</v>
      </c>
      <c r="F956" t="s">
        <v>14</v>
      </c>
      <c r="G956"/>
      <c r="H956" s="33">
        <v>0.591666625</v>
      </c>
      <c r="I956" s="31">
        <v>0.81854837499999999</v>
      </c>
      <c r="J956" s="31">
        <v>0.48611100000000002</v>
      </c>
      <c r="K956" s="32">
        <v>0.65665308653846155</v>
      </c>
      <c r="M956" s="36">
        <v>349</v>
      </c>
      <c r="O956" s="30"/>
      <c r="P956" s="37" t="s">
        <v>10</v>
      </c>
    </row>
    <row r="957" spans="2:16" x14ac:dyDescent="0.25">
      <c r="B957" t="s">
        <v>70</v>
      </c>
      <c r="C957" t="s">
        <v>218</v>
      </c>
      <c r="D957" t="s">
        <v>13</v>
      </c>
      <c r="E957" s="6">
        <v>0.86111111111111105</v>
      </c>
      <c r="F957" t="s">
        <v>15</v>
      </c>
      <c r="G957"/>
      <c r="H957" s="33">
        <v>0.93533332000000002</v>
      </c>
      <c r="I957" s="31">
        <v>0.95290322000000005</v>
      </c>
      <c r="J957" s="31">
        <v>0.92111109999999996</v>
      </c>
      <c r="K957" s="32">
        <v>0.93827041340659367</v>
      </c>
      <c r="M957" s="36">
        <v>309</v>
      </c>
      <c r="O957" s="30"/>
      <c r="P957" s="37" t="s">
        <v>10</v>
      </c>
    </row>
    <row r="958" spans="2:16" x14ac:dyDescent="0.25">
      <c r="B958" t="s">
        <v>70</v>
      </c>
      <c r="C958" t="s">
        <v>219</v>
      </c>
      <c r="D958" t="s">
        <v>19</v>
      </c>
      <c r="E958" s="6">
        <v>0.937037037037037</v>
      </c>
      <c r="F958" t="s">
        <v>20</v>
      </c>
      <c r="G958"/>
      <c r="H958" s="33">
        <v>0.9933333333333334</v>
      </c>
      <c r="I958" s="31">
        <v>0.98064513333333325</v>
      </c>
      <c r="J958" s="31">
        <v>0.93703700000000001</v>
      </c>
      <c r="K958" s="32">
        <v>0.97018632014652018</v>
      </c>
      <c r="M958" s="36">
        <v>5389</v>
      </c>
      <c r="O958" s="29">
        <v>2.5000000000000001E-2</v>
      </c>
      <c r="P958" s="37">
        <v>5523.7249999999995</v>
      </c>
    </row>
    <row r="959" spans="2:16" x14ac:dyDescent="0.25">
      <c r="B959" t="s">
        <v>70</v>
      </c>
      <c r="C959" t="s">
        <v>219</v>
      </c>
      <c r="D959" t="s">
        <v>13</v>
      </c>
      <c r="E959" s="6">
        <v>0.80753968253968256</v>
      </c>
      <c r="F959" t="s">
        <v>14</v>
      </c>
      <c r="G959"/>
      <c r="H959" s="33">
        <v>0.82440475000000002</v>
      </c>
      <c r="I959" s="31">
        <v>0.82776496428571433</v>
      </c>
      <c r="J959" s="31">
        <v>0.80753967857142861</v>
      </c>
      <c r="K959" s="32">
        <v>0.83382595973138507</v>
      </c>
      <c r="M959" s="36">
        <v>339</v>
      </c>
      <c r="O959" s="30"/>
      <c r="P959" s="37" t="s">
        <v>10</v>
      </c>
    </row>
    <row r="960" spans="2:16" x14ac:dyDescent="0.25">
      <c r="B960" t="s">
        <v>70</v>
      </c>
      <c r="C960" t="s">
        <v>227</v>
      </c>
      <c r="D960" t="s">
        <v>19</v>
      </c>
      <c r="E960" s="6">
        <v>0.98745519713261642</v>
      </c>
      <c r="F960" t="s">
        <v>20</v>
      </c>
      <c r="G960"/>
      <c r="H960" s="33">
        <v>0.99696968181818191</v>
      </c>
      <c r="I960" s="31">
        <v>0.99413486363636361</v>
      </c>
      <c r="J960" s="31">
        <v>0.98232322727272736</v>
      </c>
      <c r="K960" s="32">
        <v>0.99244232117882125</v>
      </c>
      <c r="M960" s="36">
        <v>5937.181818181818</v>
      </c>
      <c r="O960" s="29">
        <v>2.5000000000000001E-2</v>
      </c>
      <c r="P960" s="37">
        <v>6085.6113636363625</v>
      </c>
    </row>
    <row r="961" spans="2:16" x14ac:dyDescent="0.25">
      <c r="B961" t="s">
        <v>70</v>
      </c>
      <c r="C961" t="s">
        <v>227</v>
      </c>
      <c r="D961" t="s">
        <v>19</v>
      </c>
      <c r="E961" s="6">
        <v>0.98745519713261642</v>
      </c>
      <c r="F961" t="s">
        <v>15</v>
      </c>
      <c r="G961"/>
      <c r="H961" s="33">
        <v>1</v>
      </c>
      <c r="I961" s="31">
        <v>1</v>
      </c>
      <c r="J961" s="31">
        <v>1</v>
      </c>
      <c r="K961" s="32">
        <v>1</v>
      </c>
      <c r="M961" s="36">
        <v>7432.333333333333</v>
      </c>
      <c r="O961" s="29">
        <v>1.3377975751497162E-2</v>
      </c>
      <c r="P961" s="37">
        <v>7531.7629084437103</v>
      </c>
    </row>
    <row r="962" spans="2:16" x14ac:dyDescent="0.25">
      <c r="B962" t="s">
        <v>70</v>
      </c>
      <c r="C962" t="s">
        <v>227</v>
      </c>
      <c r="D962" t="s">
        <v>13</v>
      </c>
      <c r="E962" s="6">
        <v>0.98765432098765438</v>
      </c>
      <c r="F962" t="s">
        <v>14</v>
      </c>
      <c r="G962"/>
      <c r="H962" s="33">
        <v>0.97619042857142846</v>
      </c>
      <c r="I962" s="31">
        <v>0.96682020000000002</v>
      </c>
      <c r="J962" s="31">
        <v>0.99047617142857136</v>
      </c>
      <c r="K962" s="32">
        <v>0.97675238524332819</v>
      </c>
      <c r="M962" s="36">
        <v>420.71428571428572</v>
      </c>
      <c r="O962" s="29">
        <v>2.5000000000000001E-2</v>
      </c>
      <c r="P962" s="37">
        <v>431.23214285714283</v>
      </c>
    </row>
    <row r="963" spans="2:16" x14ac:dyDescent="0.25">
      <c r="B963" t="s">
        <v>70</v>
      </c>
      <c r="C963" t="s">
        <v>227</v>
      </c>
      <c r="D963" t="s">
        <v>13</v>
      </c>
      <c r="E963" s="6">
        <v>0.98765432098765438</v>
      </c>
      <c r="F963" t="s">
        <v>15</v>
      </c>
      <c r="G963"/>
      <c r="H963" s="33">
        <v>0.98124999999999996</v>
      </c>
      <c r="I963" s="31">
        <v>0.98185475</v>
      </c>
      <c r="J963" s="31">
        <v>0.9791665625</v>
      </c>
      <c r="K963" s="32">
        <v>0.98136640521978025</v>
      </c>
      <c r="M963" s="36">
        <v>349</v>
      </c>
      <c r="O963" s="29">
        <v>2.5000000000000001E-2</v>
      </c>
      <c r="P963" s="37">
        <v>357.72499999999997</v>
      </c>
    </row>
    <row r="964" spans="2:16" x14ac:dyDescent="0.25">
      <c r="B964" t="s">
        <v>70</v>
      </c>
      <c r="C964" t="s">
        <v>227</v>
      </c>
      <c r="D964" t="s">
        <v>13</v>
      </c>
      <c r="E964" s="6">
        <v>0.98765432098765438</v>
      </c>
      <c r="F964" t="s">
        <v>228</v>
      </c>
      <c r="G964"/>
      <c r="H964" s="33">
        <v>0.95555533333333331</v>
      </c>
      <c r="I964" s="31">
        <v>0.96774166666666661</v>
      </c>
      <c r="J964" s="31">
        <v>1</v>
      </c>
      <c r="K964" s="32">
        <v>0.96480309523809538</v>
      </c>
      <c r="M964" s="36">
        <v>489</v>
      </c>
      <c r="O964" s="29">
        <v>2.5000000000000001E-2</v>
      </c>
      <c r="P964" s="37">
        <v>501.22499999999997</v>
      </c>
    </row>
    <row r="965" spans="2:16" x14ac:dyDescent="0.25">
      <c r="B965" t="s">
        <v>70</v>
      </c>
      <c r="C965" t="s">
        <v>227</v>
      </c>
      <c r="D965" t="s">
        <v>51</v>
      </c>
      <c r="E965" s="6">
        <v>0.96944444444444444</v>
      </c>
      <c r="F965" t="s">
        <v>128</v>
      </c>
      <c r="G965"/>
      <c r="H965" s="33">
        <v>0.9520833125</v>
      </c>
      <c r="I965" s="31">
        <v>0.96572575000000005</v>
      </c>
      <c r="J965" s="31">
        <v>0.96180549999999998</v>
      </c>
      <c r="K965" s="32">
        <v>0.95819393681318676</v>
      </c>
      <c r="M965" s="36">
        <v>3802.75</v>
      </c>
      <c r="O965" s="29">
        <v>2.5000000000000001E-2</v>
      </c>
      <c r="P965" s="37">
        <v>3897.8187499999995</v>
      </c>
    </row>
    <row r="966" spans="2:16" x14ac:dyDescent="0.25">
      <c r="B966" t="s">
        <v>70</v>
      </c>
      <c r="C966" t="s">
        <v>227</v>
      </c>
      <c r="D966" t="s">
        <v>51</v>
      </c>
      <c r="E966" s="6">
        <v>0.96944444444444444</v>
      </c>
      <c r="F966" t="s">
        <v>20</v>
      </c>
      <c r="G966"/>
      <c r="H966" s="33">
        <v>0.84166649999999998</v>
      </c>
      <c r="I966" s="31">
        <v>1</v>
      </c>
      <c r="J966" s="31">
        <v>1</v>
      </c>
      <c r="K966" s="32">
        <v>0.94780214285714282</v>
      </c>
      <c r="M966" s="36">
        <v>3204</v>
      </c>
      <c r="O966" s="29">
        <v>1.5668202764976959E-2</v>
      </c>
      <c r="P966" s="37">
        <v>3254.2009216589863</v>
      </c>
    </row>
    <row r="967" spans="2:16" x14ac:dyDescent="0.25">
      <c r="B967" t="s">
        <v>70</v>
      </c>
      <c r="C967" t="s">
        <v>239</v>
      </c>
      <c r="D967" t="s">
        <v>19</v>
      </c>
      <c r="E967" s="6">
        <v>1</v>
      </c>
      <c r="F967" t="s">
        <v>20</v>
      </c>
      <c r="G967"/>
      <c r="H967" s="33">
        <v>0.93777773333333336</v>
      </c>
      <c r="I967" s="31">
        <v>0.96559133333333336</v>
      </c>
      <c r="J967" s="31">
        <v>1</v>
      </c>
      <c r="K967" s="32">
        <v>0.96776553113553132</v>
      </c>
      <c r="M967" s="36">
        <v>7081.666666666667</v>
      </c>
      <c r="O967" s="29">
        <v>0.01</v>
      </c>
      <c r="P967" s="37">
        <v>7152.4833333333336</v>
      </c>
    </row>
    <row r="968" spans="2:16" x14ac:dyDescent="0.25">
      <c r="B968" t="s">
        <v>70</v>
      </c>
      <c r="C968" t="s">
        <v>239</v>
      </c>
      <c r="D968" t="s">
        <v>19</v>
      </c>
      <c r="E968" s="6">
        <v>1</v>
      </c>
      <c r="F968" t="s">
        <v>49</v>
      </c>
      <c r="G968"/>
      <c r="H968" s="33">
        <v>0.88333324999999996</v>
      </c>
      <c r="I968" s="31">
        <v>1</v>
      </c>
      <c r="J968" s="31">
        <v>1</v>
      </c>
      <c r="K968" s="32">
        <v>0.96153843406593409</v>
      </c>
      <c r="M968" s="36">
        <v>9094</v>
      </c>
      <c r="O968" s="29">
        <v>2.5000000000000001E-2</v>
      </c>
      <c r="P968" s="37">
        <v>9321.3499999999985</v>
      </c>
    </row>
    <row r="969" spans="2:16" x14ac:dyDescent="0.25">
      <c r="B969" t="s">
        <v>70</v>
      </c>
      <c r="C969" t="s">
        <v>239</v>
      </c>
      <c r="D969" t="s">
        <v>21</v>
      </c>
      <c r="E969" s="6">
        <v>0.55555555555555547</v>
      </c>
      <c r="F969" t="s">
        <v>107</v>
      </c>
      <c r="G969"/>
      <c r="H969" s="33">
        <v>0.57083325000000007</v>
      </c>
      <c r="I969" s="31">
        <v>0.72983862499999996</v>
      </c>
      <c r="J969" s="31">
        <v>0.63888887500000002</v>
      </c>
      <c r="K969" s="32">
        <v>0.66256560302197798</v>
      </c>
      <c r="M969" s="36">
        <v>8426.5</v>
      </c>
      <c r="O969" s="29">
        <v>-0.05</v>
      </c>
      <c r="P969" s="37">
        <v>8005.1749999999993</v>
      </c>
    </row>
    <row r="970" spans="2:16" x14ac:dyDescent="0.25">
      <c r="B970" t="s">
        <v>70</v>
      </c>
      <c r="C970" t="s">
        <v>239</v>
      </c>
      <c r="D970" t="s">
        <v>21</v>
      </c>
      <c r="E970" s="6">
        <v>0.55555555555555547</v>
      </c>
      <c r="F970" t="s">
        <v>108</v>
      </c>
      <c r="G970"/>
      <c r="H970" s="33">
        <v>1</v>
      </c>
      <c r="I970" s="31">
        <v>0.60215033333333334</v>
      </c>
      <c r="J970" s="31">
        <v>0.33333333333333331</v>
      </c>
      <c r="K970" s="32">
        <v>0.66857769597069583</v>
      </c>
      <c r="M970" s="36">
        <v>10299</v>
      </c>
      <c r="O970" s="29"/>
      <c r="P970" s="37" t="s">
        <v>10</v>
      </c>
    </row>
    <row r="971" spans="2:16" x14ac:dyDescent="0.25">
      <c r="B971" t="s">
        <v>70</v>
      </c>
      <c r="C971" t="s">
        <v>239</v>
      </c>
      <c r="D971" t="s">
        <v>13</v>
      </c>
      <c r="E971" s="6">
        <v>0.96825396825396814</v>
      </c>
      <c r="F971" t="s">
        <v>20</v>
      </c>
      <c r="G971"/>
      <c r="H971" s="33">
        <v>0.92933327999999993</v>
      </c>
      <c r="I971" s="31">
        <v>0.96387084000000001</v>
      </c>
      <c r="J971" s="31">
        <v>0.94666652000000018</v>
      </c>
      <c r="K971" s="32">
        <v>0.94604863780219783</v>
      </c>
      <c r="M971" s="36">
        <v>489.8</v>
      </c>
      <c r="O971" s="30"/>
      <c r="P971" s="37" t="s">
        <v>10</v>
      </c>
    </row>
    <row r="972" spans="2:16" x14ac:dyDescent="0.25">
      <c r="B972" t="s">
        <v>70</v>
      </c>
      <c r="C972" t="s">
        <v>239</v>
      </c>
      <c r="D972" t="s">
        <v>13</v>
      </c>
      <c r="E972" s="6">
        <v>0.96825396825396814</v>
      </c>
      <c r="F972" t="s">
        <v>49</v>
      </c>
      <c r="G972"/>
      <c r="H972" s="33">
        <v>0.98958331249999998</v>
      </c>
      <c r="I972" s="31">
        <v>1</v>
      </c>
      <c r="J972" s="31">
        <v>1</v>
      </c>
      <c r="K972" s="32">
        <v>0.99656592719780224</v>
      </c>
      <c r="M972" s="36">
        <v>432.75</v>
      </c>
      <c r="O972" s="29">
        <v>1.4236902050113895E-2</v>
      </c>
      <c r="P972" s="37">
        <v>438.91101936218678</v>
      </c>
    </row>
    <row r="973" spans="2:16" x14ac:dyDescent="0.25">
      <c r="B973" t="s">
        <v>70</v>
      </c>
      <c r="C973" t="s">
        <v>239</v>
      </c>
      <c r="D973" t="s">
        <v>13</v>
      </c>
      <c r="E973" s="6">
        <v>0.96825396825396814</v>
      </c>
      <c r="F973" t="s">
        <v>35</v>
      </c>
      <c r="G973"/>
      <c r="H973" s="33">
        <v>1</v>
      </c>
      <c r="I973" s="31">
        <v>1</v>
      </c>
      <c r="J973" s="31">
        <v>1</v>
      </c>
      <c r="K973" s="32">
        <v>1</v>
      </c>
      <c r="M973" s="36">
        <v>519</v>
      </c>
      <c r="O973" s="30"/>
      <c r="P973" s="37" t="s">
        <v>10</v>
      </c>
    </row>
    <row r="974" spans="2:16" x14ac:dyDescent="0.25">
      <c r="B974" t="s">
        <v>70</v>
      </c>
      <c r="C974" t="s">
        <v>239</v>
      </c>
      <c r="D974" t="s">
        <v>16</v>
      </c>
      <c r="E974" s="6">
        <v>1</v>
      </c>
      <c r="F974" t="s">
        <v>37</v>
      </c>
      <c r="G974"/>
      <c r="H974" s="33">
        <v>0.91666666666666663</v>
      </c>
      <c r="I974" s="31">
        <v>0.98924716666666657</v>
      </c>
      <c r="J974" s="31">
        <v>1</v>
      </c>
      <c r="K974" s="32">
        <v>0.96886441941391943</v>
      </c>
      <c r="M974" s="36">
        <v>515.66666666666663</v>
      </c>
      <c r="O974" s="30"/>
      <c r="P974" s="37" t="s">
        <v>10</v>
      </c>
    </row>
    <row r="975" spans="2:16" x14ac:dyDescent="0.25">
      <c r="B975" t="s">
        <v>70</v>
      </c>
      <c r="C975" t="s">
        <v>239</v>
      </c>
      <c r="D975" t="s">
        <v>16</v>
      </c>
      <c r="E975" s="6">
        <v>1</v>
      </c>
      <c r="F975" t="s">
        <v>50</v>
      </c>
      <c r="G975"/>
      <c r="H975" s="33">
        <v>1</v>
      </c>
      <c r="I975" s="31">
        <v>1</v>
      </c>
      <c r="J975" s="31">
        <v>1</v>
      </c>
      <c r="K975" s="32">
        <v>1</v>
      </c>
      <c r="M975" s="36">
        <v>409</v>
      </c>
      <c r="O975" s="30"/>
      <c r="P975" s="37" t="s">
        <v>10</v>
      </c>
    </row>
    <row r="976" spans="2:16" x14ac:dyDescent="0.25">
      <c r="B976" t="s">
        <v>70</v>
      </c>
      <c r="C976" t="s">
        <v>239</v>
      </c>
      <c r="D976" t="s">
        <v>51</v>
      </c>
      <c r="E976" s="6">
        <v>0.93055555555555558</v>
      </c>
      <c r="F976" t="s">
        <v>34</v>
      </c>
      <c r="G976"/>
      <c r="H976" s="33">
        <v>0.904166625</v>
      </c>
      <c r="I976" s="31">
        <v>0.875</v>
      </c>
      <c r="J976" s="31">
        <v>0.91319443749999996</v>
      </c>
      <c r="K976" s="32">
        <v>0.89894885989010997</v>
      </c>
      <c r="M976" s="36">
        <v>4522.75</v>
      </c>
      <c r="O976" s="30"/>
      <c r="P976" s="37" t="s">
        <v>10</v>
      </c>
    </row>
    <row r="977" spans="2:16" x14ac:dyDescent="0.25">
      <c r="B977" t="s">
        <v>70</v>
      </c>
      <c r="C977" t="s">
        <v>239</v>
      </c>
      <c r="D977" t="s">
        <v>51</v>
      </c>
      <c r="E977" s="6">
        <v>0.93055555555555558</v>
      </c>
      <c r="F977" t="s">
        <v>20</v>
      </c>
      <c r="G977"/>
      <c r="H977" s="33">
        <v>1</v>
      </c>
      <c r="I977" s="31">
        <v>1</v>
      </c>
      <c r="J977" s="31">
        <v>1</v>
      </c>
      <c r="K977" s="32">
        <v>1</v>
      </c>
      <c r="M977" s="36">
        <v>3444</v>
      </c>
      <c r="O977" s="29">
        <v>0.05</v>
      </c>
      <c r="P977" s="37">
        <v>3616.2000000000003</v>
      </c>
    </row>
  </sheetData>
  <autoFilter ref="B3:P3" xr:uid="{B50175F1-698C-4B06-BE75-7B30F88E021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1999-0502-478A-AD56-2335BA638E5C}">
  <dimension ref="A2:H23"/>
  <sheetViews>
    <sheetView showGridLines="0" zoomScale="85" zoomScaleNormal="85" workbookViewId="0"/>
  </sheetViews>
  <sheetFormatPr defaultRowHeight="15" x14ac:dyDescent="0.25"/>
  <cols>
    <col min="1" max="1" width="7" customWidth="1"/>
    <col min="2" max="2" width="42.140625" customWidth="1"/>
    <col min="3" max="3" width="41.85546875" customWidth="1"/>
    <col min="4" max="4" width="17.28515625" customWidth="1"/>
    <col min="5" max="5" width="22" customWidth="1"/>
    <col min="6" max="6" width="10.85546875" customWidth="1"/>
    <col min="7" max="8" width="12.5703125" customWidth="1"/>
  </cols>
  <sheetData>
    <row r="2" spans="1:8" x14ac:dyDescent="0.25">
      <c r="B2" s="3" t="s">
        <v>282</v>
      </c>
      <c r="C2" s="3"/>
      <c r="D2" s="3"/>
      <c r="E2" s="3"/>
      <c r="F2" s="3" t="s">
        <v>256</v>
      </c>
      <c r="G2" s="3"/>
      <c r="H2" s="3"/>
    </row>
    <row r="3" spans="1:8" x14ac:dyDescent="0.25">
      <c r="B3" s="12" t="s">
        <v>258</v>
      </c>
      <c r="C3" s="13" t="s">
        <v>259</v>
      </c>
      <c r="D3" s="13" t="s">
        <v>5</v>
      </c>
      <c r="E3" s="13" t="s">
        <v>260</v>
      </c>
      <c r="F3" s="14" t="s">
        <v>261</v>
      </c>
      <c r="G3" s="14" t="s">
        <v>9</v>
      </c>
      <c r="H3" s="14" t="s">
        <v>262</v>
      </c>
    </row>
    <row r="4" spans="1:8" ht="45" x14ac:dyDescent="0.25">
      <c r="B4" s="23" t="s">
        <v>263</v>
      </c>
      <c r="C4" s="24" t="s">
        <v>264</v>
      </c>
      <c r="D4" s="26" t="s">
        <v>265</v>
      </c>
      <c r="E4" s="25">
        <v>0.05</v>
      </c>
      <c r="F4" s="15">
        <v>466</v>
      </c>
      <c r="G4" s="16">
        <v>4584</v>
      </c>
      <c r="H4" s="16">
        <f>+G4*12</f>
        <v>55008</v>
      </c>
    </row>
    <row r="5" spans="1:8" ht="60" x14ac:dyDescent="0.25">
      <c r="B5" s="23" t="s">
        <v>266</v>
      </c>
      <c r="C5" s="24" t="s">
        <v>267</v>
      </c>
      <c r="D5" s="26" t="s">
        <v>265</v>
      </c>
      <c r="E5" s="25">
        <v>2.5000000000000001E-2</v>
      </c>
      <c r="F5" s="15">
        <v>2043</v>
      </c>
      <c r="G5" s="16">
        <v>14920</v>
      </c>
      <c r="H5" s="16">
        <f t="shared" ref="H5:H12" si="0">+G5*12</f>
        <v>179040</v>
      </c>
    </row>
    <row r="6" spans="1:8" ht="45" x14ac:dyDescent="0.25">
      <c r="A6" s="9"/>
      <c r="B6" s="23" t="s">
        <v>269</v>
      </c>
      <c r="C6" s="24" t="s">
        <v>270</v>
      </c>
      <c r="D6" s="26" t="s">
        <v>265</v>
      </c>
      <c r="E6" s="26" t="s">
        <v>268</v>
      </c>
      <c r="F6" s="15">
        <v>902</v>
      </c>
      <c r="G6" s="16">
        <v>11601</v>
      </c>
      <c r="H6" s="16">
        <f t="shared" si="0"/>
        <v>139212</v>
      </c>
    </row>
    <row r="7" spans="1:8" ht="60" x14ac:dyDescent="0.25">
      <c r="A7" s="9"/>
      <c r="B7" s="23" t="s">
        <v>271</v>
      </c>
      <c r="C7" s="24" t="s">
        <v>272</v>
      </c>
      <c r="D7" s="26" t="s">
        <v>21</v>
      </c>
      <c r="E7" s="25">
        <v>-0.05</v>
      </c>
      <c r="F7" s="15">
        <v>125</v>
      </c>
      <c r="G7" s="16">
        <v>-3290</v>
      </c>
      <c r="H7" s="16">
        <f t="shared" si="0"/>
        <v>-39480</v>
      </c>
    </row>
    <row r="8" spans="1:8" ht="45" x14ac:dyDescent="0.25">
      <c r="A8" s="7"/>
      <c r="B8" s="23" t="s">
        <v>271</v>
      </c>
      <c r="C8" s="24" t="s">
        <v>273</v>
      </c>
      <c r="D8" s="26" t="s">
        <v>21</v>
      </c>
      <c r="E8" s="25">
        <v>-2.5000000000000001E-2</v>
      </c>
      <c r="F8" s="15">
        <v>167</v>
      </c>
      <c r="G8" s="16">
        <v>-2290</v>
      </c>
      <c r="H8" s="16">
        <f t="shared" si="0"/>
        <v>-27480</v>
      </c>
    </row>
    <row r="9" spans="1:8" ht="45" x14ac:dyDescent="0.25">
      <c r="B9" s="23" t="s">
        <v>274</v>
      </c>
      <c r="C9" s="24" t="s">
        <v>275</v>
      </c>
      <c r="D9" s="26" t="s">
        <v>276</v>
      </c>
      <c r="E9" s="25">
        <v>-0.05</v>
      </c>
      <c r="F9" s="15">
        <v>46</v>
      </c>
      <c r="G9" s="16">
        <v>-384</v>
      </c>
      <c r="H9" s="16">
        <f t="shared" si="0"/>
        <v>-4608</v>
      </c>
    </row>
    <row r="10" spans="1:8" ht="75" x14ac:dyDescent="0.25">
      <c r="B10" s="23" t="s">
        <v>263</v>
      </c>
      <c r="C10" s="24" t="s">
        <v>277</v>
      </c>
      <c r="D10" s="26" t="s">
        <v>278</v>
      </c>
      <c r="E10" s="25">
        <v>0.05</v>
      </c>
      <c r="F10" s="15">
        <v>250</v>
      </c>
      <c r="G10" s="16">
        <v>2285</v>
      </c>
      <c r="H10" s="16">
        <f>+G10*12</f>
        <v>27420</v>
      </c>
    </row>
    <row r="11" spans="1:8" ht="75" x14ac:dyDescent="0.25">
      <c r="B11" s="23" t="s">
        <v>279</v>
      </c>
      <c r="C11" s="24" t="s">
        <v>280</v>
      </c>
      <c r="D11" s="26" t="s">
        <v>278</v>
      </c>
      <c r="E11" s="25">
        <v>2.5000000000000001E-2</v>
      </c>
      <c r="F11" s="15">
        <v>1597</v>
      </c>
      <c r="G11" s="16">
        <v>8890</v>
      </c>
      <c r="H11" s="16">
        <f t="shared" si="0"/>
        <v>106680</v>
      </c>
    </row>
    <row r="12" spans="1:8" ht="45" x14ac:dyDescent="0.25">
      <c r="B12" s="23" t="s">
        <v>269</v>
      </c>
      <c r="C12" s="24" t="s">
        <v>270</v>
      </c>
      <c r="D12" s="26" t="s">
        <v>278</v>
      </c>
      <c r="E12" s="26" t="s">
        <v>268</v>
      </c>
      <c r="F12" s="15">
        <v>327</v>
      </c>
      <c r="G12" s="16">
        <v>1882</v>
      </c>
      <c r="H12" s="16">
        <f t="shared" si="0"/>
        <v>22584</v>
      </c>
    </row>
    <row r="13" spans="1:8" x14ac:dyDescent="0.25">
      <c r="D13" s="18"/>
      <c r="F13" s="11">
        <f>+SUM(F3:F12)</f>
        <v>5923</v>
      </c>
      <c r="G13" s="19">
        <f>+SUM(G3:G12)</f>
        <v>38198</v>
      </c>
      <c r="H13" s="19">
        <f>+SUM(H3:H12)</f>
        <v>458376</v>
      </c>
    </row>
    <row r="15" spans="1:8" x14ac:dyDescent="0.25">
      <c r="E15" s="18" t="s">
        <v>281</v>
      </c>
      <c r="F15" s="20">
        <v>13954</v>
      </c>
    </row>
    <row r="16" spans="1:8" x14ac:dyDescent="0.25">
      <c r="E16" s="18" t="s">
        <v>257</v>
      </c>
      <c r="F16" s="21">
        <f>+F13/F15</f>
        <v>0.42446610290955999</v>
      </c>
    </row>
    <row r="19" spans="1:1" x14ac:dyDescent="0.25">
      <c r="A19" s="22"/>
    </row>
    <row r="20" spans="1:1" x14ac:dyDescent="0.25">
      <c r="A20" s="22"/>
    </row>
    <row r="21" spans="1:1" x14ac:dyDescent="0.25">
      <c r="A21" s="22"/>
    </row>
    <row r="22" spans="1:1" x14ac:dyDescent="0.25">
      <c r="A22" s="22"/>
    </row>
    <row r="23" spans="1:1" x14ac:dyDescent="0.25">
      <c r="A2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 July 2026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Kennedy</dc:creator>
  <cp:lastModifiedBy>Michael Kennedy</cp:lastModifiedBy>
  <dcterms:created xsi:type="dcterms:W3CDTF">2026-06-24T17:34:24Z</dcterms:created>
  <dcterms:modified xsi:type="dcterms:W3CDTF">2026-06-24T18:01:56Z</dcterms:modified>
</cp:coreProperties>
</file>